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VVH" sheetId="1" r:id="rId5"/>
    <sheet state="visible" name="NVKT" sheetId="2" r:id="rId6"/>
    <sheet state="visible" name="Địa chỉ chi tiết" sheetId="3" r:id="rId7"/>
  </sheets>
  <definedNames>
    <definedName hidden="1" localSheetId="0" name="_xlnm._FilterDatabase">NVVH!$A$1:$AJ$146</definedName>
  </definedNames>
  <calcPr/>
</workbook>
</file>

<file path=xl/sharedStrings.xml><?xml version="1.0" encoding="utf-8"?>
<sst xmlns="http://schemas.openxmlformats.org/spreadsheetml/2006/main" count="2100" uniqueCount="512">
  <si>
    <t>TÒA</t>
  </si>
  <si>
    <t>STT</t>
  </si>
  <si>
    <t>ĐỊA CHỈ</t>
  </si>
  <si>
    <t>SỐ PHÒNG</t>
  </si>
  <si>
    <t>TÊN Q/LÝ</t>
  </si>
  <si>
    <t>SĐT</t>
  </si>
  <si>
    <t xml:space="preserve"> </t>
  </si>
  <si>
    <t>T2</t>
  </si>
  <si>
    <t xml:space="preserve"> Khu vực</t>
  </si>
  <si>
    <t>Nhà 4A ngõ 402/19 đường Mỹ Đình -NTL-HN</t>
  </si>
  <si>
    <t>Tòa</t>
  </si>
  <si>
    <t>Khu vực</t>
  </si>
  <si>
    <t>Hào</t>
  </si>
  <si>
    <t>0375846081</t>
  </si>
  <si>
    <t>T3</t>
  </si>
  <si>
    <t>Số 25A ngõ 37 Thiên Hiền-MĐ-NTL-HN</t>
  </si>
  <si>
    <t>Huyền</t>
  </si>
  <si>
    <t>0364316435</t>
  </si>
  <si>
    <t>T5</t>
  </si>
  <si>
    <t>Số 98 Mễ Trì Hạ-NTL-HN</t>
  </si>
  <si>
    <t xml:space="preserve">NVVH </t>
  </si>
  <si>
    <t>Linh</t>
  </si>
  <si>
    <t>0378191103</t>
  </si>
  <si>
    <t>Lead</t>
  </si>
  <si>
    <t>NVVS</t>
  </si>
  <si>
    <t>T7</t>
  </si>
  <si>
    <t>NSKT</t>
  </si>
  <si>
    <t>Số 36 ngách 49 ngõ 26 Đường Mỹ Đình-NTL-HN</t>
  </si>
  <si>
    <t>Kiên</t>
  </si>
  <si>
    <t>Nguồn</t>
  </si>
  <si>
    <t>0969966559</t>
  </si>
  <si>
    <t>Thang máy</t>
  </si>
  <si>
    <t>T8</t>
  </si>
  <si>
    <t>Số 12 ngõ 83 Trần Duy Hưng -CG-HN</t>
  </si>
  <si>
    <t>Lâm</t>
  </si>
  <si>
    <t>GIÁ/THÁNG</t>
  </si>
  <si>
    <t>0394632595</t>
  </si>
  <si>
    <t>T10</t>
  </si>
  <si>
    <t>Số 50 ngách 64 Ngõ 119 Cổ Nhuế-BTL-HN</t>
  </si>
  <si>
    <t>Tình trạng nhà</t>
  </si>
  <si>
    <t>T11</t>
  </si>
  <si>
    <t>nhà 6 ngõ 359 Âu Cơ-Tây Hồ-HN</t>
  </si>
  <si>
    <t>Tuổi nhà</t>
  </si>
  <si>
    <t>Hương</t>
  </si>
  <si>
    <t>KỲ</t>
  </si>
  <si>
    <t>0983607302</t>
  </si>
  <si>
    <t>TỔNG TIỀN</t>
  </si>
  <si>
    <t>T12</t>
  </si>
  <si>
    <t>Nhà 21B ngõ 322/17 đường mỹ đình-NTL-HN</t>
  </si>
  <si>
    <t>STK Chủ nhà</t>
  </si>
  <si>
    <t>Thông tin TK</t>
  </si>
  <si>
    <t>T13</t>
  </si>
  <si>
    <t>Nhà 4 ngõ 322/17/17 đường mỹ đình-NTL-HN</t>
  </si>
  <si>
    <t>T14</t>
  </si>
  <si>
    <t>Nhà 25A ngõ 261 Phú Diễn-BTL-HN</t>
  </si>
  <si>
    <t>Khải</t>
  </si>
  <si>
    <t>0336349262</t>
  </si>
  <si>
    <t>T15</t>
  </si>
  <si>
    <t>T17</t>
  </si>
  <si>
    <t>Số 80 ngõ 35 Lê Đức Thọ-NTL-HN</t>
  </si>
  <si>
    <t>T18</t>
  </si>
  <si>
    <t>Nhà 5 ngách 5/23 Phú mỹ-NTL-HN</t>
  </si>
  <si>
    <t>T20</t>
  </si>
  <si>
    <t>Số 7 ngách 39 ngõ 20 Mỹ Đình-NTL-HN</t>
  </si>
  <si>
    <t>T21</t>
  </si>
  <si>
    <t>số 41 ngõ 20 Mỹ Đình-NTL-HN</t>
  </si>
  <si>
    <t>T22</t>
  </si>
  <si>
    <t>Số 5 ngõ 123/2 Trần Cung-BTL-HN</t>
  </si>
  <si>
    <t>T24</t>
  </si>
  <si>
    <t>Số 23 ngõ 79 Ngách 40 Dương Quảng Hàm-CG-HN</t>
  </si>
  <si>
    <t>T25</t>
  </si>
  <si>
    <t>Số 1 ngõ 47 Chính Kinh-TX-HN</t>
  </si>
  <si>
    <t>T26</t>
  </si>
  <si>
    <t>Nhà 23 ngõ 180/23 Phú Mỹ</t>
  </si>
  <si>
    <t>T27</t>
  </si>
  <si>
    <t>nhà 5 ngõ 193/192 Phú diễn</t>
  </si>
  <si>
    <t>T28</t>
  </si>
  <si>
    <t>Nhà 5 ngõ 89/40 Bằng Liệt</t>
  </si>
  <si>
    <t>T30+31</t>
  </si>
  <si>
    <t>Số 16A Dịch Vọng Hậu</t>
  </si>
  <si>
    <t>T32</t>
  </si>
  <si>
    <t>Số 10 Ngõ 70/42 Ngọc Khánh - Ba Đình (Số 111 ngõ 409 Kim mã)</t>
  </si>
  <si>
    <t>T33</t>
  </si>
  <si>
    <t>Số 5 Đỗ Quang</t>
  </si>
  <si>
    <t>T34</t>
  </si>
  <si>
    <t>Số 12 ngách 46 ngõ 123 bằng liệt</t>
  </si>
  <si>
    <t>T35</t>
  </si>
  <si>
    <t>số 3 ngõ 139 bằng liệt</t>
  </si>
  <si>
    <t xml:space="preserve">0394632595 </t>
  </si>
  <si>
    <t>MĐ</t>
  </si>
  <si>
    <t>T36</t>
  </si>
  <si>
    <t>Nhà 17 ngõ 472/9 lạc long quân</t>
  </si>
  <si>
    <t>NVVH</t>
  </si>
  <si>
    <t>T37</t>
  </si>
  <si>
    <t>số nhà 12 ngõ 193/220/21 Phú diễn</t>
  </si>
  <si>
    <t>T38</t>
  </si>
  <si>
    <t>Số 34 ngách 8 ngõ 1 đình thôn</t>
  </si>
  <si>
    <t>Team</t>
  </si>
  <si>
    <t>Điệp</t>
  </si>
  <si>
    <t>T41</t>
  </si>
  <si>
    <t>số 14 ngõ 89 Lê đức thọ</t>
  </si>
  <si>
    <t>CN</t>
  </si>
  <si>
    <t>T42</t>
  </si>
  <si>
    <t>số 25 ngõ 195 cầu diễn</t>
  </si>
  <si>
    <t>Huy</t>
  </si>
  <si>
    <t>Ước</t>
  </si>
  <si>
    <t>0988374795</t>
  </si>
  <si>
    <t>T43</t>
  </si>
  <si>
    <t>số2 ngách 6 ngõ 18 Kiều Mai</t>
  </si>
  <si>
    <t>T44</t>
  </si>
  <si>
    <t>số 17A ngõ 192 Yên Hòa</t>
  </si>
  <si>
    <t>Trường</t>
  </si>
  <si>
    <t>0868850105</t>
  </si>
  <si>
    <t>T45</t>
  </si>
  <si>
    <t>số 17 ngõ 192 Yên Hòa</t>
  </si>
  <si>
    <t>PD</t>
  </si>
  <si>
    <t>TX</t>
  </si>
  <si>
    <t>S1</t>
  </si>
  <si>
    <t>Số 39A ngõ 59 phạm văn đồng</t>
  </si>
  <si>
    <t>MD</t>
  </si>
  <si>
    <t>S2</t>
  </si>
  <si>
    <t>số 97 ngõ 172 Phú diễn</t>
  </si>
  <si>
    <t>S3</t>
  </si>
  <si>
    <t>Số 1 ngách 21 ngõ 100 cổ nhuế</t>
  </si>
  <si>
    <t>S4</t>
  </si>
  <si>
    <t>T1</t>
  </si>
  <si>
    <t>TH</t>
  </si>
  <si>
    <t>Số 2 ngõ 521 ngách 36/23 cổ nhuế</t>
  </si>
  <si>
    <t>Nhà 5A ngõ 402/51/1 đường Mỹ Đình -NTL-HN</t>
  </si>
  <si>
    <t>CG</t>
  </si>
  <si>
    <t>S5</t>
  </si>
  <si>
    <t>Số 8 ngách 24 ngõ 132 cầu giấy</t>
  </si>
  <si>
    <t>S6</t>
  </si>
  <si>
    <t>Số 14B ngõ 319 trần cung</t>
  </si>
  <si>
    <t>S7</t>
  </si>
  <si>
    <t>S8</t>
  </si>
  <si>
    <t>S9AB</t>
  </si>
  <si>
    <t>k</t>
  </si>
  <si>
    <t>s10</t>
  </si>
  <si>
    <t>Số 15 Ngõ 521/36 Cổ Nhuế</t>
  </si>
  <si>
    <t>CD</t>
  </si>
  <si>
    <t>s11</t>
  </si>
  <si>
    <t>Số 15 Ngõ 20 Ngách 117 Mỹ Đình</t>
  </si>
  <si>
    <t>0867097163</t>
  </si>
  <si>
    <t>s12</t>
  </si>
  <si>
    <t>Số 41 Ngõ 43/86 Trung Kính(thông ngõ 110 Trần Duy Hưng)</t>
  </si>
  <si>
    <t>19036804718015</t>
  </si>
  <si>
    <t>s13</t>
  </si>
  <si>
    <t>Số 2 Ngách 6 Ngõ 18 Kiều Mai</t>
  </si>
  <si>
    <t>tech-Nguyen Quynh Nga</t>
  </si>
  <si>
    <t>s14</t>
  </si>
  <si>
    <t>Số 2 Ngách 66/12 Ngõ 195 Trần Cung</t>
  </si>
  <si>
    <t>s15</t>
  </si>
  <si>
    <t>Số 5 Ngõ 28 Tăng Tiết Giáp</t>
  </si>
  <si>
    <t>s16</t>
  </si>
  <si>
    <t>Nhà số 9 ngõ 102/44/27 pháo đài láng</t>
  </si>
  <si>
    <t>s17</t>
  </si>
  <si>
    <t>Số 8 ngõ 521/36 cổ nhuế</t>
  </si>
  <si>
    <t>s18</t>
  </si>
  <si>
    <t xml:space="preserve">Số 15 Ngách 80/50 Xuân Phương </t>
  </si>
  <si>
    <t>s19</t>
  </si>
  <si>
    <t>Số 16 Ngõ 103/2 Cổ Nhuế</t>
  </si>
  <si>
    <t>Giang</t>
  </si>
  <si>
    <t>s20</t>
  </si>
  <si>
    <t xml:space="preserve">Số 48 Ngõ 136 Cầu Diễn </t>
  </si>
  <si>
    <t>Tuấn</t>
  </si>
  <si>
    <t>S21</t>
  </si>
  <si>
    <t>Số 10 Ngõ 91/8 Cầu Diễn</t>
  </si>
  <si>
    <t>s22</t>
  </si>
  <si>
    <t>Số 168 Ngõ 20 Cự Lộc</t>
  </si>
  <si>
    <t>Cũ</t>
  </si>
  <si>
    <t>s23</t>
  </si>
  <si>
    <t>Số 8 Kim giang</t>
  </si>
  <si>
    <t>c</t>
  </si>
  <si>
    <t>s24</t>
  </si>
  <si>
    <t xml:space="preserve">Số 33 Ngõ 1 Nhân Hoà </t>
  </si>
  <si>
    <t>s25</t>
  </si>
  <si>
    <t>100882100666</t>
  </si>
  <si>
    <t>Nhà 33 Ngách 91/6 Cầu Diễn</t>
  </si>
  <si>
    <t>BL</t>
  </si>
  <si>
    <t>Vietin-Tong Van Dinh</t>
  </si>
  <si>
    <t>s26</t>
  </si>
  <si>
    <t>Số 3 Ngõ 361 Trần Cung</t>
  </si>
  <si>
    <t>s27</t>
  </si>
  <si>
    <t>Số 33A ngõ 91/8 cầu diễn</t>
  </si>
  <si>
    <t>S28</t>
  </si>
  <si>
    <t>Số 9 Ngõ 63 Trần Quốc Vượng</t>
  </si>
  <si>
    <t>0969316322</t>
  </si>
  <si>
    <t>S29</t>
  </si>
  <si>
    <t>Số 21 dãy E Tập thể Quân Đội, TDB3 Cổ Nhuế 2</t>
  </si>
  <si>
    <t>T30</t>
  </si>
  <si>
    <t>Phòng hiện tại</t>
  </si>
  <si>
    <t>S30</t>
  </si>
  <si>
    <t>Phòng sắp tới</t>
  </si>
  <si>
    <t xml:space="preserve">Số 4 Ngõ 103/2/5 Cổ Nhuế </t>
  </si>
  <si>
    <t>Nhà hiện tại</t>
  </si>
  <si>
    <t>S31</t>
  </si>
  <si>
    <t>Số nhà 28B3 Ngõ 217 Mai Dịch</t>
  </si>
  <si>
    <t>Nhà sắp tới</t>
  </si>
  <si>
    <t>S32</t>
  </si>
  <si>
    <t>Số 15 Ngõ 36 Phú Kiều</t>
  </si>
  <si>
    <t>S33</t>
  </si>
  <si>
    <t>Số 20A Ngõ 204 Trần Duy Hưng</t>
  </si>
  <si>
    <t>T31</t>
  </si>
  <si>
    <t>S34</t>
  </si>
  <si>
    <t>Số 30B Ngõ 26 Hồ Tùng Mậu</t>
  </si>
  <si>
    <t>S35</t>
  </si>
  <si>
    <t>Số 5 ngõ 521 ngách 36/23 cổ nhuế</t>
  </si>
  <si>
    <t>Mạnh</t>
  </si>
  <si>
    <t>Nụ</t>
  </si>
  <si>
    <t>0329426642</t>
  </si>
  <si>
    <t>Còn BH</t>
  </si>
  <si>
    <t>S36</t>
  </si>
  <si>
    <t>Số 3 ngách 12A ngõ 89 Phạm Văn Đồng</t>
  </si>
  <si>
    <t>Khá mới</t>
  </si>
  <si>
    <t>S37AB</t>
  </si>
  <si>
    <t xml:space="preserve">Số 15 ngõ 57 ngách 63/57/23 Phú Mỹ </t>
  </si>
  <si>
    <t>0976160843</t>
  </si>
  <si>
    <t>Tiền mặt</t>
  </si>
  <si>
    <t>S38</t>
  </si>
  <si>
    <t>Số 5B Ngõ 225/7 Quan Hoa</t>
  </si>
  <si>
    <t>X</t>
  </si>
  <si>
    <t>S39</t>
  </si>
  <si>
    <t>Số 2B Ngõ 359 Trần Cung</t>
  </si>
  <si>
    <t>S40</t>
  </si>
  <si>
    <t>Số 12A ngõ 145/9 Đình Thôn</t>
  </si>
  <si>
    <t>KM</t>
  </si>
  <si>
    <t>S42</t>
  </si>
  <si>
    <t>Số 22 Ngõ 34/33 Cổ nhuế</t>
  </si>
  <si>
    <t>S9A</t>
  </si>
  <si>
    <t>S43</t>
  </si>
  <si>
    <t>Số 10 Ngõ 212/8 Phú Mỹ</t>
  </si>
  <si>
    <t>S44</t>
  </si>
  <si>
    <t>Số 6 Ngõ 119 Cổ Nhuế</t>
  </si>
  <si>
    <t>BĐ</t>
  </si>
  <si>
    <t>S45</t>
  </si>
  <si>
    <t>S9B</t>
  </si>
  <si>
    <t>Số 17 Ngõ 157/2 Chùa Láng</t>
  </si>
  <si>
    <t>S13</t>
  </si>
  <si>
    <t>S14</t>
  </si>
  <si>
    <t>TC</t>
  </si>
  <si>
    <t>S15</t>
  </si>
  <si>
    <t>S46</t>
  </si>
  <si>
    <t>Số 30 Ngõ 72 Chính Kinh</t>
  </si>
  <si>
    <t>S47</t>
  </si>
  <si>
    <t>Số 6 Ngõ 177 Cầu Diễn</t>
  </si>
  <si>
    <t>S17</t>
  </si>
  <si>
    <t>T4</t>
  </si>
  <si>
    <t>S16</t>
  </si>
  <si>
    <t>Số 83 Cầu Vồng-Đức Thắng-BTL-HN</t>
  </si>
  <si>
    <t>LÁNG</t>
  </si>
  <si>
    <t>S48</t>
  </si>
  <si>
    <t>S18</t>
  </si>
  <si>
    <t>Số 49 A-B. Số 49-51 Ngõ 378/65/24 Thuỵ Khuê</t>
  </si>
  <si>
    <t>S49</t>
  </si>
  <si>
    <t>137655225</t>
  </si>
  <si>
    <t>S22</t>
  </si>
  <si>
    <t>VP-Nguyen thi hoa</t>
  </si>
  <si>
    <t>Số 5, Ngách 530/8 Thụy Khuê</t>
  </si>
  <si>
    <t>S19A</t>
  </si>
  <si>
    <t>S50</t>
  </si>
  <si>
    <t>Số 5, ngõ 402/51 Đường Mỹ Đình</t>
  </si>
  <si>
    <t>S23</t>
  </si>
  <si>
    <t>S19B</t>
  </si>
  <si>
    <t>G1</t>
  </si>
  <si>
    <t>Số 7 Ngõ 273/55/2 Trần Cung</t>
  </si>
  <si>
    <t>Thủy</t>
  </si>
  <si>
    <t>G2</t>
  </si>
  <si>
    <t>Số 39 Ngõ 89/43 Lạc Long Quân</t>
  </si>
  <si>
    <t>Rất cũ</t>
  </si>
  <si>
    <t>S24</t>
  </si>
  <si>
    <t>G3</t>
  </si>
  <si>
    <t>S19C</t>
  </si>
  <si>
    <t>Số 68 Ngõ 43/33 Cổ Nhuế 2</t>
  </si>
  <si>
    <t>G4</t>
  </si>
  <si>
    <t>Số 14 Ngõ 117/15/1 Trần Cung</t>
  </si>
  <si>
    <t>21510002160349</t>
  </si>
  <si>
    <t>0378791103</t>
  </si>
  <si>
    <t>BIDV-Do Thi Nga</t>
  </si>
  <si>
    <t>G5</t>
  </si>
  <si>
    <t>Số 32 Ngõ 58 Nguyễn Khánh Toàn</t>
  </si>
  <si>
    <t>G6</t>
  </si>
  <si>
    <t>Số 42 Ngõ 119/93/2 Cổ Nhuế</t>
  </si>
  <si>
    <t>G7</t>
  </si>
  <si>
    <t>Số 34 Ngõ 63/26 Trần Quốc Vượng</t>
  </si>
  <si>
    <t>S26</t>
  </si>
  <si>
    <t>G8</t>
  </si>
  <si>
    <t>Số 49 Chính Kinh</t>
  </si>
  <si>
    <t>G9</t>
  </si>
  <si>
    <t>Số 11 ngõ 181/18 Xuân Thủy, Cầu Giấy</t>
  </si>
  <si>
    <t>G10</t>
  </si>
  <si>
    <t>Số 9 ngõ 123/2 Trần Cung</t>
  </si>
  <si>
    <t>G11</t>
  </si>
  <si>
    <t>Số 16 ngácg 14/14 Mễ Trì Hạ</t>
  </si>
  <si>
    <t>Tú</t>
  </si>
  <si>
    <t>S37</t>
  </si>
  <si>
    <t>Phương</t>
  </si>
  <si>
    <t>K</t>
  </si>
  <si>
    <t>36010000201995</t>
  </si>
  <si>
    <t>BIDV-Vu Thi Thuy</t>
  </si>
  <si>
    <t>020049258888</t>
  </si>
  <si>
    <t>sacombank-Vu Thi An Thai</t>
  </si>
  <si>
    <t>TCCN</t>
  </si>
  <si>
    <t>Cô Xuân</t>
  </si>
  <si>
    <t>S20</t>
  </si>
  <si>
    <t>020031248958</t>
  </si>
  <si>
    <t>sacombank-Nguyen Thi Anh Dao</t>
  </si>
  <si>
    <t>Tây Hồ</t>
  </si>
  <si>
    <t>030009200688</t>
  </si>
  <si>
    <t>sacombank-Tran Thi Tuong Loan</t>
  </si>
  <si>
    <t>S25AB</t>
  </si>
  <si>
    <t>Mới</t>
  </si>
  <si>
    <t>m</t>
  </si>
  <si>
    <t>S27</t>
  </si>
  <si>
    <t>19036295211011</t>
  </si>
  <si>
    <t>Tech-Nguyen Thi Que</t>
  </si>
  <si>
    <t>S12</t>
  </si>
  <si>
    <t>CDPD</t>
  </si>
  <si>
    <t>0272717238888</t>
  </si>
  <si>
    <t>MB-Phi Van Thang</t>
  </si>
  <si>
    <t>VH5S</t>
  </si>
  <si>
    <t>S10</t>
  </si>
  <si>
    <t>G12a</t>
  </si>
  <si>
    <t>G13</t>
  </si>
  <si>
    <t>G14</t>
  </si>
  <si>
    <t>G15</t>
  </si>
  <si>
    <t>G16</t>
  </si>
  <si>
    <t>360001060001329</t>
  </si>
  <si>
    <t>Bắc á-trịnh ngoc cuong</t>
  </si>
  <si>
    <t>G17</t>
  </si>
  <si>
    <t>G18</t>
  </si>
  <si>
    <t>T19</t>
  </si>
  <si>
    <t>Nhà 15B ngõ 106 Trần Duy Hưng-CG-HN</t>
  </si>
  <si>
    <t>46210000044607</t>
  </si>
  <si>
    <t>BIDV-Nguyen Thi Dung</t>
  </si>
  <si>
    <t>5687827</t>
  </si>
  <si>
    <t>ACB-Nguyen Minh Kha</t>
  </si>
  <si>
    <t>VHPLUS</t>
  </si>
  <si>
    <t>Số 23 ngõ 79 ngách 40 Dương Quảng Hàm-CG-HN</t>
  </si>
  <si>
    <t>19034967760016</t>
  </si>
  <si>
    <t>Tech-Thắng Quang Minh</t>
  </si>
  <si>
    <t>19031880140012</t>
  </si>
  <si>
    <t>Tech-Nguyen Thu Ha</t>
  </si>
  <si>
    <t>101869381786</t>
  </si>
  <si>
    <t>Vietin-Ninh Quang Linh</t>
  </si>
  <si>
    <t>Chủ nhà</t>
  </si>
  <si>
    <t>Chủ tự gọi</t>
  </si>
  <si>
    <t>Bằng Liệt</t>
  </si>
  <si>
    <t>dt</t>
  </si>
  <si>
    <t>19035562123015</t>
  </si>
  <si>
    <t>Tech-Nguyen Cong Hung</t>
  </si>
  <si>
    <t>1305205437041</t>
  </si>
  <si>
    <t>Agr-Nguyen Dinh tuan</t>
  </si>
  <si>
    <t>HÀO</t>
  </si>
  <si>
    <t>-</t>
  </si>
  <si>
    <t>Số 111 ngõ 409 Kim mã</t>
  </si>
  <si>
    <t>Kim Mã</t>
  </si>
  <si>
    <t>002704060259721</t>
  </si>
  <si>
    <t>VIB-Nguyen Thi Hoa</t>
  </si>
  <si>
    <t>x</t>
  </si>
  <si>
    <t>số 5 Đỗ Quang</t>
  </si>
  <si>
    <t>10056839</t>
  </si>
  <si>
    <t>GP Bank-Pham Văn Vinh</t>
  </si>
  <si>
    <t>Tổng</t>
  </si>
  <si>
    <t>2130449400</t>
  </si>
  <si>
    <t>BIDV-Lưu Thị Anh</t>
  </si>
  <si>
    <t>0080101101995</t>
  </si>
  <si>
    <t>MB- Nguyen Dinh Tuan</t>
  </si>
  <si>
    <t>04226999</t>
  </si>
  <si>
    <t>MB-Đỗ Thị Thu Loan</t>
  </si>
  <si>
    <t>0000637457614</t>
  </si>
  <si>
    <t>MB-Phi Nhat Linh</t>
  </si>
  <si>
    <t>19037194860015</t>
  </si>
  <si>
    <t>tech- Trần Văn Giang</t>
  </si>
  <si>
    <t>T39</t>
  </si>
  <si>
    <t>Nhà 50 ngách 89 Bằng Liệt</t>
  </si>
  <si>
    <t>0427040470006347</t>
  </si>
  <si>
    <t>hd bank- nguyên đình văn</t>
  </si>
  <si>
    <t>T40</t>
  </si>
  <si>
    <t>Nhà 57 ngách 89 Bằng Liệt</t>
  </si>
  <si>
    <t>03801012826915</t>
  </si>
  <si>
    <t>MSB-Nguyễn hồng nhung</t>
  </si>
  <si>
    <t>29036688</t>
  </si>
  <si>
    <t>acb- trần thị thu hồng</t>
  </si>
  <si>
    <t>12610000894519</t>
  </si>
  <si>
    <t>BIDV-Nguyen Thi Tuy</t>
  </si>
  <si>
    <t>59 phạm văn đồng</t>
  </si>
  <si>
    <t>172 Phú diễn</t>
  </si>
  <si>
    <t>19036097216016</t>
  </si>
  <si>
    <t>tech- Văn quoc binh</t>
  </si>
  <si>
    <t>103 cổ nhuế</t>
  </si>
  <si>
    <t>0200031248958</t>
  </si>
  <si>
    <t>cổ nhuế</t>
  </si>
  <si>
    <t>3100205730927</t>
  </si>
  <si>
    <t>agribank- nguyên văn tuất</t>
  </si>
  <si>
    <t>S4-Toà B</t>
  </si>
  <si>
    <t>19828288888888</t>
  </si>
  <si>
    <t>tech- phạm thị lành</t>
  </si>
  <si>
    <t>132 cầu giấy</t>
  </si>
  <si>
    <t>36678999999</t>
  </si>
  <si>
    <t>MB-pham thi toan</t>
  </si>
  <si>
    <t>319 trần cung</t>
  </si>
  <si>
    <t>144718957</t>
  </si>
  <si>
    <t>vp- đoàn thị hằng</t>
  </si>
  <si>
    <t>26010000866562</t>
  </si>
  <si>
    <t>BIDV- chu minh anh</t>
  </si>
  <si>
    <t>tiền mặt</t>
  </si>
  <si>
    <t>02922999301</t>
  </si>
  <si>
    <t>tp-nguyen thi thu huyen</t>
  </si>
  <si>
    <t>521/36 Cổ nhuế</t>
  </si>
  <si>
    <t>viettinbank-nguyen thi thu huong</t>
  </si>
  <si>
    <t>S11</t>
  </si>
  <si>
    <t>Số 15, ngách 117, ngõ 20, đường mỹ đình</t>
  </si>
  <si>
    <t>techcombank- kim thi ngọc</t>
  </si>
  <si>
    <t>43 trung kính</t>
  </si>
  <si>
    <t>kiều mai</t>
  </si>
  <si>
    <t>195 trần cung</t>
  </si>
  <si>
    <t>28 Tăng thiết giáp</t>
  </si>
  <si>
    <t>850 Láng</t>
  </si>
  <si>
    <t>Láng</t>
  </si>
  <si>
    <t>Đội chủ nhà</t>
  </si>
  <si>
    <t>521 cổ nhuế</t>
  </si>
  <si>
    <t>80 xuân phương</t>
  </si>
  <si>
    <t>TECH-ninh văn thành</t>
  </si>
  <si>
    <t>136 cầu diễn</t>
  </si>
  <si>
    <t>98 cầu diễn</t>
  </si>
  <si>
    <t>20 Cư lộc</t>
  </si>
  <si>
    <t>Kim giang</t>
  </si>
  <si>
    <t>Quan nhân</t>
  </si>
  <si>
    <t>S25A</t>
  </si>
  <si>
    <t>91 Cầu diễn</t>
  </si>
  <si>
    <t>S25B</t>
  </si>
  <si>
    <t>316 Trần Cung</t>
  </si>
  <si>
    <t>Phạm Văn Nghị, Cổ Nhuế</t>
  </si>
  <si>
    <t>Số 5 ngách 2 ngõ 103 Cổ Nhuế</t>
  </si>
  <si>
    <t>Số 28B3 Ngõ 217 Mai Dich</t>
  </si>
  <si>
    <t>Số 5 ngõ 36 Phú Kiều</t>
  </si>
  <si>
    <t>Số 20A ngõ 204 Trần Duy Hưng</t>
  </si>
  <si>
    <t>Số 30B ngõ 26 Hồ Tùng Mậu</t>
  </si>
  <si>
    <t>Số 5, hẻm 23, ngách 36, ngõ 521 Cổ nhuế</t>
  </si>
  <si>
    <t>Xuân</t>
  </si>
  <si>
    <t>Cổ Nhuế</t>
  </si>
  <si>
    <t>Chiến</t>
  </si>
  <si>
    <t>S37A</t>
  </si>
  <si>
    <t>Phú Mỹ</t>
  </si>
  <si>
    <t>S37B</t>
  </si>
  <si>
    <t>Trần Cung</t>
  </si>
  <si>
    <t>Đình Thôn</t>
  </si>
  <si>
    <t>S41</t>
  </si>
  <si>
    <t>Chính Kinh</t>
  </si>
  <si>
    <t>VH1</t>
  </si>
  <si>
    <t>Mỹ Đình</t>
  </si>
  <si>
    <t>Chùa Láng</t>
  </si>
  <si>
    <t>72 Chính Kinh</t>
  </si>
  <si>
    <t>177 Cầu Diễn</t>
  </si>
  <si>
    <t>S48A</t>
  </si>
  <si>
    <t>Thuỵ Khuê</t>
  </si>
  <si>
    <t>S48B</t>
  </si>
  <si>
    <t>Số 8a ngõ 530/8 Thuỵ Khuê</t>
  </si>
  <si>
    <t>Số 3 ngách 402/51 Mỹ Đình</t>
  </si>
  <si>
    <t>Số 7 ngõ 273/55/2 Trần Cung</t>
  </si>
  <si>
    <t>Số 39, ngõ 89/43 Lạc Long Quân</t>
  </si>
  <si>
    <t>Số 68 Ngõ 43/33 Cổ Nhuế (370) Phạm Văn Đồng</t>
  </si>
  <si>
    <t>Số 32, ngõ 58 Nguyễn Khánh Toàn, Cầu Giấy</t>
  </si>
  <si>
    <t>Số 43, ngõ 93/2 Cầu Noi</t>
  </si>
  <si>
    <t>Số 44, ngõ 63/26 Dịch Vọng Hậu</t>
  </si>
  <si>
    <t>Tùng</t>
  </si>
  <si>
    <t>G12A</t>
  </si>
  <si>
    <t>Số 63 ngõ 23 Xuân Lạc (445/46 Lạc Long Quân)</t>
  </si>
  <si>
    <t>G12B</t>
  </si>
  <si>
    <t>Số 65 ngõ 23 Xuân Lạc (445/46 Lạc Long Quân)</t>
  </si>
  <si>
    <t>Số 5, ngõ 26 Đỗ Quang</t>
  </si>
  <si>
    <t>Số 4, ngách 102/44/19 Pháo Đài láng</t>
  </si>
  <si>
    <t>M</t>
  </si>
  <si>
    <t>số nhà 11 ngõ 10 kim mã thượng</t>
  </si>
  <si>
    <t>Diệp</t>
  </si>
  <si>
    <t>số nhà 17 ngõ 59 Trịnh công sơn Hồ tây</t>
  </si>
  <si>
    <t>số nhà 7 ngõ 30/42 phú mỹ</t>
  </si>
  <si>
    <t>số nhà 8 ngõ 66/10 Võng Thị, Tây Hồ</t>
  </si>
  <si>
    <t>Chung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</si>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</sst>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[$đ-42A]"/>
    <numFmt numFmtId="165" formatCode="d.m"/>
  </numFmts>
  <fonts count="16">
    <font>
      <sz val="10.0"/>
      <color rgb="FF000000"/>
      <name val="Arial"/>
      <scheme val="minor"/>
    </font>
    <font>
      <b/>
      <sz val="13.0"/>
      <color theme="1"/>
      <name val="Times New Roman"/>
    </font>
    <font>
      <b/>
      <sz val="17.0"/>
      <color theme="1"/>
      <name val="Times New Roman"/>
    </font>
    <font>
      <b/>
      <sz val="11.0"/>
      <color rgb="FF000000"/>
      <name val="Times New Roman"/>
    </font>
    <font>
      <b/>
      <sz val="16.0"/>
      <color theme="1"/>
      <name val="Times New Roman"/>
    </font>
    <font>
      <b/>
      <sz val="12.0"/>
      <color theme="1"/>
      <name val="Arial"/>
    </font>
    <font>
      <b/>
      <sz val="11.0"/>
      <color theme="1"/>
      <name val="Times New Roman"/>
    </font>
    <font>
      <color theme="1"/>
      <name val="Arial"/>
    </font>
    <font>
      <b/>
      <sz val="13.0"/>
      <color rgb="FF000000"/>
      <name val="Times New Roman"/>
    </font>
    <font>
      <color theme="1"/>
      <name val="Arial"/>
      <scheme val="minor"/>
    </font>
    <font>
      <b/>
      <sz val="12.0"/>
      <color theme="1"/>
      <name val="Times New Roman"/>
    </font>
    <font>
      <b/>
      <sz val="13.0"/>
      <color theme="1"/>
      <name val="Arial"/>
      <scheme val="minor"/>
    </font>
    <font/>
    <font>
      <sz val="11.0"/>
      <color theme="1"/>
      <name val="Times New Roman"/>
    </font>
    <font>
      <b/>
      <sz val="12.0"/>
      <color rgb="FF000000"/>
      <name val="Times New Roman"/>
    </font>
    <font>
      <b/>
      <sz val="11.0"/>
      <color rgb="FF081B3A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2" numFmtId="0" xfId="0" applyBorder="1" applyFill="1" applyFont="1"/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vertical="center"/>
    </xf>
    <xf borderId="1" fillId="2" fontId="2" numFmtId="49" xfId="0" applyAlignment="1" applyBorder="1" applyFill="1" applyFont="1" applyNumberFormat="1">
      <alignment horizontal="center"/>
    </xf>
    <xf borderId="1" fillId="3" fontId="3" numFmtId="0" xfId="0" applyAlignment="1" applyBorder="1" applyFill="1" applyFont="1">
      <alignment readingOrder="0" vertical="center"/>
    </xf>
    <xf borderId="1" fillId="4" fontId="1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 vertical="center"/>
    </xf>
    <xf borderId="1" fillId="4" fontId="1" numFmtId="0" xfId="0" applyBorder="1" applyFill="1" applyFont="1"/>
    <xf borderId="1" fillId="5" fontId="4" numFmtId="3" xfId="0" applyAlignment="1" applyBorder="1" applyFill="1" applyFont="1" applyNumberFormat="1">
      <alignment horizontal="center" readingOrder="0" vertical="center"/>
    </xf>
    <xf borderId="1" fillId="0" fontId="5" numFmtId="0" xfId="0" applyAlignment="1" applyBorder="1" applyFont="1">
      <alignment horizontal="center"/>
    </xf>
    <xf quotePrefix="1" borderId="1" fillId="0" fontId="5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4" fontId="1" numFmtId="49" xfId="0" applyAlignment="1" applyBorder="1" applyFill="1" applyFont="1" applyNumberFormat="1">
      <alignment horizontal="center"/>
    </xf>
    <xf borderId="1" fillId="3" fontId="3" numFmtId="0" xfId="0" applyAlignment="1" applyBorder="1" applyFill="1" applyFont="1">
      <alignment horizontal="left" vertical="center"/>
    </xf>
    <xf borderId="1" fillId="0" fontId="1" numFmtId="0" xfId="0" applyAlignment="1" applyBorder="1" applyFont="1">
      <alignment horizontal="center" vertical="bottom"/>
    </xf>
    <xf borderId="1" fillId="3" fontId="3" numFmtId="3" xfId="0" applyAlignment="1" applyBorder="1" applyFill="1" applyFont="1" applyNumberFormat="1">
      <alignment horizontal="center" vertical="center"/>
    </xf>
    <xf quotePrefix="1" borderId="1" fillId="0" fontId="1" numFmtId="49" xfId="0" applyAlignment="1" applyBorder="1" applyFont="1" applyNumberFormat="1">
      <alignment horizontal="center" vertical="bottom"/>
    </xf>
    <xf borderId="1" fillId="0" fontId="1" numFmtId="49" xfId="0" applyAlignment="1" applyBorder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right" vertical="center"/>
    </xf>
    <xf borderId="1" fillId="5" fontId="4" numFmtId="3" xfId="0" applyAlignment="1" applyBorder="1" applyFill="1" applyFont="1" applyNumberFormat="1">
      <alignment horizontal="center" vertical="center"/>
    </xf>
    <xf borderId="1" fillId="3" fontId="3" numFmtId="164" xfId="0" applyAlignment="1" applyBorder="1" applyFill="1" applyFont="1" applyNumberFormat="1">
      <alignment vertical="center"/>
    </xf>
    <xf borderId="1" fillId="3" fontId="3" numFmtId="3" xfId="0" applyAlignment="1" applyBorder="1" applyFill="1" applyFont="1" applyNumberFormat="1">
      <alignment readingOrder="0" shrinkToFit="0" vertical="center" wrapText="1"/>
    </xf>
    <xf borderId="1" fillId="3" fontId="3" numFmtId="3" xfId="0" applyAlignment="1" applyBorder="1" applyFill="1" applyFont="1" applyNumberFormat="1">
      <alignment vertical="center"/>
    </xf>
    <xf borderId="1" fillId="4" fontId="1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vertical="center"/>
    </xf>
    <xf borderId="1" fillId="4" fontId="1" numFmtId="49" xfId="0" applyAlignment="1" applyBorder="1" applyFill="1" applyFont="1" applyNumberFormat="1">
      <alignment horizontal="center" vertical="bottom"/>
    </xf>
    <xf borderId="1" fillId="2" fontId="3" numFmtId="3" xfId="0" applyAlignment="1" applyBorder="1" applyFill="1" applyFont="1" applyNumberFormat="1">
      <alignment vertical="center"/>
    </xf>
    <xf borderId="1" fillId="2" fontId="3" numFmtId="49" xfId="0" applyAlignment="1" applyBorder="1" applyFill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6" fontId="6" numFmtId="0" xfId="0" applyAlignment="1" applyBorder="1" applyFill="1" applyFont="1">
      <alignment vertical="bottom"/>
    </xf>
    <xf borderId="2" fillId="4" fontId="1" numFmtId="0" xfId="0" applyBorder="1" applyFill="1" applyFont="1"/>
    <xf borderId="2" fillId="4" fontId="1" numFmtId="0" xfId="0" applyAlignment="1" applyBorder="1" applyFill="1" applyFont="1">
      <alignment horizontal="center"/>
    </xf>
    <xf borderId="0" fillId="0" fontId="4" numFmtId="0" xfId="0" applyAlignment="1" applyFont="1">
      <alignment horizontal="center" vertical="center"/>
    </xf>
    <xf borderId="1" fillId="6" fontId="6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6" fontId="6" numFmtId="0" xfId="0" applyAlignment="1" applyBorder="1" applyFill="1" applyFont="1">
      <alignment horizontal="right" vertical="bottom"/>
    </xf>
    <xf borderId="1" fillId="4" fontId="1" numFmtId="3" xfId="0" applyAlignment="1" applyBorder="1" applyFill="1" applyFont="1" applyNumberFormat="1">
      <alignment horizontal="center" readingOrder="0" vertical="center"/>
    </xf>
    <xf borderId="1" fillId="6" fontId="6" numFmtId="3" xfId="0" applyAlignment="1" applyBorder="1" applyFill="1" applyFont="1" applyNumberFormat="1">
      <alignment horizontal="center" vertical="bottom"/>
    </xf>
    <xf borderId="1" fillId="4" fontId="1" numFmtId="3" xfId="0" applyAlignment="1" applyBorder="1" applyFill="1" applyFont="1" applyNumberFormat="1">
      <alignment horizontal="center" vertical="center"/>
    </xf>
    <xf borderId="1" fillId="6" fontId="6" numFmtId="3" xfId="0" applyAlignment="1" applyBorder="1" applyFill="1" applyFont="1" applyNumberFormat="1">
      <alignment horizontal="center" vertical="center"/>
    </xf>
    <xf borderId="1" fillId="8" fontId="6" numFmtId="164" xfId="0" applyAlignment="1" applyBorder="1" applyFill="1" applyFont="1" applyNumberFormat="1">
      <alignment horizontal="right" vertical="bottom"/>
    </xf>
    <xf quotePrefix="1" borderId="1" fillId="0" fontId="1" numFmtId="49" xfId="0" applyAlignment="1" applyBorder="1" applyFont="1" applyNumberFormat="1">
      <alignment horizontal="center"/>
    </xf>
    <xf borderId="1" fillId="4" fontId="1" numFmtId="0" xfId="0" applyAlignment="1" applyBorder="1" applyFill="1" applyFont="1">
      <alignment vertical="bottom"/>
    </xf>
    <xf borderId="1" fillId="9" fontId="1" numFmtId="0" xfId="0" applyAlignment="1" applyBorder="1" applyFill="1" applyFont="1">
      <alignment horizontal="center" vertical="center"/>
    </xf>
    <xf borderId="1" fillId="8" fontId="6" numFmtId="164" xfId="0" applyAlignment="1" applyBorder="1" applyFill="1" applyFont="1" applyNumberFormat="1">
      <alignment vertical="bottom"/>
    </xf>
    <xf borderId="1" fillId="6" fontId="6" numFmtId="3" xfId="0" applyAlignment="1" applyBorder="1" applyFill="1" applyFont="1" applyNumberFormat="1">
      <alignment vertical="bottom"/>
    </xf>
    <xf quotePrefix="1" borderId="1" fillId="4" fontId="1" numFmtId="49" xfId="0" applyAlignment="1" applyBorder="1" applyFill="1" applyFont="1" applyNumberFormat="1">
      <alignment horizontal="center" vertical="bottom"/>
    </xf>
    <xf borderId="1" fillId="6" fontId="6" numFmtId="3" xfId="0" applyAlignment="1" applyBorder="1" applyFill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7" numFmtId="0" xfId="0" applyFont="1"/>
    <xf borderId="0" fillId="0" fontId="6" numFmtId="0" xfId="0" applyFont="1"/>
    <xf borderId="0" fillId="4" fontId="7" numFmtId="0" xfId="0" applyFill="1" applyFont="1"/>
    <xf borderId="0" fillId="4" fontId="7" numFmtId="49" xfId="0" applyFill="1" applyFont="1" applyNumberFormat="1"/>
    <xf borderId="1" fillId="4" fontId="6" numFmtId="0" xfId="0" applyAlignment="1" applyBorder="1" applyFill="1" applyFont="1">
      <alignment vertical="bottom"/>
    </xf>
    <xf borderId="3" fillId="0" fontId="1" numFmtId="0" xfId="0" applyAlignment="1" applyBorder="1" applyFont="1">
      <alignment vertical="bottom"/>
    </xf>
    <xf borderId="1" fillId="4" fontId="6" numFmtId="0" xfId="0" applyAlignment="1" applyBorder="1" applyFill="1" applyFont="1">
      <alignment horizontal="center" vertical="bottom"/>
    </xf>
    <xf borderId="1" fillId="4" fontId="6" numFmtId="0" xfId="0" applyAlignment="1" applyBorder="1" applyFill="1" applyFont="1">
      <alignment horizontal="right" vertical="bottom"/>
    </xf>
    <xf borderId="1" fillId="4" fontId="6" numFmtId="3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4" fontId="3" numFmtId="3" xfId="0" applyAlignment="1" applyBorder="1" applyFill="1" applyFont="1" applyNumberFormat="1">
      <alignment horizontal="center" vertical="bottom"/>
    </xf>
    <xf borderId="1" fillId="4" fontId="6" numFmtId="3" xfId="0" applyAlignment="1" applyBorder="1" applyFill="1" applyFont="1" applyNumberFormat="1">
      <alignment horizontal="center" vertical="center"/>
    </xf>
    <xf borderId="1" fillId="4" fontId="6" numFmtId="3" xfId="0" applyAlignment="1" applyBorder="1" applyFill="1" applyFont="1" applyNumberFormat="1">
      <alignment horizontal="right" vertical="bottom"/>
    </xf>
    <xf borderId="1" fillId="4" fontId="6" numFmtId="164" xfId="0" applyAlignment="1" applyBorder="1" applyFill="1" applyFont="1" applyNumberFormat="1">
      <alignment horizontal="right" vertical="bottom"/>
    </xf>
    <xf borderId="1" fillId="4" fontId="6" numFmtId="3" xfId="0" applyAlignment="1" applyBorder="1" applyFill="1" applyFont="1" applyNumberFormat="1">
      <alignment vertical="bottom"/>
    </xf>
    <xf borderId="1" fillId="4" fontId="6" numFmtId="49" xfId="0" applyAlignment="1" applyBorder="1" applyFill="1" applyFont="1" applyNumberFormat="1">
      <alignment vertical="bottom"/>
    </xf>
    <xf borderId="1" fillId="0" fontId="7" numFmtId="0" xfId="0" applyAlignment="1" applyBorder="1" applyFont="1">
      <alignment vertical="bottom"/>
    </xf>
    <xf borderId="1" fillId="4" fontId="3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right" vertical="bottom"/>
    </xf>
    <xf borderId="1" fillId="4" fontId="3" numFmtId="0" xfId="0" applyAlignment="1" applyBorder="1" applyFill="1" applyFont="1">
      <alignment horizontal="left" vertical="bottom"/>
    </xf>
    <xf quotePrefix="1" borderId="1" fillId="4" fontId="1" numFmtId="49" xfId="0" applyAlignment="1" applyBorder="1" applyFill="1" applyFont="1" applyNumberFormat="1">
      <alignment horizontal="center"/>
    </xf>
    <xf borderId="1" fillId="4" fontId="3" numFmtId="3" xfId="0" applyAlignment="1" applyBorder="1" applyFill="1" applyFont="1" applyNumberFormat="1">
      <alignment horizontal="center" vertical="center"/>
    </xf>
    <xf borderId="1" fillId="4" fontId="3" numFmtId="164" xfId="0" applyAlignment="1" applyBorder="1" applyFill="1" applyFont="1" applyNumberFormat="1">
      <alignment horizontal="right" vertical="bottom"/>
    </xf>
    <xf borderId="1" fillId="4" fontId="3" numFmtId="3" xfId="0" applyAlignment="1" applyBorder="1" applyFill="1" applyFont="1" applyNumberFormat="1">
      <alignment vertical="bottom"/>
    </xf>
    <xf borderId="1" fillId="4" fontId="3" numFmtId="3" xfId="0" applyAlignment="1" applyBorder="1" applyFill="1" applyFont="1" applyNumberFormat="1">
      <alignment horizontal="right" vertical="bottom"/>
    </xf>
    <xf borderId="1" fillId="4" fontId="3" numFmtId="49" xfId="0" applyAlignment="1" applyBorder="1" applyFill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4" fillId="9" fontId="3" numFmtId="0" xfId="0" applyAlignment="1" applyBorder="1" applyFill="1" applyFont="1">
      <alignment horizontal="center" readingOrder="0"/>
    </xf>
    <xf borderId="5" fillId="9" fontId="3" numFmtId="0" xfId="0" applyBorder="1" applyFill="1" applyFont="1"/>
    <xf borderId="5" fillId="9" fontId="3" numFmtId="0" xfId="0" applyAlignment="1" applyBorder="1" applyFill="1" applyFont="1">
      <alignment horizontal="center"/>
    </xf>
    <xf borderId="5" fillId="9" fontId="3" numFmtId="0" xfId="0" applyAlignment="1" applyBorder="1" applyFill="1" applyFont="1">
      <alignment horizontal="center" readingOrder="0"/>
    </xf>
    <xf borderId="6" fillId="9" fontId="3" numFmtId="0" xfId="0" applyAlignment="1" applyBorder="1" applyFill="1" applyFont="1">
      <alignment horizontal="center"/>
    </xf>
    <xf borderId="0" fillId="0" fontId="3" numFmtId="0" xfId="0" applyFont="1"/>
    <xf borderId="1" fillId="4" fontId="3" numFmtId="3" xfId="0" applyAlignment="1" applyBorder="1" applyFill="1" applyFont="1" applyNumberFormat="1">
      <alignment horizontal="center" readingOrder="0" vertical="bottom"/>
    </xf>
    <xf borderId="1" fillId="4" fontId="3" numFmtId="3" xfId="0" applyAlignment="1" applyBorder="1" applyFill="1" applyFont="1" applyNumberFormat="1">
      <alignment readingOrder="0" vertical="bottom"/>
    </xf>
    <xf borderId="0" fillId="0" fontId="3" numFmtId="164" xfId="0" applyAlignment="1" applyFont="1" applyNumberFormat="1">
      <alignment readingOrder="0" vertical="bottom"/>
    </xf>
    <xf borderId="7" fillId="7" fontId="3" numFmtId="0" xfId="0" applyAlignment="1" applyBorder="1" applyFill="1" applyFont="1">
      <alignment horizontal="center" readingOrder="0"/>
    </xf>
    <xf borderId="8" fillId="7" fontId="3" numFmtId="0" xfId="0" applyAlignment="1" applyBorder="1" applyFill="1" applyFont="1">
      <alignment readingOrder="0"/>
    </xf>
    <xf borderId="1" fillId="0" fontId="1" numFmtId="0" xfId="0" applyBorder="1" applyFont="1"/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" fillId="0" fontId="5" numFmtId="0" xfId="0" applyBorder="1" applyFont="1"/>
    <xf borderId="10" fillId="7" fontId="6" numFmtId="0" xfId="0" applyBorder="1" applyFill="1" applyFont="1"/>
    <xf borderId="1" fillId="7" fontId="6" numFmtId="0" xfId="0" applyBorder="1" applyFill="1" applyFont="1"/>
    <xf borderId="1" fillId="0" fontId="6" numFmtId="0" xfId="0" applyBorder="1" applyFont="1"/>
    <xf borderId="11" fillId="0" fontId="6" numFmtId="0" xfId="0" applyBorder="1" applyFont="1"/>
    <xf borderId="1" fillId="0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/>
    </xf>
    <xf borderId="1" fillId="4" fontId="3" numFmtId="0" xfId="0" applyAlignment="1" applyBorder="1" applyFill="1" applyFont="1">
      <alignment horizontal="left" readingOrder="0" vertical="bottom"/>
    </xf>
    <xf borderId="1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vertical="bottom"/>
    </xf>
    <xf borderId="1" fillId="4" fontId="5" numFmtId="0" xfId="0" applyAlignment="1" applyBorder="1" applyFill="1" applyFont="1">
      <alignment horizontal="center"/>
    </xf>
    <xf borderId="10" fillId="7" fontId="3" numFmtId="0" xfId="0" applyAlignment="1" applyBorder="1" applyFill="1" applyFont="1">
      <alignment horizontal="center" readingOrder="0"/>
    </xf>
    <xf borderId="1" fillId="0" fontId="1" numFmtId="3" xfId="0" applyAlignment="1" applyBorder="1" applyFont="1" applyNumberFormat="1">
      <alignment horizontal="center" readingOrder="0" vertical="center"/>
    </xf>
    <xf borderId="1" fillId="7" fontId="3" numFmtId="0" xfId="0" applyAlignment="1" applyBorder="1" applyFill="1" applyFont="1">
      <alignment readingOrder="0"/>
    </xf>
    <xf borderId="1" fillId="0" fontId="1" numFmtId="3" xfId="0" applyAlignment="1" applyBorder="1" applyFont="1" applyNumberFormat="1">
      <alignment horizontal="center" vertical="center"/>
    </xf>
    <xf borderId="1" fillId="0" fontId="7" numFmtId="0" xfId="0" applyBorder="1" applyFont="1"/>
    <xf borderId="1" fillId="0" fontId="3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 readingOrder="0" vertical="bottom"/>
    </xf>
    <xf quotePrefix="1" borderId="1" fillId="4" fontId="3" numFmtId="49" xfId="0" applyAlignment="1" applyBorder="1" applyFill="1" applyFont="1" applyNumberFormat="1">
      <alignment vertical="bottom"/>
    </xf>
    <xf borderId="1" fillId="7" fontId="8" numFmtId="0" xfId="0" applyAlignment="1" applyBorder="1" applyFill="1" applyFont="1">
      <alignment horizontal="center" vertical="bottom"/>
    </xf>
    <xf borderId="1" fillId="9" fontId="8" numFmtId="0" xfId="0" applyAlignment="1" applyBorder="1" applyFill="1" applyFont="1">
      <alignment horizontal="center" vertical="bottom"/>
    </xf>
    <xf borderId="1" fillId="4" fontId="3" numFmtId="3" xfId="0" applyAlignment="1" applyBorder="1" applyFill="1" applyFont="1" applyNumberFormat="1">
      <alignment shrinkToFit="0" vertical="bottom" wrapText="0"/>
    </xf>
    <xf borderId="1" fillId="4" fontId="3" numFmtId="3" xfId="0" applyAlignment="1" applyBorder="1" applyFill="1" applyFont="1" applyNumberFormat="1">
      <alignment horizontal="left" vertical="bottom"/>
    </xf>
    <xf borderId="10" fillId="7" fontId="6" numFmtId="0" xfId="0" applyAlignment="1" applyBorder="1" applyFill="1" applyFont="1">
      <alignment horizontal="center" readingOrder="0"/>
    </xf>
    <xf borderId="1" fillId="7" fontId="6" numFmtId="0" xfId="0" applyAlignment="1" applyBorder="1" applyFill="1" applyFont="1">
      <alignment horizontal="left" readingOrder="0"/>
    </xf>
    <xf borderId="1" fillId="7" fontId="1" numFmtId="0" xfId="0" applyAlignment="1" applyBorder="1" applyFill="1" applyFont="1">
      <alignment horizontal="center"/>
    </xf>
    <xf borderId="10" fillId="7" fontId="9" numFmtId="0" xfId="0" applyBorder="1" applyFill="1" applyFont="1"/>
    <xf borderId="1" fillId="7" fontId="9" numFmtId="0" xfId="0" applyBorder="1" applyFill="1" applyFont="1"/>
    <xf borderId="1" fillId="0" fontId="9" numFmtId="0" xfId="0" applyBorder="1" applyFont="1"/>
    <xf borderId="11" fillId="0" fontId="9" numFmtId="0" xfId="0" applyBorder="1" applyFont="1"/>
    <xf borderId="12" fillId="7" fontId="10" numFmtId="0" xfId="0" applyAlignment="1" applyBorder="1" applyFill="1" applyFont="1">
      <alignment horizontal="center" readingOrder="0"/>
    </xf>
    <xf borderId="13" fillId="7" fontId="10" numFmtId="0" xfId="0" applyAlignment="1" applyBorder="1" applyFill="1" applyFont="1">
      <alignment readingOrder="0"/>
    </xf>
    <xf borderId="13" fillId="7" fontId="3" numFmtId="0" xfId="0" applyAlignment="1" applyBorder="1" applyFill="1" applyFont="1">
      <alignment horizontal="center"/>
    </xf>
    <xf borderId="1" fillId="9" fontId="1" numFmtId="0" xfId="0" applyAlignment="1" applyBorder="1" applyFill="1" applyFont="1">
      <alignment horizontal="center"/>
    </xf>
    <xf borderId="14" fillId="7" fontId="3" numFmtId="0" xfId="0" applyAlignment="1" applyBorder="1" applyFill="1" applyFont="1">
      <alignment horizontal="center"/>
    </xf>
    <xf borderId="7" fillId="10" fontId="3" numFmtId="3" xfId="0" applyAlignment="1" applyBorder="1" applyFill="1" applyFont="1" applyNumberFormat="1">
      <alignment horizontal="center" readingOrder="0" vertical="bottom"/>
    </xf>
    <xf borderId="8" fillId="10" fontId="3" numFmtId="3" xfId="0" applyAlignment="1" applyBorder="1" applyFill="1" applyFont="1" applyNumberFormat="1">
      <alignment horizontal="left" vertical="bottom"/>
    </xf>
    <xf borderId="1" fillId="7" fontId="1" numFmtId="0" xfId="0" applyAlignment="1" applyBorder="1" applyFill="1" applyFon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1" fillId="7" fontId="11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0" fillId="10" fontId="3" numFmtId="0" xfId="0" applyAlignment="1" applyBorder="1" applyFill="1" applyFont="1">
      <alignment horizontal="center" readingOrder="0"/>
    </xf>
    <xf borderId="1" fillId="10" fontId="3" numFmtId="0" xfId="0" applyBorder="1" applyFill="1" applyFont="1"/>
    <xf borderId="10" fillId="0" fontId="9" numFmtId="0" xfId="0" applyBorder="1" applyFont="1"/>
    <xf borderId="10" fillId="10" fontId="9" numFmtId="0" xfId="0" applyBorder="1" applyFill="1" applyFont="1"/>
    <xf borderId="1" fillId="10" fontId="9" numFmtId="0" xfId="0" applyBorder="1" applyFill="1" applyFont="1"/>
    <xf borderId="12" fillId="10" fontId="10" numFmtId="0" xfId="0" applyAlignment="1" applyBorder="1" applyFill="1" applyFont="1">
      <alignment horizontal="center" readingOrder="0"/>
    </xf>
    <xf borderId="13" fillId="10" fontId="10" numFmtId="0" xfId="0" applyAlignment="1" applyBorder="1" applyFill="1" applyFont="1">
      <alignment readingOrder="0"/>
    </xf>
    <xf borderId="13" fillId="10" fontId="3" numFmtId="0" xfId="0" applyAlignment="1" applyBorder="1" applyFill="1" applyFont="1">
      <alignment horizontal="center"/>
    </xf>
    <xf borderId="14" fillId="10" fontId="3" numFmtId="0" xfId="0" applyAlignment="1" applyBorder="1" applyFill="1" applyFont="1">
      <alignment horizontal="center"/>
    </xf>
    <xf borderId="7" fillId="11" fontId="6" numFmtId="0" xfId="0" applyAlignment="1" applyBorder="1" applyFill="1" applyFont="1">
      <alignment horizontal="center" readingOrder="0"/>
    </xf>
    <xf borderId="8" fillId="11" fontId="6" numFmtId="0" xfId="0" applyBorder="1" applyFill="1" applyFont="1"/>
    <xf borderId="10" fillId="11" fontId="6" numFmtId="0" xfId="0" applyAlignment="1" applyBorder="1" applyFill="1" applyFont="1">
      <alignment horizontal="center" readingOrder="0"/>
    </xf>
    <xf borderId="1" fillId="11" fontId="6" numFmtId="0" xfId="0" applyAlignment="1" applyBorder="1" applyFill="1" applyFont="1">
      <alignment horizontal="left" readingOrder="0"/>
    </xf>
    <xf borderId="1" fillId="11" fontId="6" numFmtId="0" xfId="0" applyAlignment="1" applyBorder="1" applyFill="1" applyFont="1">
      <alignment readingOrder="0"/>
    </xf>
    <xf borderId="10" fillId="11" fontId="9" numFmtId="0" xfId="0" applyBorder="1" applyFill="1" applyFont="1"/>
    <xf borderId="1" fillId="11" fontId="9" numFmtId="0" xfId="0" applyBorder="1" applyFill="1" applyFont="1"/>
    <xf borderId="3" fillId="4" fontId="3" numFmtId="164" xfId="0" applyAlignment="1" applyBorder="1" applyFill="1" applyFont="1" applyNumberFormat="1">
      <alignment horizontal="right" vertical="center"/>
    </xf>
    <xf borderId="12" fillId="11" fontId="10" numFmtId="0" xfId="0" applyAlignment="1" applyBorder="1" applyFill="1" applyFont="1">
      <alignment horizontal="center" readingOrder="0"/>
    </xf>
    <xf borderId="13" fillId="11" fontId="10" numFmtId="0" xfId="0" applyAlignment="1" applyBorder="1" applyFill="1" applyFont="1">
      <alignment readingOrder="0"/>
    </xf>
    <xf borderId="13" fillId="11" fontId="3" numFmtId="0" xfId="0" applyAlignment="1" applyBorder="1" applyFill="1" applyFont="1">
      <alignment horizontal="center"/>
    </xf>
    <xf borderId="14" fillId="11" fontId="3" numFmtId="0" xfId="0" applyAlignment="1" applyBorder="1" applyFill="1" applyFont="1">
      <alignment horizontal="center"/>
    </xf>
    <xf borderId="15" fillId="0" fontId="12" numFmtId="0" xfId="0" applyBorder="1" applyFont="1"/>
    <xf borderId="7" fillId="0" fontId="13" numFmtId="0" xfId="0" applyAlignment="1" applyBorder="1" applyFont="1">
      <alignment horizontal="center"/>
    </xf>
    <xf borderId="8" fillId="0" fontId="13" numFmtId="0" xfId="0" applyBorder="1" applyFont="1"/>
    <xf borderId="12" fillId="0" fontId="3" numFmtId="0" xfId="0" applyAlignment="1" applyBorder="1" applyFont="1">
      <alignment horizontal="center" readingOrder="0"/>
    </xf>
    <xf borderId="13" fillId="0" fontId="3" numFmtId="0" xfId="0" applyAlignment="1" applyBorder="1" applyFont="1">
      <alignment readingOrder="0"/>
    </xf>
    <xf borderId="13" fillId="0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16" fillId="9" fontId="14" numFmtId="0" xfId="0" applyAlignment="1" applyBorder="1" applyFill="1" applyFont="1">
      <alignment horizontal="center"/>
    </xf>
    <xf borderId="17" fillId="9" fontId="14" numFmtId="0" xfId="0" applyBorder="1" applyFill="1" applyFont="1"/>
    <xf borderId="17" fillId="9" fontId="3" numFmtId="0" xfId="0" applyAlignment="1" applyBorder="1" applyFill="1" applyFont="1">
      <alignment horizontal="center"/>
    </xf>
    <xf borderId="18" fillId="9" fontId="3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1" fillId="4" fontId="3" numFmtId="164" xfId="0" applyAlignment="1" applyBorder="1" applyFill="1" applyFont="1" applyNumberFormat="1">
      <alignment vertical="bottom"/>
    </xf>
    <xf borderId="0" fillId="0" fontId="3" numFmtId="165" xfId="0" applyAlignment="1" applyFont="1" applyNumberFormat="1">
      <alignment vertical="bottom"/>
    </xf>
    <xf quotePrefix="1" borderId="3" fillId="4" fontId="6" numFmtId="49" xfId="0" applyAlignment="1" applyBorder="1" applyFill="1" applyFont="1" applyNumberFormat="1">
      <alignment horizontal="center" vertical="bottom"/>
    </xf>
    <xf borderId="3" fillId="4" fontId="6" numFmtId="3" xfId="0" applyAlignment="1" applyBorder="1" applyFill="1" applyFont="1" applyNumberFormat="1">
      <alignment horizontal="center" vertical="bottom"/>
    </xf>
    <xf borderId="1" fillId="4" fontId="3" numFmtId="0" xfId="0" applyAlignment="1" applyBorder="1" applyFill="1" applyFont="1">
      <alignment horizontal="right" readingOrder="0" vertical="bottom"/>
    </xf>
    <xf borderId="1" fillId="4" fontId="3" numFmtId="164" xfId="0" applyAlignment="1" applyBorder="1" applyFill="1" applyFont="1" applyNumberFormat="1">
      <alignment horizontal="right" vertical="center"/>
    </xf>
    <xf borderId="1" fillId="0" fontId="3" numFmtId="0" xfId="0" applyAlignment="1" applyBorder="1" applyFont="1">
      <alignment vertical="bottom"/>
    </xf>
    <xf borderId="1" fillId="4" fontId="3" numFmtId="164" xfId="0" applyAlignment="1" applyBorder="1" applyFill="1" applyFont="1" applyNumberFormat="1">
      <alignment horizontal="right" readingOrder="0" vertical="bottom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center" vertical="bottom"/>
    </xf>
    <xf borderId="3" fillId="0" fontId="3" numFmtId="0" xfId="0" applyAlignment="1" applyBorder="1" applyFont="1">
      <alignment horizontal="left" vertical="center"/>
    </xf>
    <xf borderId="3" fillId="4" fontId="3" numFmtId="3" xfId="0" applyAlignment="1" applyBorder="1" applyFill="1" applyFont="1" applyNumberFormat="1">
      <alignment horizontal="center" vertical="center"/>
    </xf>
    <xf borderId="3" fillId="4" fontId="3" numFmtId="164" xfId="0" applyAlignment="1" applyBorder="1" applyFill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right" vertical="bottom"/>
    </xf>
    <xf borderId="1" fillId="0" fontId="6" numFmtId="3" xfId="0" applyAlignment="1" applyBorder="1" applyFont="1" applyNumberFormat="1">
      <alignment horizontal="right" vertical="bottom"/>
    </xf>
    <xf borderId="1" fillId="4" fontId="3" numFmtId="3" xfId="0" applyAlignment="1" applyBorder="1" applyFill="1" applyFont="1" applyNumberFormat="1">
      <alignment horizontal="left" readingOrder="0"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3" xfId="0" applyAlignment="1" applyBorder="1" applyFont="1" applyNumberFormat="1">
      <alignment readingOrder="0" vertical="bottom"/>
    </xf>
    <xf borderId="1" fillId="0" fontId="3" numFmtId="3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right" readingOrder="0" vertical="bottom"/>
    </xf>
    <xf borderId="3" fillId="0" fontId="3" numFmtId="164" xfId="0" applyAlignment="1" applyBorder="1" applyFont="1" applyNumberFormat="1">
      <alignment horizontal="right" vertical="center"/>
    </xf>
    <xf borderId="19" fillId="0" fontId="12" numFmtId="0" xfId="0" applyBorder="1" applyFont="1"/>
    <xf borderId="1" fillId="0" fontId="3" numFmtId="12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center"/>
    </xf>
    <xf borderId="1" fillId="0" fontId="3" numFmtId="3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vertical="bottom"/>
    </xf>
    <xf borderId="1" fillId="4" fontId="3" numFmtId="0" xfId="0" applyBorder="1" applyFill="1" applyFont="1"/>
    <xf borderId="1" fillId="0" fontId="3" numFmtId="0" xfId="0" applyBorder="1" applyFont="1"/>
    <xf borderId="1" fillId="4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left"/>
    </xf>
    <xf borderId="1" fillId="0" fontId="3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right"/>
    </xf>
    <xf borderId="1" fillId="0" fontId="3" numFmtId="164" xfId="0" applyBorder="1" applyFont="1" applyNumberFormat="1"/>
    <xf borderId="0" fillId="0" fontId="3" numFmtId="164" xfId="0" applyFont="1" applyNumberFormat="1"/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0" fillId="0" fontId="3" numFmtId="164" xfId="0" applyAlignment="1" applyFont="1" applyNumberFormat="1">
      <alignment readingOrder="0"/>
    </xf>
    <xf borderId="1" fillId="4" fontId="3" numFmtId="0" xfId="0" applyAlignment="1" applyBorder="1" applyFill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4" fontId="3" numFmtId="0" xfId="0" applyAlignment="1" applyBorder="1" applyFill="1" applyFont="1">
      <alignment horizontal="center" readingOrder="0"/>
    </xf>
    <xf borderId="3" fillId="0" fontId="3" numFmtId="164" xfId="0" applyAlignment="1" applyBorder="1" applyFont="1" applyNumberFormat="1">
      <alignment vertical="center"/>
    </xf>
    <xf borderId="1" fillId="4" fontId="6" numFmtId="0" xfId="0" applyBorder="1" applyFill="1" applyFont="1"/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right"/>
    </xf>
    <xf borderId="1" fillId="0" fontId="6" numFmtId="164" xfId="0" applyBorder="1" applyFont="1" applyNumberFormat="1"/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horizontal="center"/>
    </xf>
    <xf borderId="1" fillId="0" fontId="6" numFmtId="0" xfId="0" applyAlignment="1" applyBorder="1" applyFont="1">
      <alignment horizontal="left"/>
    </xf>
    <xf borderId="1" fillId="0" fontId="6" numFmtId="0" xfId="0" applyAlignment="1" applyBorder="1" applyFont="1">
      <alignment horizontal="right"/>
    </xf>
    <xf borderId="0" fillId="0" fontId="6" numFmtId="164" xfId="0" applyFont="1" applyNumberFormat="1"/>
    <xf borderId="1" fillId="4" fontId="6" numFmtId="0" xfId="0" applyAlignment="1" applyBorder="1" applyFill="1" applyFont="1">
      <alignment horizontal="center"/>
    </xf>
    <xf borderId="1" fillId="4" fontId="6" numFmtId="0" xfId="0" applyAlignment="1" applyBorder="1" applyFill="1" applyFont="1">
      <alignment horizontal="left"/>
    </xf>
    <xf borderId="1" fillId="4" fontId="6" numFmtId="0" xfId="0" applyAlignment="1" applyBorder="1" applyFill="1" applyFont="1">
      <alignment horizontal="center" readingOrder="0"/>
    </xf>
    <xf borderId="1" fillId="4" fontId="6" numFmtId="0" xfId="0" applyAlignment="1" applyBorder="1" applyFill="1" applyFont="1">
      <alignment horizontal="left" readingOrder="0"/>
    </xf>
    <xf borderId="1" fillId="0" fontId="6" numFmtId="0" xfId="0" applyAlignment="1" applyBorder="1" applyFont="1">
      <alignment horizontal="left" readingOrder="0"/>
    </xf>
    <xf borderId="1" fillId="0" fontId="6" numFmtId="1" xfId="0" applyAlignment="1" applyBorder="1" applyFont="1" applyNumberFormat="1">
      <alignment horizontal="right" readingOrder="0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right" readingOrder="0"/>
    </xf>
    <xf borderId="1" fillId="0" fontId="6" numFmtId="164" xfId="0" applyAlignment="1" applyBorder="1" applyFont="1" applyNumberFormat="1">
      <alignment readingOrder="0"/>
    </xf>
    <xf borderId="1" fillId="4" fontId="6" numFmtId="0" xfId="0" applyAlignment="1" applyBorder="1" applyFill="1" applyFont="1">
      <alignment readingOrder="0"/>
    </xf>
    <xf borderId="0" fillId="4" fontId="15" numFmtId="0" xfId="0" applyAlignment="1" applyFill="1" applyFont="1">
      <alignment readingOrder="0"/>
    </xf>
    <xf borderId="1" fillId="4" fontId="15" numFmtId="0" xfId="0" applyAlignment="1" applyBorder="1" applyFill="1" applyFont="1">
      <alignment readingOrder="0"/>
    </xf>
    <xf borderId="0" fillId="0" fontId="3" numFmtId="0" xfId="0" applyAlignment="1" applyFont="1">
      <alignment horizontal="left"/>
    </xf>
    <xf borderId="0" fillId="4" fontId="3" numFmtId="0" xfId="0" applyAlignment="1" applyFill="1" applyFont="1">
      <alignment horizontal="center"/>
    </xf>
    <xf borderId="0" fillId="4" fontId="3" numFmtId="0" xfId="0" applyFill="1" applyFont="1"/>
    <xf borderId="0" fillId="0" fontId="3" numFmtId="164" xfId="0" applyAlignment="1" applyFont="1" applyNumberFormat="1">
      <alignment horizontal="right"/>
    </xf>
    <xf borderId="0" fillId="0" fontId="3" numFmtId="164" xfId="0" applyFont="1" applyNumberFormat="1"/>
    <xf borderId="0" fillId="4" fontId="3" numFmtId="0" xfId="0" applyAlignment="1" applyFill="1" applyFont="1">
      <alignment horizontal="center" vertical="bottom"/>
    </xf>
    <xf borderId="0" fillId="0" fontId="9" numFmtId="0" xfId="0" applyAlignment="1" applyFont="1">
      <alignment horizontal="center"/>
    </xf>
    <xf borderId="0" fillId="0" fontId="9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7.63"/>
    <col customWidth="1" min="2" max="2" width="9.13"/>
    <col customWidth="1" min="3" max="3" width="43.25"/>
    <col customWidth="1" min="4" max="4" width="10.38"/>
    <col customWidth="1" min="5" max="5" width="7.5"/>
    <col customWidth="1" min="6" max="6" width="10.75"/>
    <col customWidth="1" min="7" max="7" width="10.5"/>
    <col customWidth="1" min="8" max="9" width="10.38"/>
    <col customWidth="1" min="10" max="10" width="8.5"/>
    <col customWidth="1" min="11" max="11" width="8.88"/>
    <col customWidth="1" min="12" max="12" width="12.88"/>
    <col customWidth="1" min="13" max="13" width="15.63"/>
    <col customWidth="1" min="14" max="14" width="14.25"/>
    <col customWidth="1" min="15" max="15" width="11.38"/>
    <col customWidth="1" hidden="1" min="16" max="16" width="4.38"/>
    <col customWidth="1" hidden="1" min="17" max="17" width="13.13"/>
    <col customWidth="1" hidden="1" min="18" max="18" width="18.38"/>
    <col customWidth="1" hidden="1" min="19" max="19" width="35.0"/>
    <col customWidth="1" min="20" max="20" width="15.63"/>
    <col customWidth="1" min="21" max="21" width="5.25"/>
    <col customWidth="1" min="22" max="22" width="6.13"/>
    <col customWidth="1" min="23" max="23" width="10.88"/>
    <col customWidth="1" min="24" max="27" width="14.13"/>
  </cols>
  <sheetData>
    <row r="1" ht="48.75" customHeight="1">
      <c r="A1" s="5" t="s">
        <v>1</v>
      </c>
      <c r="B1" s="6" t="s">
        <v>0</v>
      </c>
      <c r="C1" s="8" t="s">
        <v>6</v>
      </c>
      <c r="D1" s="5" t="s">
        <v>8</v>
      </c>
      <c r="E1" s="6">
        <f>SUBTOTAL(9,E3:E201)</f>
        <v>152</v>
      </c>
      <c r="F1" s="17" t="s">
        <v>20</v>
      </c>
      <c r="G1" s="19"/>
      <c r="H1" s="19" t="s">
        <v>23</v>
      </c>
      <c r="I1" s="19" t="s">
        <v>24</v>
      </c>
      <c r="J1" s="19" t="s">
        <v>26</v>
      </c>
      <c r="K1" s="22" t="s">
        <v>29</v>
      </c>
      <c r="L1" s="22" t="s">
        <v>31</v>
      </c>
      <c r="M1" s="24" t="s">
        <v>35</v>
      </c>
      <c r="N1" s="25" t="s">
        <v>39</v>
      </c>
      <c r="O1" s="26" t="s">
        <v>42</v>
      </c>
      <c r="P1" s="28" t="s">
        <v>44</v>
      </c>
      <c r="Q1" s="30" t="s">
        <v>46</v>
      </c>
      <c r="R1" s="31" t="s">
        <v>49</v>
      </c>
      <c r="S1" s="30" t="s">
        <v>50</v>
      </c>
      <c r="T1" s="32"/>
      <c r="U1" s="33"/>
      <c r="V1" s="34"/>
      <c r="W1" s="33"/>
      <c r="X1" s="34"/>
      <c r="Y1" s="34"/>
      <c r="Z1" s="34"/>
      <c r="AA1" s="34"/>
      <c r="AB1" s="33"/>
      <c r="AC1" s="33"/>
      <c r="AD1" s="33"/>
      <c r="AE1" s="33"/>
      <c r="AF1" s="33"/>
      <c r="AG1" s="33"/>
      <c r="AH1" s="33"/>
      <c r="AI1" s="33"/>
      <c r="AJ1" s="33"/>
    </row>
    <row r="2" ht="15.75" hidden="1" customHeight="1">
      <c r="A2" s="35"/>
      <c r="B2" s="35"/>
      <c r="C2" s="35">
        <f>E3+E6+E18+E36+E37</f>
        <v>75</v>
      </c>
      <c r="D2" s="39"/>
      <c r="E2" s="42">
        <f>SUM(E3:E558)-E3-E6-E18-E36-E37-E55</f>
        <v>1469</v>
      </c>
      <c r="F2" s="35" t="s">
        <v>92</v>
      </c>
      <c r="G2" s="44"/>
      <c r="H2" s="44"/>
      <c r="I2" s="44" t="s">
        <v>97</v>
      </c>
      <c r="J2" s="46" t="s">
        <v>26</v>
      </c>
      <c r="K2" s="47"/>
      <c r="L2" s="47"/>
      <c r="M2" s="51">
        <f>SUBTOTAL(9,M4:M202)</f>
        <v>420500000</v>
      </c>
      <c r="N2" s="52"/>
      <c r="O2" s="52"/>
      <c r="P2" s="52"/>
      <c r="Q2" s="54">
        <f>SUM(Q3:Q111)</f>
        <v>7796591000</v>
      </c>
      <c r="R2" s="52"/>
      <c r="S2" s="52"/>
      <c r="T2" s="55"/>
      <c r="U2" s="55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</row>
    <row r="3" ht="15.75" hidden="1" customHeight="1">
      <c r="A3" s="60">
        <f t="shared" ref="A3:A150" si="1">if(B3="","",subtotal(3,$B$3:B3))</f>
        <v>0</v>
      </c>
      <c r="B3" s="60" t="s">
        <v>125</v>
      </c>
      <c r="C3" s="60" t="s">
        <v>128</v>
      </c>
      <c r="D3" s="62"/>
      <c r="E3" s="63">
        <v>15.0</v>
      </c>
      <c r="F3" s="60"/>
      <c r="G3" s="64"/>
      <c r="H3" s="66"/>
      <c r="I3" s="66"/>
      <c r="J3" s="67"/>
      <c r="K3" s="68"/>
      <c r="L3" s="68"/>
      <c r="M3" s="69">
        <v>3.2E7</v>
      </c>
      <c r="N3" s="70"/>
      <c r="O3" s="70" t="s">
        <v>137</v>
      </c>
      <c r="P3" s="63">
        <v>3.0</v>
      </c>
      <c r="Q3" s="68">
        <f t="shared" ref="Q3:Q8" si="2">M3*P3</f>
        <v>96000000</v>
      </c>
      <c r="R3" s="71" t="s">
        <v>146</v>
      </c>
      <c r="S3" s="70" t="s">
        <v>149</v>
      </c>
      <c r="T3" s="55"/>
      <c r="U3" s="55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</row>
    <row r="4" ht="15.75" hidden="1" customHeight="1">
      <c r="A4" s="62">
        <f t="shared" si="1"/>
        <v>0</v>
      </c>
      <c r="B4" s="73" t="s">
        <v>7</v>
      </c>
      <c r="C4" s="73" t="s">
        <v>9</v>
      </c>
      <c r="D4" s="74" t="s">
        <v>89</v>
      </c>
      <c r="E4" s="75">
        <v>10.0</v>
      </c>
      <c r="F4" s="76" t="s">
        <v>162</v>
      </c>
      <c r="G4" s="66" t="s">
        <v>162</v>
      </c>
      <c r="H4" s="66" t="s">
        <v>12</v>
      </c>
      <c r="I4" s="66" t="s">
        <v>165</v>
      </c>
      <c r="J4" s="78" t="s">
        <v>98</v>
      </c>
      <c r="K4" s="79"/>
      <c r="L4" s="79" t="s">
        <v>170</v>
      </c>
      <c r="M4" s="79">
        <v>3.1E7</v>
      </c>
      <c r="N4" s="80"/>
      <c r="O4" s="80" t="s">
        <v>173</v>
      </c>
      <c r="P4" s="75">
        <v>3.0</v>
      </c>
      <c r="Q4" s="81">
        <f t="shared" si="2"/>
        <v>93000000</v>
      </c>
      <c r="R4" s="82" t="s">
        <v>177</v>
      </c>
      <c r="S4" s="80" t="s">
        <v>180</v>
      </c>
      <c r="T4" s="83"/>
      <c r="U4" s="84"/>
      <c r="V4" s="85" t="s">
        <v>1</v>
      </c>
      <c r="W4" s="86" t="s">
        <v>92</v>
      </c>
      <c r="X4" s="87" t="s">
        <v>191</v>
      </c>
      <c r="Y4" s="88" t="s">
        <v>193</v>
      </c>
      <c r="Z4" s="87" t="s">
        <v>195</v>
      </c>
      <c r="AA4" s="89" t="s">
        <v>198</v>
      </c>
      <c r="AB4" s="90"/>
      <c r="AC4" s="90"/>
      <c r="AD4" s="90"/>
      <c r="AE4" s="90"/>
      <c r="AF4" s="90"/>
      <c r="AG4" s="90"/>
      <c r="AH4" s="90"/>
      <c r="AI4" s="90"/>
      <c r="AJ4" s="90"/>
    </row>
    <row r="5" ht="15.75" hidden="1" customHeight="1">
      <c r="A5" s="62">
        <f t="shared" si="1"/>
        <v>0</v>
      </c>
      <c r="B5" s="73" t="s">
        <v>14</v>
      </c>
      <c r="C5" s="73" t="s">
        <v>15</v>
      </c>
      <c r="D5" s="74" t="s">
        <v>89</v>
      </c>
      <c r="E5" s="75">
        <v>22.0</v>
      </c>
      <c r="F5" s="76" t="s">
        <v>16</v>
      </c>
      <c r="G5" s="91" t="s">
        <v>16</v>
      </c>
      <c r="H5" s="66" t="s">
        <v>208</v>
      </c>
      <c r="I5" s="66" t="s">
        <v>165</v>
      </c>
      <c r="J5" s="78" t="s">
        <v>98</v>
      </c>
      <c r="K5" s="79"/>
      <c r="L5" s="79" t="s">
        <v>211</v>
      </c>
      <c r="M5" s="79">
        <v>8.0E7</v>
      </c>
      <c r="N5" s="92" t="s">
        <v>214</v>
      </c>
      <c r="O5" s="80" t="s">
        <v>173</v>
      </c>
      <c r="P5" s="75">
        <v>3.0</v>
      </c>
      <c r="Q5" s="81">
        <f t="shared" si="2"/>
        <v>240000000</v>
      </c>
      <c r="R5" s="82" t="s">
        <v>218</v>
      </c>
      <c r="S5" s="80"/>
      <c r="T5" s="93" t="s">
        <v>221</v>
      </c>
      <c r="U5" s="84"/>
      <c r="V5" s="94">
        <v>1.0</v>
      </c>
      <c r="W5" s="95" t="s">
        <v>28</v>
      </c>
      <c r="X5" s="97">
        <f>sumif($F$4:$F$201,W5,$E$4:$E$201)</f>
        <v>152</v>
      </c>
      <c r="Y5" s="97">
        <f>sumif($G$4:$G$201,W5,$E$4:$E$201)</f>
        <v>152</v>
      </c>
      <c r="Z5" s="97">
        <f>COUNTIF($F$4:$F$201,W5)</f>
        <v>8</v>
      </c>
      <c r="AA5" s="98">
        <f>COUNTIF($G$4:$G$201,W5)</f>
        <v>8</v>
      </c>
      <c r="AB5" s="90"/>
      <c r="AC5" s="90"/>
      <c r="AD5" s="90"/>
      <c r="AE5" s="90"/>
      <c r="AF5" s="90"/>
      <c r="AG5" s="90"/>
      <c r="AH5" s="90"/>
      <c r="AI5" s="90"/>
      <c r="AJ5" s="90"/>
    </row>
    <row r="6" ht="15.75" hidden="1" customHeight="1">
      <c r="A6" s="60">
        <f t="shared" si="1"/>
        <v>0</v>
      </c>
      <c r="B6" s="60" t="s">
        <v>247</v>
      </c>
      <c r="C6" s="60" t="s">
        <v>249</v>
      </c>
      <c r="D6" s="62"/>
      <c r="E6" s="63">
        <v>7.0</v>
      </c>
      <c r="F6" s="60"/>
      <c r="G6" s="64"/>
      <c r="H6" s="66"/>
      <c r="I6" s="66"/>
      <c r="J6" s="67"/>
      <c r="K6" s="68"/>
      <c r="L6" s="68"/>
      <c r="M6" s="69">
        <v>8000000.0</v>
      </c>
      <c r="N6" s="70"/>
      <c r="O6" s="70"/>
      <c r="P6" s="63">
        <v>3.0</v>
      </c>
      <c r="Q6" s="68">
        <f t="shared" si="2"/>
        <v>24000000</v>
      </c>
      <c r="R6" s="71" t="s">
        <v>255</v>
      </c>
      <c r="S6" s="70" t="s">
        <v>257</v>
      </c>
      <c r="T6" s="55"/>
      <c r="U6" s="55"/>
      <c r="V6" s="100"/>
      <c r="W6" s="101"/>
      <c r="X6" s="102"/>
      <c r="Y6" s="102"/>
      <c r="Z6" s="102"/>
      <c r="AA6" s="103"/>
      <c r="AB6" s="57"/>
      <c r="AC6" s="57"/>
      <c r="AD6" s="57"/>
      <c r="AE6" s="57"/>
      <c r="AF6" s="57"/>
      <c r="AG6" s="57"/>
      <c r="AH6" s="57"/>
      <c r="AI6" s="57"/>
      <c r="AJ6" s="57"/>
    </row>
    <row r="7" ht="15.75" hidden="1" customHeight="1">
      <c r="A7" s="62">
        <f t="shared" si="1"/>
        <v>0</v>
      </c>
      <c r="B7" s="73" t="s">
        <v>18</v>
      </c>
      <c r="C7" s="73" t="s">
        <v>19</v>
      </c>
      <c r="D7" s="74" t="s">
        <v>89</v>
      </c>
      <c r="E7" s="75">
        <v>12.0</v>
      </c>
      <c r="F7" s="106" t="s">
        <v>266</v>
      </c>
      <c r="G7" s="91" t="s">
        <v>266</v>
      </c>
      <c r="H7" s="66" t="s">
        <v>208</v>
      </c>
      <c r="I7" s="66" t="s">
        <v>165</v>
      </c>
      <c r="J7" s="78" t="s">
        <v>98</v>
      </c>
      <c r="K7" s="79"/>
      <c r="L7" s="79" t="s">
        <v>269</v>
      </c>
      <c r="M7" s="79">
        <v>3.7E7</v>
      </c>
      <c r="N7" s="92" t="s">
        <v>170</v>
      </c>
      <c r="O7" s="80" t="s">
        <v>173</v>
      </c>
      <c r="P7" s="75">
        <v>3.0</v>
      </c>
      <c r="Q7" s="81">
        <f t="shared" si="2"/>
        <v>111000000</v>
      </c>
      <c r="R7" s="82" t="s">
        <v>276</v>
      </c>
      <c r="S7" s="80" t="s">
        <v>278</v>
      </c>
      <c r="T7" s="83">
        <f>M7/E7</f>
        <v>3083333.333</v>
      </c>
      <c r="U7" s="108" t="s">
        <v>221</v>
      </c>
      <c r="V7" s="110">
        <v>2.0</v>
      </c>
      <c r="W7" s="112" t="s">
        <v>21</v>
      </c>
      <c r="X7" s="115">
        <f t="shared" ref="X7:X11" si="3">sumif($F$4:$F$201,W7,$E$4:$E$201)</f>
        <v>152</v>
      </c>
      <c r="Y7" s="115">
        <f t="shared" ref="Y7:Y11" si="4">sumif($G$4:$G$201,W7,$E$4:$E$201)</f>
        <v>152</v>
      </c>
      <c r="Z7" s="115">
        <f t="shared" ref="Z7:Z11" si="5">COUNTIF($F$4:$F$201,W7)</f>
        <v>11</v>
      </c>
      <c r="AA7" s="117">
        <f t="shared" ref="AA7:AA11" si="6">COUNTIF($G$4:$G$201,W7)</f>
        <v>11</v>
      </c>
      <c r="AB7" s="90"/>
      <c r="AC7" s="90"/>
      <c r="AD7" s="90"/>
      <c r="AE7" s="90"/>
      <c r="AF7" s="90"/>
      <c r="AG7" s="90"/>
      <c r="AH7" s="90"/>
      <c r="AI7" s="90"/>
      <c r="AJ7" s="90"/>
    </row>
    <row r="8" ht="15.75" hidden="1" customHeight="1">
      <c r="A8" s="62">
        <f t="shared" si="1"/>
        <v>0</v>
      </c>
      <c r="B8" s="73" t="s">
        <v>25</v>
      </c>
      <c r="C8" s="73" t="s">
        <v>27</v>
      </c>
      <c r="D8" s="74" t="s">
        <v>89</v>
      </c>
      <c r="E8" s="75">
        <v>8.0</v>
      </c>
      <c r="F8" s="106" t="s">
        <v>296</v>
      </c>
      <c r="G8" s="91" t="s">
        <v>296</v>
      </c>
      <c r="H8" s="66" t="s">
        <v>208</v>
      </c>
      <c r="I8" s="66" t="s">
        <v>165</v>
      </c>
      <c r="J8" s="78" t="s">
        <v>98</v>
      </c>
      <c r="K8" s="79"/>
      <c r="L8" s="79" t="s">
        <v>297</v>
      </c>
      <c r="M8" s="79">
        <v>2.4E7</v>
      </c>
      <c r="N8" s="92" t="s">
        <v>269</v>
      </c>
      <c r="O8" s="80" t="s">
        <v>173</v>
      </c>
      <c r="P8" s="75">
        <v>3.0</v>
      </c>
      <c r="Q8" s="81">
        <f t="shared" si="2"/>
        <v>72000000</v>
      </c>
      <c r="R8" s="82" t="s">
        <v>298</v>
      </c>
      <c r="S8" s="80" t="s">
        <v>299</v>
      </c>
      <c r="T8" s="93" t="s">
        <v>221</v>
      </c>
      <c r="U8" s="84"/>
      <c r="V8" s="110">
        <v>3.0</v>
      </c>
      <c r="W8" s="112" t="s">
        <v>209</v>
      </c>
      <c r="X8" s="115">
        <f t="shared" si="3"/>
        <v>93</v>
      </c>
      <c r="Y8" s="115">
        <f t="shared" si="4"/>
        <v>104</v>
      </c>
      <c r="Z8" s="115">
        <f t="shared" si="5"/>
        <v>7</v>
      </c>
      <c r="AA8" s="117">
        <f t="shared" si="6"/>
        <v>8</v>
      </c>
      <c r="AB8" s="90"/>
      <c r="AE8" s="90"/>
      <c r="AF8" s="90"/>
      <c r="AG8" s="90"/>
      <c r="AH8" s="90"/>
      <c r="AI8" s="90"/>
      <c r="AJ8" s="90"/>
    </row>
    <row r="9" ht="15.75" hidden="1" customHeight="1">
      <c r="A9" s="62">
        <f t="shared" si="1"/>
        <v>0</v>
      </c>
      <c r="B9" s="73" t="s">
        <v>32</v>
      </c>
      <c r="C9" s="73" t="s">
        <v>33</v>
      </c>
      <c r="D9" s="118" t="s">
        <v>116</v>
      </c>
      <c r="E9" s="75">
        <v>9.0</v>
      </c>
      <c r="F9" s="106" t="s">
        <v>296</v>
      </c>
      <c r="G9" s="91" t="s">
        <v>296</v>
      </c>
      <c r="H9" s="66" t="s">
        <v>208</v>
      </c>
      <c r="I9" s="66" t="s">
        <v>165</v>
      </c>
      <c r="J9" s="78" t="s">
        <v>98</v>
      </c>
      <c r="K9" s="79"/>
      <c r="L9" s="79" t="s">
        <v>297</v>
      </c>
      <c r="M9" s="79">
        <v>3.3E7</v>
      </c>
      <c r="N9" s="92" t="s">
        <v>170</v>
      </c>
      <c r="O9" s="80" t="s">
        <v>173</v>
      </c>
      <c r="P9" s="75">
        <v>3.0</v>
      </c>
      <c r="Q9" s="81">
        <v>1.0E8</v>
      </c>
      <c r="R9" s="119" t="s">
        <v>300</v>
      </c>
      <c r="S9" s="80" t="s">
        <v>301</v>
      </c>
      <c r="T9" s="93" t="s">
        <v>221</v>
      </c>
      <c r="U9" s="84"/>
      <c r="V9" s="110">
        <v>4.0</v>
      </c>
      <c r="W9" s="112" t="s">
        <v>16</v>
      </c>
      <c r="X9" s="115">
        <f t="shared" si="3"/>
        <v>100</v>
      </c>
      <c r="Y9" s="115">
        <f t="shared" si="4"/>
        <v>100</v>
      </c>
      <c r="Z9" s="115">
        <f t="shared" si="5"/>
        <v>7</v>
      </c>
      <c r="AA9" s="117">
        <f t="shared" si="6"/>
        <v>7</v>
      </c>
      <c r="AB9" s="90"/>
      <c r="AE9" s="90"/>
      <c r="AF9" s="90"/>
      <c r="AG9" s="90"/>
      <c r="AH9" s="90"/>
      <c r="AI9" s="90"/>
      <c r="AJ9" s="90"/>
    </row>
    <row r="10" ht="15.75" customHeight="1">
      <c r="A10" s="62">
        <f t="shared" si="1"/>
        <v>1</v>
      </c>
      <c r="B10" s="73" t="s">
        <v>37</v>
      </c>
      <c r="C10" s="73" t="s">
        <v>38</v>
      </c>
      <c r="D10" s="74" t="s">
        <v>302</v>
      </c>
      <c r="E10" s="75">
        <v>8.0</v>
      </c>
      <c r="F10" s="106" t="s">
        <v>21</v>
      </c>
      <c r="G10" s="91" t="s">
        <v>21</v>
      </c>
      <c r="H10" s="66" t="s">
        <v>208</v>
      </c>
      <c r="I10" s="66" t="s">
        <v>303</v>
      </c>
      <c r="J10" s="78" t="s">
        <v>105</v>
      </c>
      <c r="K10" s="79"/>
      <c r="L10" s="79" t="s">
        <v>297</v>
      </c>
      <c r="M10" s="79">
        <v>2.4E7</v>
      </c>
      <c r="N10" s="92" t="s">
        <v>214</v>
      </c>
      <c r="O10" s="80" t="s">
        <v>173</v>
      </c>
      <c r="P10" s="75">
        <v>3.0</v>
      </c>
      <c r="Q10" s="81">
        <f t="shared" ref="Q10:Q19" si="7">M10*P10</f>
        <v>72000000</v>
      </c>
      <c r="R10" s="119" t="s">
        <v>305</v>
      </c>
      <c r="S10" s="122" t="s">
        <v>306</v>
      </c>
      <c r="T10" s="93" t="s">
        <v>221</v>
      </c>
      <c r="U10" s="84"/>
      <c r="V10" s="110">
        <v>5.0</v>
      </c>
      <c r="W10" s="112" t="s">
        <v>296</v>
      </c>
      <c r="X10" s="115">
        <f t="shared" si="3"/>
        <v>99</v>
      </c>
      <c r="Y10" s="115">
        <f t="shared" si="4"/>
        <v>99</v>
      </c>
      <c r="Z10" s="115">
        <f t="shared" si="5"/>
        <v>9</v>
      </c>
      <c r="AA10" s="117">
        <f t="shared" si="6"/>
        <v>9</v>
      </c>
      <c r="AB10" s="90"/>
      <c r="AE10" s="90"/>
      <c r="AF10" s="90"/>
      <c r="AG10" s="90"/>
      <c r="AH10" s="90"/>
      <c r="AI10" s="90"/>
      <c r="AJ10" s="90"/>
    </row>
    <row r="11" ht="15.75" hidden="1" customHeight="1">
      <c r="A11" s="62">
        <f t="shared" si="1"/>
        <v>1</v>
      </c>
      <c r="B11" s="73" t="s">
        <v>40</v>
      </c>
      <c r="C11" s="73" t="s">
        <v>41</v>
      </c>
      <c r="D11" s="118" t="s">
        <v>307</v>
      </c>
      <c r="E11" s="75">
        <v>9.0</v>
      </c>
      <c r="F11" s="123" t="s">
        <v>43</v>
      </c>
      <c r="G11" s="66" t="s">
        <v>43</v>
      </c>
      <c r="H11" s="66" t="s">
        <v>104</v>
      </c>
      <c r="I11" s="66" t="s">
        <v>165</v>
      </c>
      <c r="J11" s="78" t="s">
        <v>98</v>
      </c>
      <c r="K11" s="79"/>
      <c r="L11" s="79" t="s">
        <v>297</v>
      </c>
      <c r="M11" s="79">
        <v>2.0E7</v>
      </c>
      <c r="N11" s="80"/>
      <c r="O11" s="80" t="s">
        <v>173</v>
      </c>
      <c r="P11" s="75">
        <v>3.0</v>
      </c>
      <c r="Q11" s="81">
        <f t="shared" si="7"/>
        <v>60000000</v>
      </c>
      <c r="R11" s="119" t="s">
        <v>308</v>
      </c>
      <c r="S11" s="122" t="s">
        <v>309</v>
      </c>
      <c r="T11" s="83"/>
      <c r="U11" s="84"/>
      <c r="V11" s="124">
        <v>6.0</v>
      </c>
      <c r="W11" s="125" t="s">
        <v>266</v>
      </c>
      <c r="X11" s="115">
        <f t="shared" si="3"/>
        <v>97</v>
      </c>
      <c r="Y11" s="115">
        <f t="shared" si="4"/>
        <v>97</v>
      </c>
      <c r="Z11" s="115">
        <f t="shared" si="5"/>
        <v>9</v>
      </c>
      <c r="AA11" s="117">
        <f t="shared" si="6"/>
        <v>9</v>
      </c>
      <c r="AB11" s="90"/>
      <c r="AE11" s="90"/>
      <c r="AF11" s="90"/>
      <c r="AG11" s="90"/>
      <c r="AH11" s="90"/>
      <c r="AI11" s="90"/>
      <c r="AJ11" s="90"/>
    </row>
    <row r="12" ht="15.75" hidden="1" customHeight="1">
      <c r="A12" s="62">
        <f t="shared" si="1"/>
        <v>1</v>
      </c>
      <c r="B12" s="73" t="s">
        <v>47</v>
      </c>
      <c r="C12" s="73" t="s">
        <v>48</v>
      </c>
      <c r="D12" s="74" t="s">
        <v>89</v>
      </c>
      <c r="E12" s="75">
        <v>9.0</v>
      </c>
      <c r="F12" s="106" t="s">
        <v>266</v>
      </c>
      <c r="G12" s="118" t="s">
        <v>266</v>
      </c>
      <c r="H12" s="66" t="s">
        <v>208</v>
      </c>
      <c r="I12" s="66" t="s">
        <v>165</v>
      </c>
      <c r="J12" s="78" t="s">
        <v>98</v>
      </c>
      <c r="K12" s="79"/>
      <c r="L12" s="79" t="s">
        <v>297</v>
      </c>
      <c r="M12" s="79">
        <v>2.7E7</v>
      </c>
      <c r="N12" s="92" t="s">
        <v>311</v>
      </c>
      <c r="O12" s="80" t="s">
        <v>312</v>
      </c>
      <c r="P12" s="75">
        <v>6.0</v>
      </c>
      <c r="Q12" s="81">
        <f t="shared" si="7"/>
        <v>162000000</v>
      </c>
      <c r="R12" s="82" t="s">
        <v>314</v>
      </c>
      <c r="S12" s="80" t="s">
        <v>315</v>
      </c>
      <c r="T12" s="93" t="s">
        <v>221</v>
      </c>
      <c r="U12" s="84"/>
      <c r="V12" s="127"/>
      <c r="W12" s="128"/>
      <c r="X12" s="129"/>
      <c r="Y12" s="129"/>
      <c r="Z12" s="129"/>
      <c r="AA12" s="130"/>
      <c r="AB12" s="90"/>
      <c r="AE12" s="90"/>
      <c r="AF12" s="90"/>
      <c r="AG12" s="90"/>
      <c r="AH12" s="90"/>
      <c r="AI12" s="90"/>
      <c r="AJ12" s="90"/>
    </row>
    <row r="13" ht="15.75" hidden="1" customHeight="1">
      <c r="A13" s="62">
        <f t="shared" si="1"/>
        <v>1</v>
      </c>
      <c r="B13" s="73" t="s">
        <v>51</v>
      </c>
      <c r="C13" s="73" t="s">
        <v>52</v>
      </c>
      <c r="D13" s="74" t="s">
        <v>89</v>
      </c>
      <c r="E13" s="75">
        <v>11.0</v>
      </c>
      <c r="F13" s="106" t="s">
        <v>266</v>
      </c>
      <c r="G13" s="118" t="s">
        <v>266</v>
      </c>
      <c r="H13" s="66" t="s">
        <v>208</v>
      </c>
      <c r="I13" s="66" t="s">
        <v>165</v>
      </c>
      <c r="J13" s="78" t="s">
        <v>98</v>
      </c>
      <c r="K13" s="79"/>
      <c r="L13" s="79" t="s">
        <v>170</v>
      </c>
      <c r="M13" s="79">
        <v>3.3E7</v>
      </c>
      <c r="N13" s="92" t="s">
        <v>170</v>
      </c>
      <c r="O13" s="80" t="s">
        <v>173</v>
      </c>
      <c r="P13" s="75">
        <v>6.0</v>
      </c>
      <c r="Q13" s="81">
        <f t="shared" si="7"/>
        <v>198000000</v>
      </c>
      <c r="R13" s="82" t="s">
        <v>314</v>
      </c>
      <c r="S13" s="80" t="s">
        <v>315</v>
      </c>
      <c r="T13" s="93" t="s">
        <v>221</v>
      </c>
      <c r="U13" s="84"/>
      <c r="V13" s="127"/>
      <c r="W13" s="128"/>
      <c r="X13" s="129"/>
      <c r="Y13" s="129"/>
      <c r="Z13" s="129"/>
      <c r="AA13" s="130"/>
      <c r="AH13" s="90"/>
      <c r="AI13" s="90"/>
      <c r="AJ13" s="90"/>
    </row>
    <row r="14" ht="15.75" hidden="1" customHeight="1">
      <c r="A14" s="62">
        <f t="shared" si="1"/>
        <v>1</v>
      </c>
      <c r="B14" s="73" t="s">
        <v>53</v>
      </c>
      <c r="C14" s="73" t="s">
        <v>54</v>
      </c>
      <c r="D14" s="74" t="s">
        <v>317</v>
      </c>
      <c r="E14" s="75">
        <v>19.0</v>
      </c>
      <c r="F14" s="76" t="s">
        <v>55</v>
      </c>
      <c r="G14" s="66" t="s">
        <v>55</v>
      </c>
      <c r="H14" s="66" t="s">
        <v>104</v>
      </c>
      <c r="I14" s="66" t="s">
        <v>165</v>
      </c>
      <c r="J14" s="78" t="s">
        <v>105</v>
      </c>
      <c r="K14" s="79"/>
      <c r="L14" s="79" t="s">
        <v>297</v>
      </c>
      <c r="M14" s="79">
        <v>4.75E7</v>
      </c>
      <c r="N14" s="80"/>
      <c r="O14" s="80" t="s">
        <v>173</v>
      </c>
      <c r="P14" s="75">
        <v>3.0</v>
      </c>
      <c r="Q14" s="81">
        <f t="shared" si="7"/>
        <v>142500000</v>
      </c>
      <c r="R14" s="119" t="s">
        <v>318</v>
      </c>
      <c r="S14" s="80" t="s">
        <v>319</v>
      </c>
      <c r="T14" s="83"/>
      <c r="U14" s="84"/>
      <c r="V14" s="131"/>
      <c r="W14" s="132" t="s">
        <v>320</v>
      </c>
      <c r="X14" s="133">
        <f t="shared" ref="X14:AA14" si="8">sum(X5:X13)</f>
        <v>693</v>
      </c>
      <c r="Y14" s="133">
        <f t="shared" si="8"/>
        <v>704</v>
      </c>
      <c r="Z14" s="133">
        <f t="shared" si="8"/>
        <v>51</v>
      </c>
      <c r="AA14" s="135">
        <f t="shared" si="8"/>
        <v>52</v>
      </c>
      <c r="AH14" s="90"/>
      <c r="AI14" s="90"/>
      <c r="AJ14" s="90"/>
    </row>
    <row r="15" ht="15.75" hidden="1" customHeight="1">
      <c r="A15" s="62">
        <f t="shared" si="1"/>
        <v>1</v>
      </c>
      <c r="B15" s="73" t="s">
        <v>57</v>
      </c>
      <c r="C15" s="73" t="s">
        <v>54</v>
      </c>
      <c r="D15" s="74" t="s">
        <v>317</v>
      </c>
      <c r="E15" s="75">
        <v>19.0</v>
      </c>
      <c r="F15" s="76" t="s">
        <v>55</v>
      </c>
      <c r="G15" s="66" t="s">
        <v>55</v>
      </c>
      <c r="H15" s="66" t="s">
        <v>104</v>
      </c>
      <c r="I15" s="66" t="s">
        <v>165</v>
      </c>
      <c r="J15" s="78" t="s">
        <v>105</v>
      </c>
      <c r="K15" s="79"/>
      <c r="L15" s="79" t="s">
        <v>211</v>
      </c>
      <c r="M15" s="79">
        <v>6.65E7</v>
      </c>
      <c r="N15" s="80"/>
      <c r="O15" s="80" t="s">
        <v>312</v>
      </c>
      <c r="P15" s="75">
        <v>3.0</v>
      </c>
      <c r="Q15" s="81">
        <f t="shared" si="7"/>
        <v>199500000</v>
      </c>
      <c r="R15" s="119" t="s">
        <v>318</v>
      </c>
      <c r="S15" s="80" t="s">
        <v>319</v>
      </c>
      <c r="T15" s="83"/>
      <c r="U15" s="84"/>
      <c r="V15" s="136">
        <v>1.0</v>
      </c>
      <c r="W15" s="137" t="s">
        <v>55</v>
      </c>
      <c r="X15" s="97">
        <f t="shared" ref="X15:X17" si="9">sumif($F$4:$F$201,W15,$E$4:$E$201)</f>
        <v>191</v>
      </c>
      <c r="Y15" s="97">
        <f t="shared" ref="Y15:Y17" si="10">sumif($G$4:$G$201,W15,$E$4:$E$201)</f>
        <v>191</v>
      </c>
      <c r="Z15" s="97">
        <f t="shared" ref="Z15:Z17" si="11">COUNTIF($F$4:$F$201,W15)</f>
        <v>12</v>
      </c>
      <c r="AA15" s="98">
        <f t="shared" ref="AA15:AA17" si="12">COUNTIF($G$4:$G$201,W15)</f>
        <v>12</v>
      </c>
      <c r="AH15" s="90"/>
      <c r="AI15" s="90"/>
      <c r="AJ15" s="90"/>
    </row>
    <row r="16" ht="15.75" hidden="1" customHeight="1">
      <c r="A16" s="62">
        <f t="shared" si="1"/>
        <v>1</v>
      </c>
      <c r="B16" s="73" t="s">
        <v>58</v>
      </c>
      <c r="C16" s="73" t="s">
        <v>59</v>
      </c>
      <c r="D16" s="74" t="s">
        <v>89</v>
      </c>
      <c r="E16" s="75">
        <v>9.0</v>
      </c>
      <c r="F16" s="106" t="s">
        <v>296</v>
      </c>
      <c r="G16" s="91" t="s">
        <v>296</v>
      </c>
      <c r="H16" s="66" t="s">
        <v>208</v>
      </c>
      <c r="I16" s="66" t="s">
        <v>165</v>
      </c>
      <c r="J16" s="78" t="s">
        <v>105</v>
      </c>
      <c r="K16" s="79"/>
      <c r="L16" s="79" t="s">
        <v>297</v>
      </c>
      <c r="M16" s="79">
        <f>30000000-2670000</f>
        <v>27330000</v>
      </c>
      <c r="N16" s="92" t="s">
        <v>170</v>
      </c>
      <c r="O16" s="80" t="s">
        <v>173</v>
      </c>
      <c r="P16" s="75">
        <v>3.0</v>
      </c>
      <c r="Q16" s="81">
        <f t="shared" si="7"/>
        <v>81990000</v>
      </c>
      <c r="R16" s="82" t="s">
        <v>327</v>
      </c>
      <c r="S16" s="80" t="s">
        <v>328</v>
      </c>
      <c r="T16" s="93" t="s">
        <v>221</v>
      </c>
      <c r="U16" s="84"/>
      <c r="V16" s="142">
        <v>2.0</v>
      </c>
      <c r="W16" s="143" t="s">
        <v>43</v>
      </c>
      <c r="X16" s="115">
        <f t="shared" si="9"/>
        <v>136</v>
      </c>
      <c r="Y16" s="115">
        <f t="shared" si="10"/>
        <v>136</v>
      </c>
      <c r="Z16" s="115">
        <f t="shared" si="11"/>
        <v>12</v>
      </c>
      <c r="AA16" s="117">
        <f t="shared" si="12"/>
        <v>12</v>
      </c>
      <c r="AH16" s="90"/>
      <c r="AI16" s="90"/>
      <c r="AJ16" s="90"/>
    </row>
    <row r="17" ht="15.75" hidden="1" customHeight="1">
      <c r="A17" s="62">
        <f t="shared" si="1"/>
        <v>1</v>
      </c>
      <c r="B17" s="73" t="s">
        <v>60</v>
      </c>
      <c r="C17" s="73" t="s">
        <v>61</v>
      </c>
      <c r="D17" s="74" t="s">
        <v>89</v>
      </c>
      <c r="E17" s="75">
        <v>19.0</v>
      </c>
      <c r="F17" s="76" t="s">
        <v>55</v>
      </c>
      <c r="G17" s="74" t="s">
        <v>55</v>
      </c>
      <c r="H17" s="66" t="s">
        <v>104</v>
      </c>
      <c r="I17" s="66" t="s">
        <v>165</v>
      </c>
      <c r="J17" s="78" t="s">
        <v>98</v>
      </c>
      <c r="K17" s="79"/>
      <c r="L17" s="79" t="s">
        <v>297</v>
      </c>
      <c r="M17" s="79">
        <v>4.0E7</v>
      </c>
      <c r="N17" s="80"/>
      <c r="O17" s="80" t="s">
        <v>173</v>
      </c>
      <c r="P17" s="75">
        <v>6.0</v>
      </c>
      <c r="Q17" s="81">
        <f t="shared" si="7"/>
        <v>240000000</v>
      </c>
      <c r="R17" s="82" t="s">
        <v>218</v>
      </c>
      <c r="S17" s="80"/>
      <c r="T17" s="83"/>
      <c r="U17" s="84"/>
      <c r="V17" s="142">
        <v>3.0</v>
      </c>
      <c r="W17" s="143" t="s">
        <v>294</v>
      </c>
      <c r="X17" s="115">
        <f t="shared" si="9"/>
        <v>101</v>
      </c>
      <c r="Y17" s="115">
        <f t="shared" si="10"/>
        <v>101</v>
      </c>
      <c r="Z17" s="115">
        <f t="shared" si="11"/>
        <v>8</v>
      </c>
      <c r="AA17" s="117">
        <f t="shared" si="12"/>
        <v>8</v>
      </c>
      <c r="AH17" s="90"/>
      <c r="AI17" s="90"/>
      <c r="AJ17" s="90"/>
    </row>
    <row r="18" ht="15.75" hidden="1" customHeight="1">
      <c r="A18" s="60">
        <f t="shared" si="1"/>
        <v>1</v>
      </c>
      <c r="B18" s="60" t="s">
        <v>331</v>
      </c>
      <c r="C18" s="60" t="s">
        <v>332</v>
      </c>
      <c r="D18" s="62"/>
      <c r="E18" s="63">
        <v>7.0</v>
      </c>
      <c r="F18" s="60"/>
      <c r="G18" s="64"/>
      <c r="H18" s="66"/>
      <c r="I18" s="66"/>
      <c r="J18" s="67"/>
      <c r="K18" s="68"/>
      <c r="L18" s="68"/>
      <c r="M18" s="69">
        <v>1.5E7</v>
      </c>
      <c r="N18" s="70"/>
      <c r="O18" s="70" t="s">
        <v>137</v>
      </c>
      <c r="P18" s="63">
        <v>6.0</v>
      </c>
      <c r="Q18" s="68">
        <f t="shared" si="7"/>
        <v>90000000</v>
      </c>
      <c r="R18" s="71" t="s">
        <v>333</v>
      </c>
      <c r="S18" s="70" t="s">
        <v>334</v>
      </c>
      <c r="T18" s="55"/>
      <c r="U18" s="55"/>
      <c r="V18" s="144"/>
      <c r="W18" s="129"/>
      <c r="X18" s="129"/>
      <c r="Y18" s="129"/>
      <c r="Z18" s="129"/>
      <c r="AA18" s="130"/>
      <c r="AH18" s="57"/>
      <c r="AI18" s="57"/>
      <c r="AJ18" s="57"/>
    </row>
    <row r="19" ht="15.75" hidden="1" customHeight="1">
      <c r="A19" s="62">
        <f t="shared" si="1"/>
        <v>1</v>
      </c>
      <c r="B19" s="73" t="s">
        <v>62</v>
      </c>
      <c r="C19" s="73" t="s">
        <v>63</v>
      </c>
      <c r="D19" s="74" t="s">
        <v>89</v>
      </c>
      <c r="E19" s="75">
        <v>17.0</v>
      </c>
      <c r="F19" s="76" t="s">
        <v>16</v>
      </c>
      <c r="G19" s="91" t="s">
        <v>16</v>
      </c>
      <c r="H19" s="66" t="s">
        <v>208</v>
      </c>
      <c r="I19" s="66" t="s">
        <v>165</v>
      </c>
      <c r="J19" s="78" t="s">
        <v>98</v>
      </c>
      <c r="K19" s="79"/>
      <c r="L19" s="79" t="s">
        <v>297</v>
      </c>
      <c r="M19" s="79">
        <v>2.4E7</v>
      </c>
      <c r="N19" s="92" t="s">
        <v>269</v>
      </c>
      <c r="O19" s="80" t="s">
        <v>173</v>
      </c>
      <c r="P19" s="75">
        <v>3.0</v>
      </c>
      <c r="Q19" s="81">
        <f t="shared" si="7"/>
        <v>72000000</v>
      </c>
      <c r="R19" s="82" t="s">
        <v>218</v>
      </c>
      <c r="S19" s="80"/>
      <c r="T19" s="93" t="s">
        <v>221</v>
      </c>
      <c r="U19" s="84"/>
      <c r="V19" s="145"/>
      <c r="W19" s="146"/>
      <c r="X19" s="129"/>
      <c r="Y19" s="129"/>
      <c r="Z19" s="129"/>
      <c r="AA19" s="130"/>
      <c r="AH19" s="90"/>
      <c r="AI19" s="90"/>
      <c r="AJ19" s="90"/>
    </row>
    <row r="20" ht="15.75" hidden="1" customHeight="1">
      <c r="A20" s="62">
        <f t="shared" si="1"/>
        <v>1</v>
      </c>
      <c r="B20" s="73" t="s">
        <v>64</v>
      </c>
      <c r="C20" s="73" t="s">
        <v>65</v>
      </c>
      <c r="D20" s="74" t="s">
        <v>89</v>
      </c>
      <c r="E20" s="75">
        <v>18.0</v>
      </c>
      <c r="F20" s="106" t="s">
        <v>296</v>
      </c>
      <c r="G20" s="91" t="s">
        <v>296</v>
      </c>
      <c r="H20" s="66" t="s">
        <v>208</v>
      </c>
      <c r="I20" s="66" t="s">
        <v>165</v>
      </c>
      <c r="J20" s="78" t="s">
        <v>98</v>
      </c>
      <c r="K20" s="79"/>
      <c r="L20" s="79" t="s">
        <v>170</v>
      </c>
      <c r="M20" s="79">
        <v>6.0E7</v>
      </c>
      <c r="N20" s="92" t="s">
        <v>269</v>
      </c>
      <c r="O20" s="80" t="s">
        <v>173</v>
      </c>
      <c r="P20" s="75">
        <v>3.0</v>
      </c>
      <c r="Q20" s="81">
        <v>1.4E8</v>
      </c>
      <c r="R20" s="82" t="s">
        <v>218</v>
      </c>
      <c r="S20" s="80"/>
      <c r="T20" s="93" t="s">
        <v>221</v>
      </c>
      <c r="U20" s="84"/>
      <c r="V20" s="145"/>
      <c r="W20" s="146"/>
      <c r="X20" s="129"/>
      <c r="Y20" s="129"/>
      <c r="Z20" s="129"/>
      <c r="AA20" s="130"/>
      <c r="AH20" s="90"/>
      <c r="AI20" s="90"/>
      <c r="AJ20" s="90"/>
    </row>
    <row r="21" ht="15.75" hidden="1" customHeight="1">
      <c r="A21" s="62">
        <f t="shared" si="1"/>
        <v>1</v>
      </c>
      <c r="B21" s="73" t="s">
        <v>66</v>
      </c>
      <c r="C21" s="73" t="s">
        <v>67</v>
      </c>
      <c r="D21" s="74" t="s">
        <v>302</v>
      </c>
      <c r="E21" s="75">
        <v>9.0</v>
      </c>
      <c r="F21" s="76" t="s">
        <v>16</v>
      </c>
      <c r="G21" s="91" t="s">
        <v>16</v>
      </c>
      <c r="H21" s="66" t="s">
        <v>208</v>
      </c>
      <c r="I21" s="66" t="s">
        <v>165</v>
      </c>
      <c r="J21" s="78" t="s">
        <v>105</v>
      </c>
      <c r="K21" s="79"/>
      <c r="L21" s="79" t="s">
        <v>297</v>
      </c>
      <c r="M21" s="79">
        <v>2.34E7</v>
      </c>
      <c r="N21" s="92" t="s">
        <v>170</v>
      </c>
      <c r="O21" s="80" t="s">
        <v>173</v>
      </c>
      <c r="P21" s="75">
        <v>3.0</v>
      </c>
      <c r="Q21" s="81">
        <f t="shared" ref="Q21:Q27" si="14">M21*P21</f>
        <v>70200000</v>
      </c>
      <c r="R21" s="82" t="s">
        <v>335</v>
      </c>
      <c r="S21" s="80" t="s">
        <v>336</v>
      </c>
      <c r="T21" s="93" t="s">
        <v>221</v>
      </c>
      <c r="U21" s="84"/>
      <c r="V21" s="147"/>
      <c r="W21" s="148" t="s">
        <v>337</v>
      </c>
      <c r="X21" s="149">
        <f t="shared" ref="X21:AA21" si="13">sum(X15:X20)</f>
        <v>428</v>
      </c>
      <c r="Y21" s="149">
        <f t="shared" si="13"/>
        <v>428</v>
      </c>
      <c r="Z21" s="149">
        <f t="shared" si="13"/>
        <v>32</v>
      </c>
      <c r="AA21" s="150">
        <f t="shared" si="13"/>
        <v>32</v>
      </c>
      <c r="AH21" s="90"/>
      <c r="AI21" s="90"/>
      <c r="AJ21" s="90"/>
    </row>
    <row r="22" ht="15.75" hidden="1" customHeight="1">
      <c r="A22" s="62">
        <f t="shared" si="1"/>
        <v>1</v>
      </c>
      <c r="B22" s="73" t="s">
        <v>68</v>
      </c>
      <c r="C22" s="73" t="s">
        <v>338</v>
      </c>
      <c r="D22" s="118" t="s">
        <v>129</v>
      </c>
      <c r="E22" s="75">
        <v>10.0</v>
      </c>
      <c r="F22" s="76" t="s">
        <v>16</v>
      </c>
      <c r="G22" s="91" t="s">
        <v>16</v>
      </c>
      <c r="H22" s="66" t="s">
        <v>208</v>
      </c>
      <c r="I22" s="66" t="s">
        <v>165</v>
      </c>
      <c r="J22" s="78" t="s">
        <v>98</v>
      </c>
      <c r="K22" s="79"/>
      <c r="L22" s="79" t="s">
        <v>297</v>
      </c>
      <c r="M22" s="79">
        <v>2.5E7</v>
      </c>
      <c r="N22" s="92" t="s">
        <v>269</v>
      </c>
      <c r="O22" s="80" t="s">
        <v>173</v>
      </c>
      <c r="P22" s="75">
        <v>4.0</v>
      </c>
      <c r="Q22" s="81">
        <f t="shared" si="14"/>
        <v>100000000</v>
      </c>
      <c r="R22" s="82" t="s">
        <v>339</v>
      </c>
      <c r="S22" s="80" t="s">
        <v>340</v>
      </c>
      <c r="T22" s="93" t="s">
        <v>221</v>
      </c>
      <c r="U22" s="84"/>
      <c r="V22" s="151">
        <v>1.0</v>
      </c>
      <c r="W22" s="152" t="s">
        <v>111</v>
      </c>
      <c r="X22" s="97">
        <f t="shared" ref="X22:X24" si="15">sumif($F$4:$F$201,W22,$E$4:$E$201)</f>
        <v>87</v>
      </c>
      <c r="Y22" s="97">
        <f t="shared" ref="Y22:Y24" si="16">sumif($G$4:$G$201,W22,$E$4:$E$201)</f>
        <v>87</v>
      </c>
      <c r="Z22" s="97">
        <f t="shared" ref="Z22:Z24" si="17">COUNTIF($F$4:$F$201,W22)</f>
        <v>7</v>
      </c>
      <c r="AA22" s="98">
        <f t="shared" ref="AA22:AA24" si="18">COUNTIF($G$4:$G$201,W22)</f>
        <v>7</v>
      </c>
      <c r="AH22" s="90"/>
      <c r="AI22" s="90"/>
      <c r="AJ22" s="90"/>
    </row>
    <row r="23" ht="15.75" hidden="1" customHeight="1">
      <c r="A23" s="62">
        <f t="shared" si="1"/>
        <v>1</v>
      </c>
      <c r="B23" s="73" t="s">
        <v>70</v>
      </c>
      <c r="C23" s="73" t="s">
        <v>71</v>
      </c>
      <c r="D23" s="118" t="s">
        <v>116</v>
      </c>
      <c r="E23" s="75">
        <v>38.0</v>
      </c>
      <c r="F23" s="106" t="s">
        <v>28</v>
      </c>
      <c r="G23" s="91" t="s">
        <v>28</v>
      </c>
      <c r="H23" s="66" t="s">
        <v>208</v>
      </c>
      <c r="I23" s="66" t="s">
        <v>165</v>
      </c>
      <c r="J23" s="78" t="s">
        <v>98</v>
      </c>
      <c r="K23" s="79"/>
      <c r="L23" s="79" t="s">
        <v>297</v>
      </c>
      <c r="M23" s="79">
        <f>110000000+5000000</f>
        <v>115000000</v>
      </c>
      <c r="N23" s="92" t="s">
        <v>170</v>
      </c>
      <c r="O23" s="80" t="s">
        <v>173</v>
      </c>
      <c r="P23" s="75">
        <v>3.0</v>
      </c>
      <c r="Q23" s="81">
        <f t="shared" si="14"/>
        <v>345000000</v>
      </c>
      <c r="R23" s="82" t="s">
        <v>341</v>
      </c>
      <c r="S23" s="80" t="s">
        <v>342</v>
      </c>
      <c r="T23" s="93" t="s">
        <v>221</v>
      </c>
      <c r="U23" s="84"/>
      <c r="V23" s="153">
        <v>2.0</v>
      </c>
      <c r="W23" s="154" t="s">
        <v>162</v>
      </c>
      <c r="X23" s="115">
        <f t="shared" si="15"/>
        <v>149</v>
      </c>
      <c r="Y23" s="115">
        <f t="shared" si="16"/>
        <v>149</v>
      </c>
      <c r="Z23" s="115">
        <f t="shared" si="17"/>
        <v>11</v>
      </c>
      <c r="AA23" s="117">
        <f t="shared" si="18"/>
        <v>11</v>
      </c>
      <c r="AH23" s="90"/>
      <c r="AI23" s="90"/>
      <c r="AJ23" s="90"/>
    </row>
    <row r="24" ht="15.75" hidden="1" customHeight="1">
      <c r="A24" s="62">
        <f t="shared" si="1"/>
        <v>1</v>
      </c>
      <c r="B24" s="73" t="s">
        <v>72</v>
      </c>
      <c r="C24" s="73" t="s">
        <v>73</v>
      </c>
      <c r="D24" s="74" t="s">
        <v>89</v>
      </c>
      <c r="E24" s="75">
        <v>15.0</v>
      </c>
      <c r="F24" s="106" t="s">
        <v>296</v>
      </c>
      <c r="G24" s="91" t="s">
        <v>296</v>
      </c>
      <c r="H24" s="66" t="s">
        <v>208</v>
      </c>
      <c r="I24" s="66" t="s">
        <v>165</v>
      </c>
      <c r="J24" s="78" t="s">
        <v>98</v>
      </c>
      <c r="K24" s="79"/>
      <c r="L24" s="79" t="s">
        <v>297</v>
      </c>
      <c r="M24" s="79">
        <v>5.0E7</v>
      </c>
      <c r="N24" s="92" t="s">
        <v>214</v>
      </c>
      <c r="O24" s="80" t="s">
        <v>312</v>
      </c>
      <c r="P24" s="75">
        <v>3.0</v>
      </c>
      <c r="Q24" s="81">
        <f t="shared" si="14"/>
        <v>150000000</v>
      </c>
      <c r="R24" s="82" t="s">
        <v>343</v>
      </c>
      <c r="S24" s="80" t="s">
        <v>344</v>
      </c>
      <c r="T24" s="93" t="s">
        <v>221</v>
      </c>
      <c r="U24" s="84"/>
      <c r="V24" s="153">
        <v>3.0</v>
      </c>
      <c r="W24" s="155" t="s">
        <v>34</v>
      </c>
      <c r="X24" s="115">
        <f t="shared" si="15"/>
        <v>87</v>
      </c>
      <c r="Y24" s="115">
        <f t="shared" si="16"/>
        <v>87</v>
      </c>
      <c r="Z24" s="115">
        <f t="shared" si="17"/>
        <v>6</v>
      </c>
      <c r="AA24" s="117">
        <f t="shared" si="18"/>
        <v>6</v>
      </c>
      <c r="AC24" s="90"/>
      <c r="AD24" s="90"/>
      <c r="AH24" s="90"/>
      <c r="AI24" s="90"/>
      <c r="AJ24" s="90"/>
    </row>
    <row r="25" ht="15.75" hidden="1" customHeight="1">
      <c r="A25" s="62">
        <f t="shared" si="1"/>
        <v>1</v>
      </c>
      <c r="B25" s="73" t="s">
        <v>74</v>
      </c>
      <c r="C25" s="73" t="s">
        <v>75</v>
      </c>
      <c r="D25" s="74" t="s">
        <v>317</v>
      </c>
      <c r="E25" s="75">
        <v>16.0</v>
      </c>
      <c r="F25" s="76" t="s">
        <v>162</v>
      </c>
      <c r="G25" s="91" t="s">
        <v>162</v>
      </c>
      <c r="H25" s="66" t="s">
        <v>12</v>
      </c>
      <c r="I25" s="66" t="s">
        <v>345</v>
      </c>
      <c r="J25" s="78" t="s">
        <v>105</v>
      </c>
      <c r="K25" s="79"/>
      <c r="L25" s="79" t="s">
        <v>346</v>
      </c>
      <c r="M25" s="79">
        <f>57600000-7600000</f>
        <v>50000000</v>
      </c>
      <c r="N25" s="80"/>
      <c r="O25" s="80" t="s">
        <v>312</v>
      </c>
      <c r="P25" s="75">
        <v>3.0</v>
      </c>
      <c r="Q25" s="81">
        <f t="shared" si="14"/>
        <v>150000000</v>
      </c>
      <c r="R25" s="82"/>
      <c r="S25" s="80"/>
      <c r="T25" s="83"/>
      <c r="U25" s="84"/>
      <c r="V25" s="156"/>
      <c r="W25" s="157"/>
      <c r="X25" s="129"/>
      <c r="Y25" s="129"/>
      <c r="Z25" s="129"/>
      <c r="AA25" s="130"/>
      <c r="AB25" s="90"/>
      <c r="AC25" s="90"/>
      <c r="AD25" s="90"/>
      <c r="AE25" s="90"/>
      <c r="AF25" s="90"/>
      <c r="AG25" s="90"/>
      <c r="AH25" s="90"/>
      <c r="AI25" s="90"/>
      <c r="AJ25" s="90"/>
    </row>
    <row r="26" ht="15.75" hidden="1" customHeight="1">
      <c r="A26" s="62">
        <f t="shared" si="1"/>
        <v>1</v>
      </c>
      <c r="B26" s="73" t="s">
        <v>76</v>
      </c>
      <c r="C26" s="73" t="s">
        <v>77</v>
      </c>
      <c r="D26" s="118" t="s">
        <v>347</v>
      </c>
      <c r="E26" s="75">
        <v>24.0</v>
      </c>
      <c r="F26" s="76" t="s">
        <v>34</v>
      </c>
      <c r="G26" s="74" t="s">
        <v>34</v>
      </c>
      <c r="H26" s="91" t="s">
        <v>12</v>
      </c>
      <c r="I26" s="66" t="s">
        <v>165</v>
      </c>
      <c r="J26" s="78" t="s">
        <v>98</v>
      </c>
      <c r="K26" s="79"/>
      <c r="L26" s="79" t="s">
        <v>211</v>
      </c>
      <c r="M26" s="79">
        <f>69600000-9600000</f>
        <v>60000000</v>
      </c>
      <c r="N26" s="92" t="s">
        <v>170</v>
      </c>
      <c r="O26" s="80" t="s">
        <v>348</v>
      </c>
      <c r="P26" s="75">
        <v>3.0</v>
      </c>
      <c r="Q26" s="81">
        <f t="shared" si="14"/>
        <v>180000000</v>
      </c>
      <c r="R26" s="82" t="s">
        <v>349</v>
      </c>
      <c r="S26" s="80" t="s">
        <v>350</v>
      </c>
      <c r="T26" s="83"/>
      <c r="U26" s="84"/>
      <c r="V26" s="156"/>
      <c r="W26" s="157"/>
      <c r="X26" s="129"/>
      <c r="Y26" s="129"/>
      <c r="Z26" s="129"/>
      <c r="AA26" s="130"/>
      <c r="AB26" s="90"/>
      <c r="AC26" s="90"/>
      <c r="AD26" s="90"/>
      <c r="AE26" s="90"/>
      <c r="AF26" s="90"/>
      <c r="AG26" s="90"/>
      <c r="AH26" s="90"/>
      <c r="AI26" s="90"/>
      <c r="AJ26" s="90"/>
    </row>
    <row r="27" ht="15.75" hidden="1" customHeight="1">
      <c r="A27" s="62">
        <f t="shared" si="1"/>
        <v>1</v>
      </c>
      <c r="B27" s="73" t="s">
        <v>190</v>
      </c>
      <c r="C27" s="73" t="s">
        <v>79</v>
      </c>
      <c r="D27" s="118" t="s">
        <v>129</v>
      </c>
      <c r="E27" s="75">
        <v>9.0</v>
      </c>
      <c r="F27" s="106" t="s">
        <v>296</v>
      </c>
      <c r="G27" s="91" t="s">
        <v>296</v>
      </c>
      <c r="H27" s="66" t="s">
        <v>208</v>
      </c>
      <c r="I27" s="66" t="s">
        <v>165</v>
      </c>
      <c r="J27" s="78" t="s">
        <v>98</v>
      </c>
      <c r="K27" s="79"/>
      <c r="L27" s="79" t="s">
        <v>297</v>
      </c>
      <c r="M27" s="158">
        <v>5.5E7</v>
      </c>
      <c r="N27" s="92" t="s">
        <v>170</v>
      </c>
      <c r="O27" s="80" t="s">
        <v>173</v>
      </c>
      <c r="P27" s="75">
        <v>3.0</v>
      </c>
      <c r="Q27" s="81">
        <f t="shared" si="14"/>
        <v>165000000</v>
      </c>
      <c r="R27" s="82" t="s">
        <v>351</v>
      </c>
      <c r="S27" s="80" t="s">
        <v>352</v>
      </c>
      <c r="T27" s="93" t="s">
        <v>221</v>
      </c>
      <c r="U27" s="84"/>
      <c r="V27" s="159"/>
      <c r="W27" s="160" t="s">
        <v>353</v>
      </c>
      <c r="X27" s="161">
        <f t="shared" ref="X27:AA27" si="19">sum(X22:X26)</f>
        <v>323</v>
      </c>
      <c r="Y27" s="161">
        <f t="shared" si="19"/>
        <v>323</v>
      </c>
      <c r="Z27" s="161">
        <f t="shared" si="19"/>
        <v>24</v>
      </c>
      <c r="AA27" s="162">
        <f t="shared" si="19"/>
        <v>24</v>
      </c>
      <c r="AB27" s="90"/>
      <c r="AC27" s="90"/>
      <c r="AD27" s="90"/>
      <c r="AE27" s="90"/>
      <c r="AF27" s="90"/>
      <c r="AG27" s="90"/>
      <c r="AH27" s="90"/>
      <c r="AI27" s="90"/>
      <c r="AJ27" s="90"/>
    </row>
    <row r="28" ht="15.75" hidden="1" customHeight="1">
      <c r="A28" s="62">
        <f t="shared" si="1"/>
        <v>1</v>
      </c>
      <c r="B28" s="73" t="s">
        <v>203</v>
      </c>
      <c r="C28" s="73" t="s">
        <v>79</v>
      </c>
      <c r="D28" s="118" t="s">
        <v>129</v>
      </c>
      <c r="E28" s="75">
        <v>10.0</v>
      </c>
      <c r="F28" s="106" t="s">
        <v>296</v>
      </c>
      <c r="G28" s="91" t="s">
        <v>296</v>
      </c>
      <c r="H28" s="66" t="s">
        <v>208</v>
      </c>
      <c r="I28" s="66" t="s">
        <v>165</v>
      </c>
      <c r="J28" s="78" t="s">
        <v>98</v>
      </c>
      <c r="K28" s="79"/>
      <c r="L28" s="79" t="s">
        <v>297</v>
      </c>
      <c r="M28" s="163"/>
      <c r="N28" s="92" t="s">
        <v>170</v>
      </c>
      <c r="O28" s="80" t="s">
        <v>173</v>
      </c>
      <c r="P28" s="75"/>
      <c r="Q28" s="81"/>
      <c r="R28" s="82"/>
      <c r="S28" s="80"/>
      <c r="T28" s="93" t="s">
        <v>221</v>
      </c>
      <c r="U28" s="84"/>
      <c r="V28" s="164"/>
      <c r="W28" s="165" t="s">
        <v>354</v>
      </c>
      <c r="X28" s="97">
        <f t="shared" ref="X28:X29" si="20">sumif($F$4:$F$201,W28,$E$4:$E$201)</f>
        <v>11</v>
      </c>
      <c r="Y28" s="97">
        <f t="shared" ref="Y28:Y29" si="21">sumif($G$4:$G$201,W28,$E$4:$E$201)</f>
        <v>0</v>
      </c>
      <c r="Z28" s="97">
        <f t="shared" ref="Z28:Z29" si="22">COUNTIF($F$4:$F$201,W28)</f>
        <v>1</v>
      </c>
      <c r="AA28" s="98">
        <f t="shared" ref="AA28:AA29" si="23">COUNTIF($G$4:$G$201,W28)</f>
        <v>0</v>
      </c>
      <c r="AB28" s="90"/>
      <c r="AC28" s="90"/>
      <c r="AD28" s="90"/>
      <c r="AE28" s="90"/>
      <c r="AF28" s="90"/>
      <c r="AG28" s="90"/>
      <c r="AH28" s="90"/>
      <c r="AI28" s="90"/>
      <c r="AJ28" s="90"/>
    </row>
    <row r="29" ht="15.75" hidden="1" customHeight="1">
      <c r="A29" s="62">
        <f t="shared" si="1"/>
        <v>1</v>
      </c>
      <c r="B29" s="73" t="s">
        <v>80</v>
      </c>
      <c r="C29" s="73" t="s">
        <v>355</v>
      </c>
      <c r="D29" s="118" t="s">
        <v>356</v>
      </c>
      <c r="E29" s="75">
        <v>6.0</v>
      </c>
      <c r="F29" s="76" t="s">
        <v>28</v>
      </c>
      <c r="G29" s="66" t="s">
        <v>28</v>
      </c>
      <c r="H29" s="66" t="s">
        <v>208</v>
      </c>
      <c r="I29" s="66" t="s">
        <v>165</v>
      </c>
      <c r="J29" s="78" t="s">
        <v>98</v>
      </c>
      <c r="K29" s="79"/>
      <c r="L29" s="79" t="s">
        <v>297</v>
      </c>
      <c r="M29" s="79">
        <v>2.0E7</v>
      </c>
      <c r="N29" s="92" t="s">
        <v>170</v>
      </c>
      <c r="O29" s="80" t="s">
        <v>173</v>
      </c>
      <c r="P29" s="75">
        <v>3.0</v>
      </c>
      <c r="Q29" s="81">
        <f t="shared" ref="Q29:Q32" si="24">M29*P29</f>
        <v>60000000</v>
      </c>
      <c r="R29" s="119" t="s">
        <v>357</v>
      </c>
      <c r="S29" s="80" t="s">
        <v>358</v>
      </c>
      <c r="T29" s="93" t="s">
        <v>221</v>
      </c>
      <c r="U29" s="84"/>
      <c r="V29" s="166"/>
      <c r="W29" s="167" t="s">
        <v>359</v>
      </c>
      <c r="X29" s="168">
        <f t="shared" si="20"/>
        <v>0</v>
      </c>
      <c r="Y29" s="168">
        <f t="shared" si="21"/>
        <v>0</v>
      </c>
      <c r="Z29" s="168">
        <f t="shared" si="22"/>
        <v>0</v>
      </c>
      <c r="AA29" s="169">
        <f t="shared" si="23"/>
        <v>0</v>
      </c>
      <c r="AB29" s="90"/>
      <c r="AE29" s="57"/>
      <c r="AF29" s="90"/>
      <c r="AG29" s="90"/>
      <c r="AH29" s="90"/>
      <c r="AI29" s="90"/>
      <c r="AJ29" s="90"/>
    </row>
    <row r="30" ht="15.75" hidden="1" customHeight="1">
      <c r="A30" s="62">
        <f t="shared" si="1"/>
        <v>1</v>
      </c>
      <c r="B30" s="73" t="s">
        <v>82</v>
      </c>
      <c r="C30" s="73" t="s">
        <v>360</v>
      </c>
      <c r="D30" s="118" t="s">
        <v>116</v>
      </c>
      <c r="E30" s="75">
        <v>13.0</v>
      </c>
      <c r="F30" s="106" t="s">
        <v>296</v>
      </c>
      <c r="G30" s="118" t="s">
        <v>296</v>
      </c>
      <c r="H30" s="66" t="s">
        <v>208</v>
      </c>
      <c r="I30" s="66" t="s">
        <v>165</v>
      </c>
      <c r="J30" s="78" t="s">
        <v>98</v>
      </c>
      <c r="K30" s="79"/>
      <c r="L30" s="79" t="s">
        <v>297</v>
      </c>
      <c r="M30" s="79">
        <v>4.4E7</v>
      </c>
      <c r="N30" s="92" t="s">
        <v>269</v>
      </c>
      <c r="O30" s="80" t="s">
        <v>173</v>
      </c>
      <c r="P30" s="75">
        <v>3.0</v>
      </c>
      <c r="Q30" s="81">
        <f t="shared" si="24"/>
        <v>132000000</v>
      </c>
      <c r="R30" s="82" t="s">
        <v>361</v>
      </c>
      <c r="S30" s="80" t="s">
        <v>362</v>
      </c>
      <c r="T30" s="93" t="s">
        <v>221</v>
      </c>
      <c r="U30" s="84"/>
      <c r="V30" s="170">
        <f>COUNT(V5:V21)</f>
        <v>9</v>
      </c>
      <c r="W30" s="171" t="s">
        <v>363</v>
      </c>
      <c r="X30" s="172">
        <f t="shared" ref="X30:AA30" si="25">X14+X21+X27+X28+X29</f>
        <v>1455</v>
      </c>
      <c r="Y30" s="172">
        <f t="shared" si="25"/>
        <v>1455</v>
      </c>
      <c r="Z30" s="172">
        <f t="shared" si="25"/>
        <v>108</v>
      </c>
      <c r="AA30" s="173">
        <f t="shared" si="25"/>
        <v>108</v>
      </c>
      <c r="AB30" s="90"/>
      <c r="AE30" s="90"/>
      <c r="AF30" s="90"/>
      <c r="AG30" s="90"/>
      <c r="AH30" s="90"/>
      <c r="AI30" s="90"/>
      <c r="AJ30" s="90"/>
    </row>
    <row r="31" ht="15.75" hidden="1" customHeight="1">
      <c r="A31" s="62">
        <f t="shared" si="1"/>
        <v>1</v>
      </c>
      <c r="B31" s="73" t="s">
        <v>84</v>
      </c>
      <c r="C31" s="73" t="s">
        <v>85</v>
      </c>
      <c r="D31" s="118" t="s">
        <v>347</v>
      </c>
      <c r="E31" s="75">
        <v>7.0</v>
      </c>
      <c r="F31" s="76" t="s">
        <v>34</v>
      </c>
      <c r="G31" s="74" t="s">
        <v>34</v>
      </c>
      <c r="H31" s="91" t="s">
        <v>12</v>
      </c>
      <c r="I31" s="66" t="s">
        <v>165</v>
      </c>
      <c r="J31" s="78" t="s">
        <v>98</v>
      </c>
      <c r="K31" s="79"/>
      <c r="L31" s="79" t="s">
        <v>297</v>
      </c>
      <c r="M31" s="79">
        <v>1.68E7</v>
      </c>
      <c r="N31" s="92" t="s">
        <v>170</v>
      </c>
      <c r="O31" s="80" t="s">
        <v>173</v>
      </c>
      <c r="P31" s="75">
        <v>3.0</v>
      </c>
      <c r="Q31" s="81">
        <f t="shared" si="24"/>
        <v>50400000</v>
      </c>
      <c r="R31" s="82" t="s">
        <v>364</v>
      </c>
      <c r="S31" s="80" t="s">
        <v>365</v>
      </c>
      <c r="T31" s="83"/>
      <c r="U31" s="84"/>
      <c r="V31" s="174"/>
      <c r="W31" s="90"/>
      <c r="X31" s="174"/>
      <c r="Y31" s="174"/>
      <c r="Z31" s="174"/>
      <c r="AA31" s="174"/>
      <c r="AB31" s="90"/>
      <c r="AE31" s="90"/>
      <c r="AF31" s="90"/>
      <c r="AG31" s="90"/>
      <c r="AH31" s="90"/>
      <c r="AI31" s="90"/>
      <c r="AJ31" s="90"/>
    </row>
    <row r="32" ht="15.75" hidden="1" customHeight="1">
      <c r="A32" s="62">
        <f t="shared" si="1"/>
        <v>1</v>
      </c>
      <c r="B32" s="73" t="s">
        <v>86</v>
      </c>
      <c r="C32" s="73" t="s">
        <v>87</v>
      </c>
      <c r="D32" s="118" t="s">
        <v>347</v>
      </c>
      <c r="E32" s="75">
        <v>18.0</v>
      </c>
      <c r="F32" s="76" t="s">
        <v>34</v>
      </c>
      <c r="G32" s="74" t="s">
        <v>34</v>
      </c>
      <c r="H32" s="91" t="s">
        <v>12</v>
      </c>
      <c r="I32" s="66" t="s">
        <v>165</v>
      </c>
      <c r="J32" s="78" t="s">
        <v>98</v>
      </c>
      <c r="K32" s="79"/>
      <c r="L32" s="79" t="s">
        <v>297</v>
      </c>
      <c r="M32" s="79">
        <v>4.5E7</v>
      </c>
      <c r="N32" s="92" t="s">
        <v>170</v>
      </c>
      <c r="O32" s="80" t="s">
        <v>173</v>
      </c>
      <c r="P32" s="75">
        <v>3.0</v>
      </c>
      <c r="Q32" s="81">
        <f t="shared" si="24"/>
        <v>135000000</v>
      </c>
      <c r="R32" s="119" t="s">
        <v>366</v>
      </c>
      <c r="S32" s="80" t="s">
        <v>367</v>
      </c>
      <c r="T32" s="83"/>
      <c r="U32" s="84"/>
      <c r="V32" s="174"/>
      <c r="W32" s="90"/>
      <c r="X32" s="174"/>
      <c r="Y32" s="174"/>
      <c r="Z32" s="174"/>
      <c r="AA32" s="174"/>
      <c r="AB32" s="90"/>
      <c r="AE32" s="90"/>
      <c r="AF32" s="90"/>
      <c r="AG32" s="90"/>
      <c r="AH32" s="90"/>
      <c r="AI32" s="90"/>
      <c r="AJ32" s="90"/>
    </row>
    <row r="33" ht="15.75" hidden="1" customHeight="1">
      <c r="A33" s="62">
        <f t="shared" si="1"/>
        <v>1</v>
      </c>
      <c r="B33" s="73" t="s">
        <v>90</v>
      </c>
      <c r="C33" s="73" t="s">
        <v>91</v>
      </c>
      <c r="D33" s="118" t="s">
        <v>307</v>
      </c>
      <c r="E33" s="75">
        <v>8.0</v>
      </c>
      <c r="F33" s="123" t="s">
        <v>43</v>
      </c>
      <c r="G33" s="66" t="s">
        <v>43</v>
      </c>
      <c r="H33" s="66" t="s">
        <v>104</v>
      </c>
      <c r="I33" s="66" t="s">
        <v>165</v>
      </c>
      <c r="J33" s="78" t="s">
        <v>98</v>
      </c>
      <c r="K33" s="79"/>
      <c r="L33" s="79" t="s">
        <v>297</v>
      </c>
      <c r="M33" s="175">
        <v>2.4666667E7</v>
      </c>
      <c r="N33" s="80"/>
      <c r="O33" s="80" t="s">
        <v>173</v>
      </c>
      <c r="P33" s="75">
        <v>3.0</v>
      </c>
      <c r="Q33" s="81">
        <v>7.4E7</v>
      </c>
      <c r="R33" s="119" t="s">
        <v>368</v>
      </c>
      <c r="S33" s="80" t="s">
        <v>369</v>
      </c>
      <c r="T33" s="83"/>
      <c r="U33" s="176"/>
      <c r="V33" s="174"/>
      <c r="W33" s="90"/>
      <c r="X33" s="174"/>
      <c r="Y33" s="174"/>
      <c r="Z33" s="174"/>
      <c r="AA33" s="174"/>
      <c r="AB33" s="90"/>
      <c r="AE33" s="90"/>
      <c r="AF33" s="90"/>
      <c r="AG33" s="90"/>
      <c r="AH33" s="90"/>
      <c r="AI33" s="90"/>
      <c r="AJ33" s="90"/>
    </row>
    <row r="34" ht="15.75" hidden="1" customHeight="1">
      <c r="A34" s="62">
        <f t="shared" si="1"/>
        <v>1</v>
      </c>
      <c r="B34" s="73" t="s">
        <v>93</v>
      </c>
      <c r="C34" s="73" t="s">
        <v>94</v>
      </c>
      <c r="D34" s="74" t="s">
        <v>317</v>
      </c>
      <c r="E34" s="75">
        <v>20.0</v>
      </c>
      <c r="F34" s="76" t="s">
        <v>162</v>
      </c>
      <c r="G34" s="91" t="s">
        <v>162</v>
      </c>
      <c r="H34" s="66" t="s">
        <v>12</v>
      </c>
      <c r="I34" s="66" t="s">
        <v>165</v>
      </c>
      <c r="J34" s="78" t="s">
        <v>105</v>
      </c>
      <c r="K34" s="79"/>
      <c r="L34" s="79" t="s">
        <v>170</v>
      </c>
      <c r="M34" s="79">
        <f>72200000-7533000</f>
        <v>64667000</v>
      </c>
      <c r="N34" s="80"/>
      <c r="O34" s="80" t="s">
        <v>312</v>
      </c>
      <c r="P34" s="75">
        <v>3.0</v>
      </c>
      <c r="Q34" s="81">
        <f t="shared" ref="Q34:Q39" si="26">M34*P34</f>
        <v>194001000</v>
      </c>
      <c r="R34" s="119" t="s">
        <v>370</v>
      </c>
      <c r="S34" s="80" t="s">
        <v>371</v>
      </c>
      <c r="T34" s="83"/>
      <c r="U34" s="176"/>
      <c r="V34" s="174"/>
      <c r="W34" s="90"/>
      <c r="X34" s="174"/>
      <c r="Y34" s="174"/>
      <c r="Z34" s="174"/>
      <c r="AA34" s="174"/>
      <c r="AB34" s="90"/>
      <c r="AE34" s="90"/>
      <c r="AF34" s="90"/>
      <c r="AG34" s="90"/>
      <c r="AH34" s="90"/>
      <c r="AI34" s="90"/>
      <c r="AJ34" s="90"/>
    </row>
    <row r="35" ht="15.75" hidden="1" customHeight="1">
      <c r="A35" s="62">
        <f t="shared" si="1"/>
        <v>1</v>
      </c>
      <c r="B35" s="73" t="s">
        <v>95</v>
      </c>
      <c r="C35" s="73" t="s">
        <v>96</v>
      </c>
      <c r="D35" s="74" t="s">
        <v>89</v>
      </c>
      <c r="E35" s="75">
        <v>8.0</v>
      </c>
      <c r="F35" s="106" t="s">
        <v>296</v>
      </c>
      <c r="G35" s="118" t="s">
        <v>296</v>
      </c>
      <c r="H35" s="66" t="s">
        <v>208</v>
      </c>
      <c r="I35" s="66" t="s">
        <v>165</v>
      </c>
      <c r="J35" s="78" t="s">
        <v>105</v>
      </c>
      <c r="K35" s="79"/>
      <c r="L35" s="79" t="s">
        <v>297</v>
      </c>
      <c r="M35" s="79">
        <v>2.0E7</v>
      </c>
      <c r="N35" s="92" t="s">
        <v>269</v>
      </c>
      <c r="O35" s="80" t="s">
        <v>173</v>
      </c>
      <c r="P35" s="75">
        <v>3.0</v>
      </c>
      <c r="Q35" s="81">
        <f t="shared" si="26"/>
        <v>60000000</v>
      </c>
      <c r="R35" s="82" t="s">
        <v>372</v>
      </c>
      <c r="S35" s="80" t="s">
        <v>373</v>
      </c>
      <c r="T35" s="93" t="s">
        <v>221</v>
      </c>
      <c r="U35" s="84"/>
      <c r="V35" s="174"/>
      <c r="W35" s="90"/>
      <c r="X35" s="174"/>
      <c r="Y35" s="174"/>
      <c r="Z35" s="174"/>
      <c r="AA35" s="174"/>
      <c r="AB35" s="90"/>
      <c r="AE35" s="90"/>
      <c r="AF35" s="90"/>
      <c r="AG35" s="90"/>
      <c r="AH35" s="90"/>
      <c r="AI35" s="90"/>
      <c r="AJ35" s="90"/>
    </row>
    <row r="36" ht="15.75" hidden="1" customHeight="1">
      <c r="A36" s="60">
        <f t="shared" si="1"/>
        <v>1</v>
      </c>
      <c r="B36" s="60" t="s">
        <v>374</v>
      </c>
      <c r="C36" s="60" t="s">
        <v>375</v>
      </c>
      <c r="D36" s="62"/>
      <c r="E36" s="63">
        <v>22.0</v>
      </c>
      <c r="F36" s="60"/>
      <c r="G36" s="64"/>
      <c r="H36" s="66"/>
      <c r="I36" s="66"/>
      <c r="J36" s="67"/>
      <c r="K36" s="68"/>
      <c r="L36" s="68"/>
      <c r="M36" s="69">
        <v>6.0E7</v>
      </c>
      <c r="N36" s="70"/>
      <c r="O36" s="70"/>
      <c r="P36" s="63">
        <v>3.0</v>
      </c>
      <c r="Q36" s="68">
        <f t="shared" si="26"/>
        <v>180000000</v>
      </c>
      <c r="R36" s="177" t="s">
        <v>376</v>
      </c>
      <c r="S36" s="178" t="s">
        <v>377</v>
      </c>
      <c r="T36" s="55"/>
      <c r="U36" s="55"/>
      <c r="V36" s="57"/>
      <c r="W36" s="57"/>
      <c r="X36" s="57"/>
      <c r="Y36" s="57"/>
      <c r="Z36" s="57"/>
      <c r="AA36" s="57"/>
      <c r="AB36" s="57"/>
      <c r="AC36" s="57"/>
      <c r="AD36" s="57"/>
      <c r="AE36" s="90"/>
      <c r="AF36" s="57"/>
      <c r="AG36" s="57"/>
      <c r="AH36" s="57"/>
      <c r="AI36" s="57"/>
      <c r="AJ36" s="57"/>
    </row>
    <row r="37" ht="15.75" hidden="1" customHeight="1">
      <c r="A37" s="60">
        <f t="shared" si="1"/>
        <v>1</v>
      </c>
      <c r="B37" s="60" t="s">
        <v>378</v>
      </c>
      <c r="C37" s="60" t="s">
        <v>379</v>
      </c>
      <c r="D37" s="62"/>
      <c r="E37" s="63">
        <v>24.0</v>
      </c>
      <c r="F37" s="60"/>
      <c r="G37" s="64"/>
      <c r="H37" s="66"/>
      <c r="I37" s="66"/>
      <c r="J37" s="67"/>
      <c r="K37" s="68"/>
      <c r="L37" s="68"/>
      <c r="M37" s="69">
        <v>6.0E7</v>
      </c>
      <c r="N37" s="70"/>
      <c r="O37" s="70"/>
      <c r="P37" s="63">
        <v>3.0</v>
      </c>
      <c r="Q37" s="68">
        <f t="shared" si="26"/>
        <v>180000000</v>
      </c>
      <c r="R37" s="163"/>
      <c r="S37" s="163"/>
      <c r="T37" s="55"/>
      <c r="U37" s="55"/>
      <c r="V37" s="57"/>
      <c r="W37" s="57"/>
      <c r="X37" s="57"/>
      <c r="Y37" s="57"/>
      <c r="Z37" s="57"/>
      <c r="AA37" s="57"/>
      <c r="AB37" s="57"/>
      <c r="AC37" s="57"/>
      <c r="AD37" s="57"/>
      <c r="AE37" s="90"/>
      <c r="AF37" s="57"/>
      <c r="AG37" s="57"/>
      <c r="AH37" s="57"/>
      <c r="AI37" s="57"/>
      <c r="AJ37" s="57"/>
    </row>
    <row r="38" ht="15.75" hidden="1" customHeight="1">
      <c r="A38" s="62">
        <f t="shared" si="1"/>
        <v>1</v>
      </c>
      <c r="B38" s="73" t="s">
        <v>99</v>
      </c>
      <c r="C38" s="73" t="s">
        <v>100</v>
      </c>
      <c r="D38" s="74" t="s">
        <v>89</v>
      </c>
      <c r="E38" s="75">
        <v>16.0</v>
      </c>
      <c r="F38" s="76" t="s">
        <v>16</v>
      </c>
      <c r="G38" s="91" t="s">
        <v>16</v>
      </c>
      <c r="H38" s="66" t="s">
        <v>208</v>
      </c>
      <c r="I38" s="66" t="s">
        <v>165</v>
      </c>
      <c r="J38" s="78" t="s">
        <v>98</v>
      </c>
      <c r="K38" s="79"/>
      <c r="L38" s="79" t="s">
        <v>170</v>
      </c>
      <c r="M38" s="79">
        <v>5.5E7</v>
      </c>
      <c r="N38" s="92" t="s">
        <v>170</v>
      </c>
      <c r="O38" s="80" t="s">
        <v>173</v>
      </c>
      <c r="P38" s="75">
        <v>2.0</v>
      </c>
      <c r="Q38" s="81">
        <f t="shared" si="26"/>
        <v>110000000</v>
      </c>
      <c r="R38" s="119" t="s">
        <v>380</v>
      </c>
      <c r="S38" s="80" t="s">
        <v>381</v>
      </c>
      <c r="T38" s="93" t="s">
        <v>221</v>
      </c>
      <c r="U38" s="84"/>
      <c r="V38" s="174"/>
      <c r="W38" s="90"/>
      <c r="X38" s="174"/>
      <c r="Y38" s="174"/>
      <c r="Z38" s="174"/>
      <c r="AA38" s="174"/>
      <c r="AB38" s="90"/>
      <c r="AC38" s="90"/>
      <c r="AD38" s="90"/>
      <c r="AE38" s="90"/>
      <c r="AF38" s="90"/>
      <c r="AG38" s="90"/>
      <c r="AH38" s="90"/>
      <c r="AI38" s="90"/>
      <c r="AJ38" s="90"/>
    </row>
    <row r="39" ht="15.75" hidden="1" customHeight="1">
      <c r="A39" s="62">
        <f t="shared" si="1"/>
        <v>1</v>
      </c>
      <c r="B39" s="73" t="s">
        <v>102</v>
      </c>
      <c r="C39" s="73" t="s">
        <v>103</v>
      </c>
      <c r="D39" s="74" t="s">
        <v>317</v>
      </c>
      <c r="E39" s="75">
        <v>50.0</v>
      </c>
      <c r="F39" s="76" t="s">
        <v>55</v>
      </c>
      <c r="G39" s="74" t="s">
        <v>55</v>
      </c>
      <c r="H39" s="66" t="s">
        <v>104</v>
      </c>
      <c r="I39" s="66" t="s">
        <v>165</v>
      </c>
      <c r="J39" s="78" t="s">
        <v>105</v>
      </c>
      <c r="K39" s="79"/>
      <c r="L39" s="79" t="s">
        <v>297</v>
      </c>
      <c r="M39" s="79">
        <v>1.175E8</v>
      </c>
      <c r="N39" s="80"/>
      <c r="O39" s="80" t="s">
        <v>173</v>
      </c>
      <c r="P39" s="75">
        <v>3.0</v>
      </c>
      <c r="Q39" s="81">
        <f t="shared" si="26"/>
        <v>352500000</v>
      </c>
      <c r="R39" s="82"/>
      <c r="S39" s="80"/>
      <c r="T39" s="83"/>
      <c r="V39" s="174"/>
      <c r="W39" s="90"/>
      <c r="X39" s="174"/>
      <c r="Y39" s="174"/>
      <c r="Z39" s="174"/>
      <c r="AA39" s="174"/>
      <c r="AB39" s="90"/>
      <c r="AC39" s="90"/>
      <c r="AD39" s="90"/>
      <c r="AE39" s="90"/>
      <c r="AF39" s="90"/>
      <c r="AG39" s="90"/>
      <c r="AH39" s="90"/>
      <c r="AI39" s="90"/>
      <c r="AJ39" s="90"/>
    </row>
    <row r="40" ht="15.75" hidden="1" customHeight="1">
      <c r="A40" s="62">
        <f t="shared" si="1"/>
        <v>1</v>
      </c>
      <c r="B40" s="73" t="s">
        <v>107</v>
      </c>
      <c r="C40" s="73" t="s">
        <v>108</v>
      </c>
      <c r="D40" s="74" t="s">
        <v>317</v>
      </c>
      <c r="E40" s="179">
        <v>11.0</v>
      </c>
      <c r="F40" s="123" t="s">
        <v>43</v>
      </c>
      <c r="G40" s="74" t="s">
        <v>43</v>
      </c>
      <c r="H40" s="66" t="s">
        <v>104</v>
      </c>
      <c r="I40" s="66" t="s">
        <v>165</v>
      </c>
      <c r="J40" s="78" t="s">
        <v>105</v>
      </c>
      <c r="K40" s="79"/>
      <c r="L40" s="79" t="s">
        <v>297</v>
      </c>
      <c r="M40" s="79">
        <v>2.74E7</v>
      </c>
      <c r="N40" s="80"/>
      <c r="O40" s="80" t="s">
        <v>173</v>
      </c>
      <c r="P40" s="75">
        <v>3.0</v>
      </c>
      <c r="Q40" s="81">
        <f>27400000*P40</f>
        <v>82200000</v>
      </c>
      <c r="R40" s="82" t="s">
        <v>382</v>
      </c>
      <c r="S40" s="80" t="s">
        <v>383</v>
      </c>
      <c r="T40" s="83"/>
      <c r="V40" s="174"/>
      <c r="W40" s="90"/>
      <c r="X40" s="174"/>
      <c r="Y40" s="174"/>
      <c r="Z40" s="174"/>
      <c r="AA40" s="174"/>
      <c r="AB40" s="90"/>
      <c r="AC40" s="90"/>
      <c r="AD40" s="90"/>
      <c r="AE40" s="90"/>
      <c r="AF40" s="90"/>
      <c r="AG40" s="90"/>
      <c r="AH40" s="90"/>
      <c r="AI40" s="90"/>
      <c r="AJ40" s="90"/>
    </row>
    <row r="41" ht="15.75" hidden="1" customHeight="1">
      <c r="A41" s="62">
        <f t="shared" si="1"/>
        <v>1</v>
      </c>
      <c r="B41" s="73" t="s">
        <v>109</v>
      </c>
      <c r="C41" s="73" t="s">
        <v>110</v>
      </c>
      <c r="D41" s="118" t="s">
        <v>129</v>
      </c>
      <c r="E41" s="75">
        <v>8.0</v>
      </c>
      <c r="F41" s="106" t="s">
        <v>266</v>
      </c>
      <c r="G41" s="91" t="s">
        <v>266</v>
      </c>
      <c r="H41" s="66" t="s">
        <v>208</v>
      </c>
      <c r="I41" s="66" t="s">
        <v>165</v>
      </c>
      <c r="J41" s="78" t="s">
        <v>98</v>
      </c>
      <c r="K41" s="180"/>
      <c r="L41" s="180" t="s">
        <v>297</v>
      </c>
      <c r="M41" s="158">
        <v>5.2E7</v>
      </c>
      <c r="N41" s="92" t="s">
        <v>170</v>
      </c>
      <c r="O41" s="80" t="s">
        <v>173</v>
      </c>
      <c r="P41" s="75">
        <v>3.0</v>
      </c>
      <c r="Q41" s="81">
        <f t="shared" ref="Q41:Q51" si="27">M41*P41</f>
        <v>156000000</v>
      </c>
      <c r="R41" s="82" t="s">
        <v>384</v>
      </c>
      <c r="S41" s="80" t="s">
        <v>385</v>
      </c>
      <c r="T41" s="93" t="s">
        <v>221</v>
      </c>
      <c r="V41" s="174"/>
      <c r="W41" s="90"/>
      <c r="X41" s="174"/>
      <c r="Y41" s="174"/>
      <c r="Z41" s="174"/>
      <c r="AA41" s="174"/>
      <c r="AB41" s="90"/>
      <c r="AC41" s="90"/>
      <c r="AD41" s="90"/>
      <c r="AE41" s="90"/>
      <c r="AF41" s="90"/>
      <c r="AG41" s="90"/>
      <c r="AH41" s="90"/>
      <c r="AI41" s="90"/>
      <c r="AJ41" s="90"/>
    </row>
    <row r="42" ht="15.75" hidden="1" customHeight="1">
      <c r="A42" s="62">
        <f t="shared" si="1"/>
        <v>1</v>
      </c>
      <c r="B42" s="73" t="s">
        <v>113</v>
      </c>
      <c r="C42" s="73" t="s">
        <v>114</v>
      </c>
      <c r="D42" s="118" t="s">
        <v>129</v>
      </c>
      <c r="E42" s="75">
        <v>8.0</v>
      </c>
      <c r="F42" s="106" t="s">
        <v>266</v>
      </c>
      <c r="G42" s="91" t="s">
        <v>266</v>
      </c>
      <c r="H42" s="66" t="s">
        <v>208</v>
      </c>
      <c r="I42" s="66" t="s">
        <v>165</v>
      </c>
      <c r="J42" s="78" t="s">
        <v>98</v>
      </c>
      <c r="K42" s="180"/>
      <c r="L42" s="180" t="s">
        <v>297</v>
      </c>
      <c r="M42" s="163"/>
      <c r="N42" s="92" t="s">
        <v>170</v>
      </c>
      <c r="O42" s="80" t="s">
        <v>173</v>
      </c>
      <c r="P42" s="75">
        <v>3.0</v>
      </c>
      <c r="Q42" s="81">
        <f t="shared" si="27"/>
        <v>0</v>
      </c>
      <c r="R42" s="82" t="s">
        <v>384</v>
      </c>
      <c r="S42" s="80" t="s">
        <v>385</v>
      </c>
      <c r="T42" s="93" t="s">
        <v>221</v>
      </c>
      <c r="V42" s="174"/>
      <c r="W42" s="90"/>
      <c r="X42" s="174"/>
      <c r="Y42" s="174"/>
      <c r="Z42" s="174"/>
      <c r="AA42" s="174"/>
      <c r="AB42" s="90"/>
      <c r="AC42" s="90"/>
      <c r="AD42" s="90"/>
      <c r="AE42" s="90"/>
      <c r="AF42" s="90"/>
      <c r="AG42" s="90"/>
      <c r="AH42" s="90"/>
      <c r="AI42" s="90"/>
      <c r="AJ42" s="90"/>
    </row>
    <row r="43" ht="15.75" hidden="1" customHeight="1">
      <c r="A43" s="62">
        <f t="shared" si="1"/>
        <v>1</v>
      </c>
      <c r="B43" s="73" t="s">
        <v>117</v>
      </c>
      <c r="C43" s="73" t="s">
        <v>386</v>
      </c>
      <c r="D43" s="118" t="s">
        <v>129</v>
      </c>
      <c r="E43" s="75">
        <v>8.0</v>
      </c>
      <c r="F43" s="76" t="s">
        <v>162</v>
      </c>
      <c r="G43" s="66" t="s">
        <v>162</v>
      </c>
      <c r="H43" s="66" t="s">
        <v>12</v>
      </c>
      <c r="I43" s="66" t="s">
        <v>165</v>
      </c>
      <c r="J43" s="78" t="s">
        <v>105</v>
      </c>
      <c r="K43" s="79"/>
      <c r="L43" s="79" t="s">
        <v>297</v>
      </c>
      <c r="M43" s="79">
        <v>2.3E7</v>
      </c>
      <c r="N43" s="181"/>
      <c r="O43" s="181" t="s">
        <v>173</v>
      </c>
      <c r="P43" s="75">
        <v>3.0</v>
      </c>
      <c r="Q43" s="81">
        <f t="shared" si="27"/>
        <v>69000000</v>
      </c>
      <c r="R43" s="82"/>
      <c r="S43" s="181"/>
      <c r="T43" s="83"/>
      <c r="V43" s="174"/>
      <c r="W43" s="90"/>
      <c r="X43" s="174"/>
      <c r="Y43" s="174"/>
      <c r="Z43" s="174"/>
      <c r="AA43" s="174"/>
      <c r="AB43" s="90"/>
      <c r="AC43" s="90"/>
      <c r="AD43" s="90"/>
      <c r="AE43" s="90"/>
      <c r="AF43" s="90"/>
      <c r="AG43" s="90"/>
      <c r="AH43" s="90"/>
      <c r="AI43" s="90"/>
      <c r="AJ43" s="90"/>
    </row>
    <row r="44" ht="15.75" hidden="1" customHeight="1">
      <c r="A44" s="62">
        <f t="shared" si="1"/>
        <v>1</v>
      </c>
      <c r="B44" s="73" t="s">
        <v>120</v>
      </c>
      <c r="C44" s="73" t="s">
        <v>387</v>
      </c>
      <c r="D44" s="74" t="s">
        <v>317</v>
      </c>
      <c r="E44" s="179">
        <v>18.0</v>
      </c>
      <c r="F44" s="106" t="s">
        <v>266</v>
      </c>
      <c r="G44" s="91" t="s">
        <v>266</v>
      </c>
      <c r="H44" s="66" t="s">
        <v>208</v>
      </c>
      <c r="I44" s="66" t="s">
        <v>165</v>
      </c>
      <c r="J44" s="78" t="s">
        <v>105</v>
      </c>
      <c r="K44" s="79"/>
      <c r="L44" s="79" t="s">
        <v>297</v>
      </c>
      <c r="M44" s="182">
        <v>5.1E7</v>
      </c>
      <c r="N44" s="183" t="s">
        <v>214</v>
      </c>
      <c r="O44" s="181" t="s">
        <v>312</v>
      </c>
      <c r="P44" s="75">
        <v>3.0</v>
      </c>
      <c r="Q44" s="81">
        <f t="shared" si="27"/>
        <v>153000000</v>
      </c>
      <c r="R44" s="82" t="s">
        <v>388</v>
      </c>
      <c r="S44" s="181" t="s">
        <v>389</v>
      </c>
      <c r="T44" s="93" t="s">
        <v>221</v>
      </c>
      <c r="V44" s="174"/>
      <c r="W44" s="90"/>
      <c r="X44" s="174"/>
      <c r="Y44" s="174"/>
      <c r="Z44" s="174"/>
      <c r="AA44" s="174"/>
      <c r="AB44" s="90"/>
      <c r="AC44" s="90"/>
      <c r="AD44" s="90"/>
      <c r="AE44" s="90"/>
      <c r="AF44" s="90"/>
      <c r="AG44" s="90"/>
      <c r="AH44" s="90"/>
      <c r="AI44" s="90"/>
      <c r="AJ44" s="90"/>
    </row>
    <row r="45" ht="15.75" customHeight="1">
      <c r="A45" s="62">
        <f t="shared" si="1"/>
        <v>2</v>
      </c>
      <c r="B45" s="73" t="s">
        <v>122</v>
      </c>
      <c r="C45" s="73" t="s">
        <v>390</v>
      </c>
      <c r="D45" s="74" t="s">
        <v>302</v>
      </c>
      <c r="E45" s="75">
        <v>14.0</v>
      </c>
      <c r="F45" s="76" t="s">
        <v>21</v>
      </c>
      <c r="G45" s="118" t="s">
        <v>21</v>
      </c>
      <c r="H45" s="66" t="s">
        <v>208</v>
      </c>
      <c r="I45" s="66" t="s">
        <v>303</v>
      </c>
      <c r="J45" s="78" t="s">
        <v>105</v>
      </c>
      <c r="K45" s="79"/>
      <c r="L45" s="79" t="s">
        <v>297</v>
      </c>
      <c r="M45" s="79">
        <v>4.2E7</v>
      </c>
      <c r="N45" s="183" t="s">
        <v>311</v>
      </c>
      <c r="O45" s="181" t="s">
        <v>312</v>
      </c>
      <c r="P45" s="75">
        <v>3.0</v>
      </c>
      <c r="Q45" s="81">
        <f t="shared" si="27"/>
        <v>126000000</v>
      </c>
      <c r="R45" s="119" t="s">
        <v>391</v>
      </c>
      <c r="S45" s="122" t="s">
        <v>306</v>
      </c>
      <c r="T45" s="93" t="s">
        <v>221</v>
      </c>
      <c r="V45" s="184"/>
      <c r="W45" s="84"/>
      <c r="X45" s="174"/>
      <c r="Y45" s="174"/>
      <c r="Z45" s="174"/>
      <c r="AA45" s="174"/>
      <c r="AB45" s="90"/>
      <c r="AC45" s="90"/>
      <c r="AD45" s="90"/>
      <c r="AE45" s="90"/>
      <c r="AF45" s="90"/>
      <c r="AG45" s="90"/>
      <c r="AH45" s="90"/>
      <c r="AI45" s="90"/>
      <c r="AJ45" s="90"/>
    </row>
    <row r="46" ht="15.75" hidden="1" customHeight="1">
      <c r="A46" s="62">
        <f t="shared" si="1"/>
        <v>2</v>
      </c>
      <c r="B46" s="73" t="s">
        <v>124</v>
      </c>
      <c r="C46" s="185" t="s">
        <v>392</v>
      </c>
      <c r="D46" s="74" t="s">
        <v>302</v>
      </c>
      <c r="E46" s="75">
        <v>22.0</v>
      </c>
      <c r="F46" s="76" t="s">
        <v>294</v>
      </c>
      <c r="G46" s="66" t="s">
        <v>294</v>
      </c>
      <c r="H46" s="66" t="s">
        <v>104</v>
      </c>
      <c r="I46" s="66" t="s">
        <v>165</v>
      </c>
      <c r="J46" s="186" t="s">
        <v>105</v>
      </c>
      <c r="K46" s="187"/>
      <c r="L46" s="187" t="s">
        <v>297</v>
      </c>
      <c r="M46" s="79">
        <f>53000000-2300000</f>
        <v>50700000</v>
      </c>
      <c r="N46" s="181"/>
      <c r="O46" s="181" t="s">
        <v>173</v>
      </c>
      <c r="P46" s="75">
        <v>3.0</v>
      </c>
      <c r="Q46" s="81">
        <f t="shared" si="27"/>
        <v>152100000</v>
      </c>
      <c r="R46" s="82" t="s">
        <v>393</v>
      </c>
      <c r="S46" s="181" t="s">
        <v>394</v>
      </c>
      <c r="T46" s="83"/>
      <c r="V46" s="184"/>
      <c r="W46" s="84"/>
      <c r="X46" s="174"/>
      <c r="Y46" s="174"/>
      <c r="Z46" s="174"/>
      <c r="AA46" s="174"/>
      <c r="AB46" s="90"/>
      <c r="AC46" s="90"/>
      <c r="AD46" s="90"/>
      <c r="AE46" s="90"/>
      <c r="AF46" s="90"/>
      <c r="AG46" s="90"/>
      <c r="AH46" s="90"/>
      <c r="AI46" s="90"/>
      <c r="AJ46" s="90"/>
    </row>
    <row r="47" ht="15.75" hidden="1" customHeight="1">
      <c r="A47" s="60">
        <f t="shared" si="1"/>
        <v>2</v>
      </c>
      <c r="B47" s="73" t="s">
        <v>395</v>
      </c>
      <c r="C47" s="163"/>
      <c r="D47" s="74"/>
      <c r="E47" s="75">
        <v>6.0</v>
      </c>
      <c r="F47" s="73"/>
      <c r="G47" s="66"/>
      <c r="H47" s="66"/>
      <c r="I47" s="66"/>
      <c r="J47" s="186" t="s">
        <v>105</v>
      </c>
      <c r="K47" s="187"/>
      <c r="L47" s="187" t="s">
        <v>297</v>
      </c>
      <c r="M47" s="79">
        <v>8100000.0</v>
      </c>
      <c r="N47" s="181"/>
      <c r="O47" s="181"/>
      <c r="P47" s="75">
        <v>3.0</v>
      </c>
      <c r="Q47" s="81">
        <f t="shared" si="27"/>
        <v>24300000</v>
      </c>
      <c r="R47" s="82" t="s">
        <v>396</v>
      </c>
      <c r="S47" s="181" t="s">
        <v>397</v>
      </c>
      <c r="T47" s="84"/>
      <c r="V47" s="84"/>
      <c r="W47" s="84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</row>
    <row r="48" ht="15.75" hidden="1" customHeight="1">
      <c r="A48" s="62">
        <f t="shared" si="1"/>
        <v>2</v>
      </c>
      <c r="B48" s="73" t="s">
        <v>130</v>
      </c>
      <c r="C48" s="73" t="s">
        <v>398</v>
      </c>
      <c r="D48" s="118" t="s">
        <v>129</v>
      </c>
      <c r="E48" s="75">
        <v>15.0</v>
      </c>
      <c r="F48" s="123" t="s">
        <v>43</v>
      </c>
      <c r="G48" s="74" t="s">
        <v>43</v>
      </c>
      <c r="H48" s="66" t="s">
        <v>104</v>
      </c>
      <c r="I48" s="66" t="s">
        <v>165</v>
      </c>
      <c r="J48" s="78" t="s">
        <v>98</v>
      </c>
      <c r="K48" s="79"/>
      <c r="L48" s="79" t="s">
        <v>297</v>
      </c>
      <c r="M48" s="79">
        <v>4.5E7</v>
      </c>
      <c r="N48" s="181"/>
      <c r="O48" s="181" t="s">
        <v>173</v>
      </c>
      <c r="P48" s="75">
        <v>3.0</v>
      </c>
      <c r="Q48" s="81">
        <f t="shared" si="27"/>
        <v>135000000</v>
      </c>
      <c r="R48" s="82" t="s">
        <v>399</v>
      </c>
      <c r="S48" s="181" t="s">
        <v>400</v>
      </c>
      <c r="T48" s="83"/>
      <c r="V48" s="184"/>
      <c r="W48" s="84"/>
      <c r="X48" s="174"/>
      <c r="Y48" s="174"/>
      <c r="Z48" s="174"/>
      <c r="AA48" s="174"/>
      <c r="AB48" s="90"/>
      <c r="AC48" s="90"/>
      <c r="AD48" s="90"/>
      <c r="AE48" s="90"/>
      <c r="AF48" s="90"/>
      <c r="AG48" s="90"/>
      <c r="AH48" s="90"/>
      <c r="AI48" s="90"/>
      <c r="AJ48" s="90"/>
    </row>
    <row r="49" ht="15.75" customHeight="1">
      <c r="A49" s="62">
        <f t="shared" si="1"/>
        <v>3</v>
      </c>
      <c r="B49" s="73" t="s">
        <v>132</v>
      </c>
      <c r="C49" s="181" t="s">
        <v>401</v>
      </c>
      <c r="D49" s="74" t="s">
        <v>302</v>
      </c>
      <c r="E49" s="75">
        <v>13.0</v>
      </c>
      <c r="F49" s="76" t="s">
        <v>21</v>
      </c>
      <c r="G49" s="74" t="s">
        <v>21</v>
      </c>
      <c r="H49" s="66" t="s">
        <v>208</v>
      </c>
      <c r="I49" s="66" t="s">
        <v>345</v>
      </c>
      <c r="J49" s="186" t="s">
        <v>105</v>
      </c>
      <c r="K49" s="187"/>
      <c r="L49" s="187" t="s">
        <v>297</v>
      </c>
      <c r="M49" s="79">
        <v>3.3E7</v>
      </c>
      <c r="N49" s="183" t="s">
        <v>170</v>
      </c>
      <c r="O49" s="181" t="s">
        <v>173</v>
      </c>
      <c r="P49" s="75">
        <v>3.0</v>
      </c>
      <c r="Q49" s="81">
        <f t="shared" si="27"/>
        <v>99000000</v>
      </c>
      <c r="R49" s="82" t="s">
        <v>402</v>
      </c>
      <c r="S49" s="181" t="s">
        <v>403</v>
      </c>
      <c r="T49" s="93" t="s">
        <v>221</v>
      </c>
      <c r="V49" s="184"/>
      <c r="W49" s="84"/>
      <c r="X49" s="174"/>
      <c r="Y49" s="174"/>
      <c r="Z49" s="174"/>
      <c r="AA49" s="174"/>
      <c r="AB49" s="90"/>
      <c r="AC49" s="90"/>
      <c r="AD49" s="90"/>
      <c r="AE49" s="90"/>
      <c r="AF49" s="90"/>
      <c r="AG49" s="90"/>
      <c r="AH49" s="90"/>
      <c r="AI49" s="90"/>
      <c r="AJ49" s="90"/>
    </row>
    <row r="50" ht="15.75" customHeight="1">
      <c r="A50" s="62">
        <f t="shared" si="1"/>
        <v>4</v>
      </c>
      <c r="B50" s="73" t="s">
        <v>134</v>
      </c>
      <c r="C50" s="181" t="s">
        <v>401</v>
      </c>
      <c r="D50" s="74" t="s">
        <v>302</v>
      </c>
      <c r="E50" s="75">
        <v>13.0</v>
      </c>
      <c r="F50" s="76" t="s">
        <v>21</v>
      </c>
      <c r="G50" s="74" t="s">
        <v>21</v>
      </c>
      <c r="H50" s="66" t="s">
        <v>208</v>
      </c>
      <c r="I50" s="66" t="s">
        <v>345</v>
      </c>
      <c r="J50" s="186" t="s">
        <v>105</v>
      </c>
      <c r="K50" s="187"/>
      <c r="L50" s="187" t="s">
        <v>297</v>
      </c>
      <c r="M50" s="79">
        <v>3.6E7</v>
      </c>
      <c r="N50" s="183" t="s">
        <v>170</v>
      </c>
      <c r="O50" s="181" t="s">
        <v>173</v>
      </c>
      <c r="P50" s="75">
        <v>3.0</v>
      </c>
      <c r="Q50" s="81">
        <f t="shared" si="27"/>
        <v>108000000</v>
      </c>
      <c r="R50" s="82" t="s">
        <v>404</v>
      </c>
      <c r="S50" s="181" t="s">
        <v>405</v>
      </c>
      <c r="T50" s="93" t="s">
        <v>221</v>
      </c>
      <c r="V50" s="184"/>
      <c r="W50" s="84"/>
      <c r="X50" s="174"/>
      <c r="Y50" s="174"/>
      <c r="Z50" s="174"/>
      <c r="AA50" s="174"/>
      <c r="AB50" s="90"/>
      <c r="AC50" s="90"/>
      <c r="AD50" s="90"/>
      <c r="AE50" s="90"/>
      <c r="AF50" s="90"/>
      <c r="AG50" s="90"/>
      <c r="AH50" s="90"/>
      <c r="AI50" s="90"/>
      <c r="AJ50" s="90"/>
    </row>
    <row r="51" ht="15.75" customHeight="1">
      <c r="A51" s="62">
        <f t="shared" si="1"/>
        <v>5</v>
      </c>
      <c r="B51" s="73" t="s">
        <v>135</v>
      </c>
      <c r="C51" s="181" t="s">
        <v>401</v>
      </c>
      <c r="D51" s="74" t="s">
        <v>302</v>
      </c>
      <c r="E51" s="75">
        <v>10.0</v>
      </c>
      <c r="F51" s="76" t="s">
        <v>21</v>
      </c>
      <c r="G51" s="74" t="s">
        <v>21</v>
      </c>
      <c r="H51" s="66" t="s">
        <v>208</v>
      </c>
      <c r="I51" s="66" t="s">
        <v>345</v>
      </c>
      <c r="J51" s="186" t="s">
        <v>105</v>
      </c>
      <c r="K51" s="187"/>
      <c r="L51" s="187" t="s">
        <v>297</v>
      </c>
      <c r="M51" s="79">
        <v>2.2E7</v>
      </c>
      <c r="N51" s="183" t="s">
        <v>170</v>
      </c>
      <c r="O51" s="181" t="s">
        <v>173</v>
      </c>
      <c r="P51" s="75">
        <v>3.0</v>
      </c>
      <c r="Q51" s="81">
        <f t="shared" si="27"/>
        <v>66000000</v>
      </c>
      <c r="R51" s="82"/>
      <c r="S51" s="181" t="s">
        <v>406</v>
      </c>
      <c r="T51" s="93" t="s">
        <v>221</v>
      </c>
      <c r="U51" s="84"/>
      <c r="V51" s="184"/>
      <c r="W51" s="84"/>
      <c r="X51" s="174"/>
      <c r="Y51" s="174"/>
      <c r="Z51" s="174"/>
      <c r="AA51" s="174"/>
      <c r="AB51" s="90"/>
      <c r="AC51" s="90"/>
      <c r="AD51" s="90"/>
      <c r="AE51" s="90"/>
      <c r="AF51" s="90"/>
      <c r="AG51" s="90"/>
      <c r="AH51" s="90"/>
      <c r="AI51" s="90"/>
      <c r="AJ51" s="90"/>
    </row>
    <row r="52" ht="15.75" customHeight="1">
      <c r="A52" s="62">
        <f t="shared" si="1"/>
        <v>6</v>
      </c>
      <c r="B52" s="73" t="s">
        <v>229</v>
      </c>
      <c r="C52" s="181" t="s">
        <v>401</v>
      </c>
      <c r="D52" s="74" t="s">
        <v>302</v>
      </c>
      <c r="E52" s="75">
        <v>19.0</v>
      </c>
      <c r="F52" s="76" t="s">
        <v>21</v>
      </c>
      <c r="G52" s="74" t="s">
        <v>21</v>
      </c>
      <c r="H52" s="66" t="s">
        <v>208</v>
      </c>
      <c r="I52" s="66" t="s">
        <v>345</v>
      </c>
      <c r="J52" s="186" t="s">
        <v>105</v>
      </c>
      <c r="K52" s="187"/>
      <c r="L52" s="187" t="s">
        <v>345</v>
      </c>
      <c r="M52" s="158">
        <v>7.39E7</v>
      </c>
      <c r="N52" s="183" t="s">
        <v>311</v>
      </c>
      <c r="O52" s="181" t="s">
        <v>312</v>
      </c>
      <c r="P52" s="75"/>
      <c r="Q52" s="81"/>
      <c r="R52" s="82"/>
      <c r="S52" s="181"/>
      <c r="T52" s="93" t="s">
        <v>221</v>
      </c>
      <c r="U52" s="84"/>
      <c r="V52" s="184"/>
      <c r="W52" s="84"/>
      <c r="X52" s="174"/>
      <c r="Y52" s="174"/>
      <c r="Z52" s="174"/>
      <c r="AA52" s="174"/>
      <c r="AB52" s="90"/>
      <c r="AC52" s="90"/>
      <c r="AD52" s="90"/>
      <c r="AE52" s="90"/>
      <c r="AF52" s="90"/>
      <c r="AG52" s="90"/>
      <c r="AH52" s="90"/>
      <c r="AI52" s="90"/>
      <c r="AJ52" s="90"/>
    </row>
    <row r="53" ht="15.75" customHeight="1">
      <c r="A53" s="62">
        <f t="shared" si="1"/>
        <v>7</v>
      </c>
      <c r="B53" s="73" t="s">
        <v>236</v>
      </c>
      <c r="C53" s="181" t="s">
        <v>401</v>
      </c>
      <c r="D53" s="74" t="s">
        <v>302</v>
      </c>
      <c r="E53" s="75">
        <v>18.0</v>
      </c>
      <c r="F53" s="76" t="s">
        <v>21</v>
      </c>
      <c r="G53" s="74" t="s">
        <v>21</v>
      </c>
      <c r="H53" s="66" t="s">
        <v>208</v>
      </c>
      <c r="I53" s="66" t="s">
        <v>345</v>
      </c>
      <c r="J53" s="186" t="s">
        <v>105</v>
      </c>
      <c r="K53" s="187"/>
      <c r="L53" s="187" t="s">
        <v>345</v>
      </c>
      <c r="M53" s="163"/>
      <c r="N53" s="183" t="s">
        <v>170</v>
      </c>
      <c r="O53" s="181" t="s">
        <v>173</v>
      </c>
      <c r="P53" s="75">
        <v>3.0</v>
      </c>
      <c r="Q53" s="81">
        <f t="shared" ref="Q53:Q62" si="28">M53*P53</f>
        <v>0</v>
      </c>
      <c r="R53" s="82" t="s">
        <v>407</v>
      </c>
      <c r="S53" s="181" t="s">
        <v>408</v>
      </c>
      <c r="T53" s="93" t="s">
        <v>221</v>
      </c>
      <c r="U53" s="84"/>
      <c r="V53" s="184"/>
      <c r="W53" s="84"/>
      <c r="X53" s="174"/>
      <c r="Y53" s="174"/>
      <c r="Z53" s="174"/>
      <c r="AA53" s="174"/>
      <c r="AB53" s="90"/>
      <c r="AC53" s="90"/>
      <c r="AD53" s="90"/>
      <c r="AE53" s="90"/>
      <c r="AF53" s="90"/>
      <c r="AG53" s="90"/>
      <c r="AH53" s="90"/>
      <c r="AI53" s="90"/>
      <c r="AJ53" s="90"/>
    </row>
    <row r="54" ht="15.75" customHeight="1">
      <c r="A54" s="62">
        <f t="shared" si="1"/>
        <v>8</v>
      </c>
      <c r="B54" s="73" t="s">
        <v>321</v>
      </c>
      <c r="C54" s="181" t="s">
        <v>409</v>
      </c>
      <c r="D54" s="74" t="s">
        <v>302</v>
      </c>
      <c r="E54" s="75">
        <v>15.0</v>
      </c>
      <c r="F54" s="76" t="s">
        <v>21</v>
      </c>
      <c r="G54" s="74" t="s">
        <v>21</v>
      </c>
      <c r="H54" s="66" t="s">
        <v>208</v>
      </c>
      <c r="I54" s="66" t="s">
        <v>165</v>
      </c>
      <c r="J54" s="78" t="s">
        <v>105</v>
      </c>
      <c r="K54" s="79"/>
      <c r="L54" s="79" t="s">
        <v>297</v>
      </c>
      <c r="M54" s="79">
        <v>4.61E7</v>
      </c>
      <c r="N54" s="183" t="s">
        <v>170</v>
      </c>
      <c r="O54" s="181" t="s">
        <v>173</v>
      </c>
      <c r="P54" s="188">
        <v>6.0</v>
      </c>
      <c r="Q54" s="189">
        <f t="shared" si="28"/>
        <v>276600000</v>
      </c>
      <c r="R54" s="188">
        <v>1.09868657829E11</v>
      </c>
      <c r="S54" s="190" t="s">
        <v>410</v>
      </c>
      <c r="T54" s="93" t="s">
        <v>221</v>
      </c>
      <c r="U54" s="84"/>
      <c r="V54" s="184"/>
      <c r="W54" s="84"/>
      <c r="X54" s="174"/>
      <c r="Y54" s="174"/>
      <c r="Z54" s="174"/>
      <c r="AA54" s="174"/>
      <c r="AB54" s="90"/>
      <c r="AC54" s="90"/>
      <c r="AD54" s="90"/>
      <c r="AE54" s="90"/>
      <c r="AF54" s="90"/>
      <c r="AG54" s="90"/>
      <c r="AH54" s="90"/>
      <c r="AI54" s="90"/>
      <c r="AJ54" s="90"/>
    </row>
    <row r="55" ht="15.75" hidden="1" customHeight="1">
      <c r="A55" s="60">
        <f t="shared" si="1"/>
        <v>8</v>
      </c>
      <c r="B55" s="191" t="s">
        <v>411</v>
      </c>
      <c r="C55" s="191" t="s">
        <v>412</v>
      </c>
      <c r="D55" s="192"/>
      <c r="E55" s="193">
        <v>14.0</v>
      </c>
      <c r="F55" s="60"/>
      <c r="G55" s="62"/>
      <c r="H55" s="66"/>
      <c r="I55" s="66"/>
      <c r="J55" s="67"/>
      <c r="K55" s="69"/>
      <c r="L55" s="69"/>
      <c r="M55" s="69">
        <v>5.28E7</v>
      </c>
      <c r="N55" s="191"/>
      <c r="O55" s="191"/>
      <c r="P55" s="193">
        <v>3.0</v>
      </c>
      <c r="Q55" s="194">
        <f t="shared" si="28"/>
        <v>158400000</v>
      </c>
      <c r="R55" s="193">
        <v>2.635353535E9</v>
      </c>
      <c r="S55" s="191" t="s">
        <v>413</v>
      </c>
      <c r="T55" s="55"/>
      <c r="U55" s="55"/>
      <c r="V55" s="84"/>
      <c r="W55" s="84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</row>
    <row r="56" ht="15.75" hidden="1" customHeight="1">
      <c r="A56" s="62">
        <f t="shared" si="1"/>
        <v>8</v>
      </c>
      <c r="B56" s="73" t="s">
        <v>316</v>
      </c>
      <c r="C56" s="181" t="s">
        <v>414</v>
      </c>
      <c r="D56" s="118" t="s">
        <v>129</v>
      </c>
      <c r="E56" s="75">
        <v>17.0</v>
      </c>
      <c r="F56" s="195" t="s">
        <v>294</v>
      </c>
      <c r="G56" s="118" t="s">
        <v>294</v>
      </c>
      <c r="H56" s="66" t="s">
        <v>104</v>
      </c>
      <c r="I56" s="66" t="s">
        <v>165</v>
      </c>
      <c r="J56" s="78" t="s">
        <v>98</v>
      </c>
      <c r="K56" s="79"/>
      <c r="L56" s="79" t="s">
        <v>211</v>
      </c>
      <c r="M56" s="79">
        <v>4.8E7</v>
      </c>
      <c r="N56" s="181"/>
      <c r="O56" s="181" t="s">
        <v>173</v>
      </c>
      <c r="P56" s="188">
        <v>3.0</v>
      </c>
      <c r="Q56" s="189">
        <f t="shared" si="28"/>
        <v>144000000</v>
      </c>
      <c r="R56" s="181"/>
      <c r="S56" s="181"/>
      <c r="T56" s="83"/>
      <c r="U56" s="84"/>
      <c r="V56" s="184"/>
      <c r="W56" s="84"/>
      <c r="X56" s="174"/>
      <c r="Y56" s="174"/>
      <c r="Z56" s="174"/>
      <c r="AA56" s="174"/>
      <c r="AB56" s="90"/>
      <c r="AC56" s="90"/>
      <c r="AD56" s="90"/>
      <c r="AE56" s="90"/>
      <c r="AF56" s="90"/>
      <c r="AG56" s="90"/>
      <c r="AH56" s="90"/>
      <c r="AI56" s="90"/>
      <c r="AJ56" s="90"/>
    </row>
    <row r="57" ht="15.75" hidden="1" customHeight="1">
      <c r="A57" s="62">
        <f t="shared" si="1"/>
        <v>8</v>
      </c>
      <c r="B57" s="73" t="s">
        <v>238</v>
      </c>
      <c r="C57" s="181" t="s">
        <v>415</v>
      </c>
      <c r="D57" s="74" t="s">
        <v>317</v>
      </c>
      <c r="E57" s="75">
        <v>18.0</v>
      </c>
      <c r="F57" s="123" t="s">
        <v>43</v>
      </c>
      <c r="G57" s="74" t="s">
        <v>43</v>
      </c>
      <c r="H57" s="66" t="s">
        <v>104</v>
      </c>
      <c r="I57" s="66" t="s">
        <v>165</v>
      </c>
      <c r="J57" s="78" t="s">
        <v>105</v>
      </c>
      <c r="K57" s="196"/>
      <c r="L57" s="196" t="s">
        <v>211</v>
      </c>
      <c r="M57" s="196">
        <v>6.1E7</v>
      </c>
      <c r="N57" s="181"/>
      <c r="O57" s="181" t="s">
        <v>312</v>
      </c>
      <c r="P57" s="188">
        <v>3.0</v>
      </c>
      <c r="Q57" s="189">
        <f t="shared" si="28"/>
        <v>183000000</v>
      </c>
      <c r="R57" s="181"/>
      <c r="S57" s="181"/>
      <c r="T57" s="83"/>
      <c r="U57" s="84"/>
      <c r="V57" s="174"/>
      <c r="W57" s="90"/>
      <c r="X57" s="174"/>
      <c r="Y57" s="174"/>
      <c r="Z57" s="174"/>
      <c r="AA57" s="174"/>
      <c r="AB57" s="90"/>
      <c r="AC57" s="90"/>
      <c r="AD57" s="90"/>
      <c r="AE57" s="90"/>
      <c r="AF57" s="90"/>
      <c r="AG57" s="90"/>
      <c r="AH57" s="90"/>
      <c r="AI57" s="90"/>
      <c r="AJ57" s="90"/>
    </row>
    <row r="58" ht="15.75" hidden="1" customHeight="1">
      <c r="A58" s="62">
        <f t="shared" si="1"/>
        <v>8</v>
      </c>
      <c r="B58" s="73" t="s">
        <v>239</v>
      </c>
      <c r="C58" s="181" t="s">
        <v>416</v>
      </c>
      <c r="D58" s="74" t="s">
        <v>302</v>
      </c>
      <c r="E58" s="75">
        <v>10.0</v>
      </c>
      <c r="F58" s="106" t="s">
        <v>209</v>
      </c>
      <c r="G58" s="91" t="s">
        <v>209</v>
      </c>
      <c r="H58" s="66" t="s">
        <v>208</v>
      </c>
      <c r="I58" s="66" t="s">
        <v>165</v>
      </c>
      <c r="J58" s="78" t="s">
        <v>105</v>
      </c>
      <c r="K58" s="196"/>
      <c r="L58" s="196" t="s">
        <v>211</v>
      </c>
      <c r="M58" s="196">
        <f>30800000</f>
        <v>30800000</v>
      </c>
      <c r="N58" s="197" t="s">
        <v>311</v>
      </c>
      <c r="O58" s="198" t="s">
        <v>312</v>
      </c>
      <c r="P58" s="189">
        <v>3.0</v>
      </c>
      <c r="Q58" s="189">
        <f t="shared" si="28"/>
        <v>92400000</v>
      </c>
      <c r="R58" s="181"/>
      <c r="S58" s="181"/>
      <c r="T58" s="93" t="s">
        <v>221</v>
      </c>
      <c r="U58" s="84"/>
      <c r="V58" s="174"/>
      <c r="W58" s="90"/>
      <c r="X58" s="174"/>
      <c r="Y58" s="174"/>
      <c r="Z58" s="174"/>
      <c r="AA58" s="174"/>
      <c r="AB58" s="90"/>
      <c r="AC58" s="90"/>
      <c r="AD58" s="90"/>
      <c r="AE58" s="90"/>
      <c r="AF58" s="90"/>
      <c r="AG58" s="90"/>
      <c r="AH58" s="90"/>
      <c r="AI58" s="90"/>
      <c r="AJ58" s="90"/>
    </row>
    <row r="59" ht="15.75" hidden="1" customHeight="1">
      <c r="A59" s="62">
        <f t="shared" si="1"/>
        <v>8</v>
      </c>
      <c r="B59" s="73" t="s">
        <v>241</v>
      </c>
      <c r="C59" s="181" t="s">
        <v>417</v>
      </c>
      <c r="D59" s="74" t="s">
        <v>302</v>
      </c>
      <c r="E59" s="75">
        <v>12.0</v>
      </c>
      <c r="F59" s="106" t="s">
        <v>209</v>
      </c>
      <c r="G59" s="91" t="s">
        <v>209</v>
      </c>
      <c r="H59" s="66" t="s">
        <v>208</v>
      </c>
      <c r="I59" s="66" t="s">
        <v>165</v>
      </c>
      <c r="J59" s="78" t="s">
        <v>105</v>
      </c>
      <c r="K59" s="196"/>
      <c r="L59" s="196" t="s">
        <v>170</v>
      </c>
      <c r="M59" s="196">
        <f>45000000+3000000</f>
        <v>48000000</v>
      </c>
      <c r="N59" s="197" t="s">
        <v>170</v>
      </c>
      <c r="O59" s="198" t="s">
        <v>173</v>
      </c>
      <c r="P59" s="189">
        <v>3.0</v>
      </c>
      <c r="Q59" s="189">
        <f t="shared" si="28"/>
        <v>144000000</v>
      </c>
      <c r="R59" s="181"/>
      <c r="S59" s="181"/>
      <c r="T59" s="93" t="s">
        <v>221</v>
      </c>
      <c r="U59" s="84"/>
      <c r="V59" s="174"/>
      <c r="W59" s="90"/>
      <c r="X59" s="174"/>
      <c r="Y59" s="174"/>
      <c r="Z59" s="174"/>
      <c r="AA59" s="174"/>
      <c r="AB59" s="90"/>
      <c r="AC59" s="90"/>
      <c r="AD59" s="90"/>
      <c r="AE59" s="90"/>
      <c r="AF59" s="90"/>
      <c r="AG59" s="90"/>
      <c r="AH59" s="90"/>
      <c r="AI59" s="90"/>
      <c r="AJ59" s="90"/>
    </row>
    <row r="60" ht="15.75" hidden="1" customHeight="1">
      <c r="A60" s="62">
        <f t="shared" si="1"/>
        <v>8</v>
      </c>
      <c r="B60" s="73" t="s">
        <v>248</v>
      </c>
      <c r="C60" s="181" t="s">
        <v>418</v>
      </c>
      <c r="D60" s="118" t="s">
        <v>419</v>
      </c>
      <c r="E60" s="75">
        <v>9.0</v>
      </c>
      <c r="F60" s="106" t="s">
        <v>28</v>
      </c>
      <c r="G60" s="199" t="s">
        <v>28</v>
      </c>
      <c r="H60" s="66" t="s">
        <v>208</v>
      </c>
      <c r="I60" s="66" t="s">
        <v>345</v>
      </c>
      <c r="J60" s="78" t="s">
        <v>98</v>
      </c>
      <c r="K60" s="196"/>
      <c r="L60" s="196" t="s">
        <v>420</v>
      </c>
      <c r="M60" s="196">
        <v>2.5E7</v>
      </c>
      <c r="N60" s="197" t="s">
        <v>170</v>
      </c>
      <c r="O60" s="198" t="s">
        <v>173</v>
      </c>
      <c r="P60" s="189">
        <v>6.0</v>
      </c>
      <c r="Q60" s="189">
        <f t="shared" si="28"/>
        <v>150000000</v>
      </c>
      <c r="R60" s="181"/>
      <c r="S60" s="181"/>
      <c r="T60" s="93" t="s">
        <v>221</v>
      </c>
      <c r="U60" s="84"/>
      <c r="V60" s="174"/>
      <c r="W60" s="90"/>
      <c r="X60" s="174"/>
      <c r="Y60" s="174"/>
      <c r="Z60" s="174"/>
      <c r="AA60" s="174"/>
      <c r="AB60" s="90"/>
      <c r="AC60" s="90"/>
      <c r="AD60" s="90"/>
      <c r="AE60" s="90"/>
      <c r="AF60" s="90"/>
      <c r="AG60" s="90"/>
      <c r="AH60" s="90"/>
      <c r="AI60" s="90"/>
      <c r="AJ60" s="90"/>
    </row>
    <row r="61" ht="15.75" hidden="1" customHeight="1">
      <c r="A61" s="62">
        <f t="shared" si="1"/>
        <v>8</v>
      </c>
      <c r="B61" s="73" t="s">
        <v>246</v>
      </c>
      <c r="C61" s="181" t="s">
        <v>421</v>
      </c>
      <c r="D61" s="74" t="s">
        <v>302</v>
      </c>
      <c r="E61" s="179">
        <v>8.0</v>
      </c>
      <c r="F61" s="76" t="s">
        <v>294</v>
      </c>
      <c r="G61" s="66" t="s">
        <v>294</v>
      </c>
      <c r="H61" s="66" t="s">
        <v>104</v>
      </c>
      <c r="I61" s="66" t="s">
        <v>165</v>
      </c>
      <c r="J61" s="78" t="s">
        <v>105</v>
      </c>
      <c r="K61" s="196"/>
      <c r="L61" s="196" t="s">
        <v>297</v>
      </c>
      <c r="M61" s="196">
        <v>1.1E7</v>
      </c>
      <c r="N61" s="181"/>
      <c r="O61" s="181" t="s">
        <v>173</v>
      </c>
      <c r="P61" s="188">
        <v>3.0</v>
      </c>
      <c r="Q61" s="189">
        <f t="shared" si="28"/>
        <v>33000000</v>
      </c>
      <c r="R61" s="181"/>
      <c r="S61" s="181"/>
      <c r="T61" s="83"/>
      <c r="U61" s="84"/>
      <c r="V61" s="174"/>
      <c r="W61" s="90"/>
      <c r="X61" s="174"/>
      <c r="Y61" s="174"/>
      <c r="Z61" s="174"/>
      <c r="AA61" s="174"/>
      <c r="AB61" s="90"/>
      <c r="AC61" s="90"/>
      <c r="AD61" s="90"/>
      <c r="AE61" s="90"/>
      <c r="AF61" s="90"/>
      <c r="AG61" s="90"/>
      <c r="AH61" s="90"/>
      <c r="AI61" s="90"/>
      <c r="AJ61" s="90"/>
    </row>
    <row r="62" ht="15.75" hidden="1" customHeight="1">
      <c r="A62" s="62">
        <f t="shared" si="1"/>
        <v>8</v>
      </c>
      <c r="B62" s="73" t="s">
        <v>252</v>
      </c>
      <c r="C62" s="181" t="s">
        <v>422</v>
      </c>
      <c r="D62" s="74" t="s">
        <v>317</v>
      </c>
      <c r="E62" s="75">
        <v>21.0</v>
      </c>
      <c r="F62" s="76" t="s">
        <v>162</v>
      </c>
      <c r="G62" s="66" t="s">
        <v>162</v>
      </c>
      <c r="H62" s="66" t="s">
        <v>12</v>
      </c>
      <c r="I62" s="66" t="s">
        <v>165</v>
      </c>
      <c r="J62" s="78" t="s">
        <v>105</v>
      </c>
      <c r="K62" s="196"/>
      <c r="L62" s="196" t="s">
        <v>311</v>
      </c>
      <c r="M62" s="200">
        <v>5.6E7</v>
      </c>
      <c r="N62" s="181"/>
      <c r="O62" s="181" t="s">
        <v>312</v>
      </c>
      <c r="P62" s="188">
        <v>3.0</v>
      </c>
      <c r="Q62" s="189">
        <f t="shared" si="28"/>
        <v>168000000</v>
      </c>
      <c r="R62" s="181"/>
      <c r="S62" s="181"/>
      <c r="T62" s="83"/>
      <c r="U62" s="84"/>
      <c r="V62" s="174"/>
      <c r="W62" s="90"/>
      <c r="X62" s="174"/>
      <c r="Y62" s="174"/>
      <c r="Z62" s="174"/>
      <c r="AA62" s="174"/>
      <c r="AB62" s="90"/>
      <c r="AC62" s="90"/>
      <c r="AD62" s="90"/>
      <c r="AE62" s="90"/>
      <c r="AF62" s="90"/>
      <c r="AG62" s="90"/>
      <c r="AH62" s="90"/>
      <c r="AI62" s="90"/>
      <c r="AJ62" s="90"/>
    </row>
    <row r="63" ht="15.75" hidden="1" customHeight="1">
      <c r="A63" s="62">
        <f t="shared" si="1"/>
        <v>8</v>
      </c>
      <c r="B63" s="73" t="s">
        <v>259</v>
      </c>
      <c r="C63" s="181" t="s">
        <v>390</v>
      </c>
      <c r="D63" s="74" t="s">
        <v>302</v>
      </c>
      <c r="E63" s="75">
        <v>10.0</v>
      </c>
      <c r="F63" s="106" t="s">
        <v>111</v>
      </c>
      <c r="G63" s="118" t="s">
        <v>111</v>
      </c>
      <c r="H63" s="66" t="s">
        <v>12</v>
      </c>
      <c r="I63" s="66" t="s">
        <v>165</v>
      </c>
      <c r="J63" s="78" t="s">
        <v>105</v>
      </c>
      <c r="K63" s="196"/>
      <c r="L63" s="196" t="s">
        <v>211</v>
      </c>
      <c r="M63" s="201">
        <f>95500000-2000000</f>
        <v>93500000</v>
      </c>
      <c r="N63" s="181"/>
      <c r="O63" s="181" t="s">
        <v>312</v>
      </c>
      <c r="P63" s="188"/>
      <c r="Q63" s="189"/>
      <c r="R63" s="181"/>
      <c r="S63" s="181"/>
      <c r="T63" s="83"/>
      <c r="U63" s="84"/>
      <c r="V63" s="174"/>
      <c r="W63" s="90"/>
      <c r="X63" s="174"/>
      <c r="Y63" s="174"/>
      <c r="Z63" s="174"/>
      <c r="AA63" s="174"/>
      <c r="AB63" s="90"/>
      <c r="AC63" s="90"/>
      <c r="AD63" s="90"/>
      <c r="AE63" s="90"/>
      <c r="AF63" s="90"/>
      <c r="AG63" s="90"/>
      <c r="AH63" s="90"/>
      <c r="AI63" s="90"/>
      <c r="AJ63" s="90"/>
    </row>
    <row r="64" ht="15.75" hidden="1" customHeight="1">
      <c r="A64" s="62">
        <f t="shared" si="1"/>
        <v>8</v>
      </c>
      <c r="B64" s="73" t="s">
        <v>263</v>
      </c>
      <c r="C64" s="181" t="s">
        <v>390</v>
      </c>
      <c r="D64" s="74" t="s">
        <v>302</v>
      </c>
      <c r="E64" s="75">
        <v>10.0</v>
      </c>
      <c r="F64" s="106" t="s">
        <v>111</v>
      </c>
      <c r="G64" s="118" t="s">
        <v>111</v>
      </c>
      <c r="H64" s="66" t="s">
        <v>12</v>
      </c>
      <c r="I64" s="66" t="s">
        <v>165</v>
      </c>
      <c r="J64" s="78" t="s">
        <v>105</v>
      </c>
      <c r="K64" s="196"/>
      <c r="L64" s="196" t="s">
        <v>211</v>
      </c>
      <c r="M64" s="202"/>
      <c r="N64" s="181"/>
      <c r="O64" s="181" t="s">
        <v>312</v>
      </c>
      <c r="P64" s="188"/>
      <c r="Q64" s="189"/>
      <c r="R64" s="181"/>
      <c r="S64" s="181"/>
      <c r="T64" s="83"/>
      <c r="U64" s="84"/>
      <c r="V64" s="174"/>
      <c r="W64" s="90"/>
      <c r="X64" s="174"/>
      <c r="Y64" s="174"/>
      <c r="Z64" s="174"/>
      <c r="AA64" s="174"/>
      <c r="AB64" s="90"/>
      <c r="AC64" s="90"/>
      <c r="AD64" s="90"/>
      <c r="AE64" s="90"/>
      <c r="AF64" s="90"/>
      <c r="AG64" s="90"/>
      <c r="AH64" s="90"/>
      <c r="AI64" s="90"/>
      <c r="AJ64" s="90"/>
    </row>
    <row r="65" ht="15.75" hidden="1" customHeight="1">
      <c r="A65" s="62">
        <f t="shared" si="1"/>
        <v>8</v>
      </c>
      <c r="B65" s="73" t="s">
        <v>272</v>
      </c>
      <c r="C65" s="181" t="s">
        <v>390</v>
      </c>
      <c r="D65" s="74" t="s">
        <v>302</v>
      </c>
      <c r="E65" s="75">
        <v>9.0</v>
      </c>
      <c r="F65" s="106" t="s">
        <v>111</v>
      </c>
      <c r="G65" s="118" t="s">
        <v>111</v>
      </c>
      <c r="H65" s="66" t="s">
        <v>12</v>
      </c>
      <c r="I65" s="66" t="s">
        <v>165</v>
      </c>
      <c r="J65" s="78" t="s">
        <v>105</v>
      </c>
      <c r="K65" s="196"/>
      <c r="L65" s="196" t="s">
        <v>297</v>
      </c>
      <c r="M65" s="163"/>
      <c r="N65" s="181"/>
      <c r="O65" s="181" t="s">
        <v>173</v>
      </c>
      <c r="P65" s="188">
        <v>3.0</v>
      </c>
      <c r="Q65" s="189">
        <f t="shared" ref="Q65:Q70" si="29">M65*P65</f>
        <v>0</v>
      </c>
      <c r="R65" s="203">
        <v>1.9034557609019E13</v>
      </c>
      <c r="S65" s="181" t="s">
        <v>423</v>
      </c>
      <c r="T65" s="83"/>
      <c r="U65" s="84"/>
      <c r="V65" s="174"/>
      <c r="W65" s="90"/>
      <c r="X65" s="174"/>
      <c r="Y65" s="174"/>
      <c r="Z65" s="174"/>
      <c r="AA65" s="174"/>
      <c r="AB65" s="90"/>
      <c r="AC65" s="90"/>
      <c r="AD65" s="90"/>
      <c r="AE65" s="90"/>
      <c r="AF65" s="90"/>
      <c r="AG65" s="90"/>
      <c r="AH65" s="90"/>
      <c r="AI65" s="90"/>
      <c r="AJ65" s="90"/>
    </row>
    <row r="66" ht="15.75" hidden="1" customHeight="1">
      <c r="A66" s="62">
        <f t="shared" si="1"/>
        <v>8</v>
      </c>
      <c r="B66" s="73" t="s">
        <v>304</v>
      </c>
      <c r="C66" s="181" t="s">
        <v>424</v>
      </c>
      <c r="D66" s="74" t="s">
        <v>317</v>
      </c>
      <c r="E66" s="75">
        <v>7.0</v>
      </c>
      <c r="F66" s="106" t="s">
        <v>266</v>
      </c>
      <c r="G66" s="91" t="s">
        <v>266</v>
      </c>
      <c r="H66" s="66" t="s">
        <v>208</v>
      </c>
      <c r="I66" s="66" t="s">
        <v>165</v>
      </c>
      <c r="J66" s="78" t="s">
        <v>105</v>
      </c>
      <c r="K66" s="196"/>
      <c r="L66" s="196" t="s">
        <v>297</v>
      </c>
      <c r="M66" s="196">
        <v>1.4E7</v>
      </c>
      <c r="N66" s="183" t="s">
        <v>269</v>
      </c>
      <c r="O66" s="181" t="s">
        <v>173</v>
      </c>
      <c r="P66" s="188">
        <v>3.0</v>
      </c>
      <c r="Q66" s="189">
        <f t="shared" si="29"/>
        <v>42000000</v>
      </c>
      <c r="R66" s="181"/>
      <c r="S66" s="181"/>
      <c r="T66" s="93" t="s">
        <v>221</v>
      </c>
      <c r="U66" s="84"/>
      <c r="V66" s="174"/>
      <c r="W66" s="90"/>
      <c r="X66" s="174"/>
      <c r="Y66" s="174"/>
      <c r="Z66" s="174"/>
      <c r="AA66" s="174"/>
      <c r="AB66" s="90"/>
      <c r="AC66" s="90"/>
      <c r="AD66" s="90"/>
      <c r="AE66" s="90"/>
      <c r="AF66" s="90"/>
      <c r="AG66" s="90"/>
      <c r="AH66" s="90"/>
      <c r="AI66" s="90"/>
      <c r="AJ66" s="90"/>
    </row>
    <row r="67" ht="15.75" hidden="1" customHeight="1">
      <c r="A67" s="62">
        <f t="shared" si="1"/>
        <v>8</v>
      </c>
      <c r="B67" s="73" t="s">
        <v>166</v>
      </c>
      <c r="C67" s="181" t="s">
        <v>425</v>
      </c>
      <c r="D67" s="74" t="s">
        <v>317</v>
      </c>
      <c r="E67" s="179">
        <v>13.0</v>
      </c>
      <c r="F67" s="123" t="s">
        <v>43</v>
      </c>
      <c r="G67" s="74" t="s">
        <v>43</v>
      </c>
      <c r="H67" s="66" t="s">
        <v>104</v>
      </c>
      <c r="I67" s="66" t="s">
        <v>165</v>
      </c>
      <c r="J67" s="78" t="s">
        <v>105</v>
      </c>
      <c r="K67" s="196"/>
      <c r="L67" s="196" t="s">
        <v>211</v>
      </c>
      <c r="M67" s="204">
        <v>4.6E7</v>
      </c>
      <c r="N67" s="181"/>
      <c r="O67" s="181" t="s">
        <v>312</v>
      </c>
      <c r="P67" s="188">
        <v>3.0</v>
      </c>
      <c r="Q67" s="189">
        <f t="shared" si="29"/>
        <v>138000000</v>
      </c>
      <c r="R67" s="181"/>
      <c r="S67" s="181"/>
      <c r="T67" s="83"/>
      <c r="U67" s="84"/>
      <c r="V67" s="174"/>
      <c r="W67" s="90"/>
      <c r="X67" s="174"/>
      <c r="Y67" s="174"/>
      <c r="Z67" s="174"/>
      <c r="AA67" s="174"/>
      <c r="AB67" s="90"/>
      <c r="AC67" s="90"/>
      <c r="AD67" s="90"/>
      <c r="AE67" s="90"/>
      <c r="AF67" s="90"/>
      <c r="AG67" s="90"/>
      <c r="AH67" s="90"/>
      <c r="AI67" s="90"/>
      <c r="AJ67" s="90"/>
    </row>
    <row r="68" ht="15.75" hidden="1" customHeight="1">
      <c r="A68" s="62">
        <f t="shared" si="1"/>
        <v>8</v>
      </c>
      <c r="B68" s="73" t="s">
        <v>256</v>
      </c>
      <c r="C68" s="181" t="s">
        <v>426</v>
      </c>
      <c r="D68" s="118" t="s">
        <v>116</v>
      </c>
      <c r="E68" s="75">
        <v>15.0</v>
      </c>
      <c r="F68" s="106" t="s">
        <v>266</v>
      </c>
      <c r="G68" s="118" t="s">
        <v>266</v>
      </c>
      <c r="H68" s="66" t="s">
        <v>208</v>
      </c>
      <c r="I68" s="66" t="s">
        <v>165</v>
      </c>
      <c r="J68" s="78" t="s">
        <v>98</v>
      </c>
      <c r="K68" s="196"/>
      <c r="L68" s="196" t="s">
        <v>297</v>
      </c>
      <c r="M68" s="196">
        <v>4.2E7</v>
      </c>
      <c r="N68" s="183" t="s">
        <v>170</v>
      </c>
      <c r="O68" s="181" t="s">
        <v>173</v>
      </c>
      <c r="P68" s="181"/>
      <c r="Q68" s="189">
        <f t="shared" si="29"/>
        <v>0</v>
      </c>
      <c r="R68" s="181"/>
      <c r="S68" s="181"/>
      <c r="T68" s="93" t="s">
        <v>221</v>
      </c>
      <c r="U68" s="84"/>
      <c r="V68" s="174"/>
      <c r="W68" s="90"/>
      <c r="X68" s="174"/>
      <c r="Y68" s="174"/>
      <c r="Z68" s="174"/>
      <c r="AA68" s="174"/>
      <c r="AB68" s="90"/>
      <c r="AC68" s="90"/>
      <c r="AD68" s="90"/>
      <c r="AE68" s="90"/>
      <c r="AF68" s="90"/>
      <c r="AG68" s="90"/>
      <c r="AH68" s="90"/>
      <c r="AI68" s="90"/>
      <c r="AJ68" s="90"/>
    </row>
    <row r="69" ht="15.75" hidden="1" customHeight="1">
      <c r="A69" s="62">
        <f t="shared" si="1"/>
        <v>8</v>
      </c>
      <c r="B69" s="73" t="s">
        <v>262</v>
      </c>
      <c r="C69" s="181" t="s">
        <v>427</v>
      </c>
      <c r="D69" s="118" t="s">
        <v>116</v>
      </c>
      <c r="E69" s="75">
        <v>7.0</v>
      </c>
      <c r="F69" s="76" t="s">
        <v>34</v>
      </c>
      <c r="G69" s="74" t="s">
        <v>34</v>
      </c>
      <c r="H69" s="91" t="s">
        <v>12</v>
      </c>
      <c r="I69" s="66" t="s">
        <v>165</v>
      </c>
      <c r="J69" s="78" t="s">
        <v>98</v>
      </c>
      <c r="K69" s="196"/>
      <c r="L69" s="196" t="s">
        <v>297</v>
      </c>
      <c r="M69" s="196">
        <v>1.05E7</v>
      </c>
      <c r="N69" s="183" t="s">
        <v>170</v>
      </c>
      <c r="O69" s="181" t="s">
        <v>173</v>
      </c>
      <c r="P69" s="181"/>
      <c r="Q69" s="189">
        <f t="shared" si="29"/>
        <v>0</v>
      </c>
      <c r="R69" s="181"/>
      <c r="S69" s="181"/>
      <c r="T69" s="83"/>
      <c r="U69" s="84"/>
      <c r="V69" s="174"/>
      <c r="W69" s="90"/>
      <c r="X69" s="174"/>
      <c r="Y69" s="174"/>
      <c r="Z69" s="174"/>
      <c r="AA69" s="174"/>
      <c r="AB69" s="90"/>
      <c r="AC69" s="90"/>
      <c r="AD69" s="90"/>
      <c r="AE69" s="90"/>
      <c r="AF69" s="90"/>
      <c r="AG69" s="90"/>
      <c r="AH69" s="90"/>
      <c r="AI69" s="90"/>
      <c r="AJ69" s="90"/>
    </row>
    <row r="70" ht="15.75" hidden="1" customHeight="1">
      <c r="A70" s="62">
        <f t="shared" si="1"/>
        <v>8</v>
      </c>
      <c r="B70" s="73" t="s">
        <v>270</v>
      </c>
      <c r="C70" s="181" t="s">
        <v>428</v>
      </c>
      <c r="D70" s="118" t="s">
        <v>116</v>
      </c>
      <c r="E70" s="75">
        <v>9.0</v>
      </c>
      <c r="F70" s="106" t="s">
        <v>266</v>
      </c>
      <c r="G70" s="118" t="s">
        <v>266</v>
      </c>
      <c r="H70" s="66" t="s">
        <v>208</v>
      </c>
      <c r="I70" s="66" t="s">
        <v>165</v>
      </c>
      <c r="J70" s="78" t="s">
        <v>98</v>
      </c>
      <c r="K70" s="196"/>
      <c r="L70" s="196" t="s">
        <v>170</v>
      </c>
      <c r="M70" s="196">
        <v>2.65E7</v>
      </c>
      <c r="N70" s="183" t="s">
        <v>214</v>
      </c>
      <c r="O70" s="181" t="s">
        <v>312</v>
      </c>
      <c r="P70" s="181">
        <v>3.0</v>
      </c>
      <c r="Q70" s="189">
        <f t="shared" si="29"/>
        <v>79500000</v>
      </c>
      <c r="R70" s="181"/>
      <c r="S70" s="181"/>
      <c r="T70" s="93" t="s">
        <v>221</v>
      </c>
      <c r="U70" s="84"/>
      <c r="V70" s="174"/>
      <c r="W70" s="90"/>
      <c r="X70" s="174"/>
      <c r="Y70" s="174"/>
      <c r="Z70" s="174"/>
      <c r="AA70" s="174"/>
      <c r="AB70" s="90"/>
      <c r="AC70" s="90"/>
      <c r="AD70" s="90"/>
      <c r="AE70" s="90"/>
      <c r="AF70" s="90"/>
      <c r="AG70" s="90"/>
      <c r="AH70" s="90"/>
      <c r="AI70" s="90"/>
      <c r="AJ70" s="90"/>
    </row>
    <row r="71" ht="15.75" hidden="1" customHeight="1">
      <c r="A71" s="62">
        <f t="shared" si="1"/>
        <v>8</v>
      </c>
      <c r="B71" s="73" t="s">
        <v>429</v>
      </c>
      <c r="C71" s="181" t="s">
        <v>430</v>
      </c>
      <c r="D71" s="74" t="s">
        <v>317</v>
      </c>
      <c r="E71" s="75">
        <v>11.0</v>
      </c>
      <c r="F71" s="76" t="s">
        <v>55</v>
      </c>
      <c r="G71" s="66" t="s">
        <v>55</v>
      </c>
      <c r="H71" s="66" t="s">
        <v>104</v>
      </c>
      <c r="I71" s="66" t="s">
        <v>165</v>
      </c>
      <c r="J71" s="78" t="s">
        <v>105</v>
      </c>
      <c r="K71" s="196"/>
      <c r="L71" s="196" t="s">
        <v>311</v>
      </c>
      <c r="M71" s="201">
        <v>5.25E7</v>
      </c>
      <c r="N71" s="181"/>
      <c r="O71" s="181" t="s">
        <v>312</v>
      </c>
      <c r="P71" s="181"/>
      <c r="Q71" s="188"/>
      <c r="R71" s="181"/>
      <c r="S71" s="181"/>
      <c r="T71" s="83"/>
      <c r="U71" s="84"/>
      <c r="V71" s="174"/>
      <c r="W71" s="90"/>
      <c r="X71" s="174"/>
      <c r="Y71" s="174"/>
      <c r="Z71" s="174"/>
      <c r="AA71" s="174"/>
      <c r="AB71" s="90"/>
      <c r="AC71" s="90"/>
      <c r="AD71" s="90"/>
      <c r="AE71" s="90"/>
      <c r="AF71" s="90"/>
      <c r="AG71" s="90"/>
      <c r="AH71" s="90"/>
      <c r="AI71" s="90"/>
      <c r="AJ71" s="90"/>
    </row>
    <row r="72" ht="15.75" hidden="1" customHeight="1">
      <c r="A72" s="62">
        <f t="shared" si="1"/>
        <v>8</v>
      </c>
      <c r="B72" s="73" t="s">
        <v>431</v>
      </c>
      <c r="C72" s="181" t="s">
        <v>430</v>
      </c>
      <c r="D72" s="74" t="s">
        <v>317</v>
      </c>
      <c r="E72" s="75">
        <v>7.0</v>
      </c>
      <c r="F72" s="76" t="s">
        <v>55</v>
      </c>
      <c r="G72" s="66" t="s">
        <v>55</v>
      </c>
      <c r="H72" s="66" t="s">
        <v>104</v>
      </c>
      <c r="I72" s="66" t="s">
        <v>165</v>
      </c>
      <c r="J72" s="78" t="s">
        <v>105</v>
      </c>
      <c r="K72" s="196"/>
      <c r="L72" s="196"/>
      <c r="M72" s="163"/>
      <c r="N72" s="181"/>
      <c r="O72" s="181" t="s">
        <v>173</v>
      </c>
      <c r="P72" s="181"/>
      <c r="Q72" s="188">
        <f t="shared" ref="Q72:Q82" si="30">M72*P72</f>
        <v>0</v>
      </c>
      <c r="R72" s="181"/>
      <c r="S72" s="181"/>
      <c r="T72" s="83"/>
      <c r="U72" s="84"/>
      <c r="V72" s="174"/>
      <c r="W72" s="90"/>
      <c r="X72" s="174"/>
      <c r="Y72" s="174"/>
      <c r="Z72" s="174"/>
      <c r="AA72" s="174"/>
      <c r="AB72" s="90"/>
      <c r="AC72" s="90"/>
      <c r="AD72" s="90"/>
      <c r="AE72" s="90"/>
      <c r="AF72" s="90"/>
      <c r="AG72" s="90"/>
      <c r="AH72" s="90"/>
      <c r="AI72" s="90"/>
      <c r="AJ72" s="90"/>
    </row>
    <row r="73" ht="15.75" customHeight="1">
      <c r="A73" s="62">
        <f t="shared" si="1"/>
        <v>9</v>
      </c>
      <c r="B73" s="73" t="s">
        <v>285</v>
      </c>
      <c r="C73" s="73" t="s">
        <v>432</v>
      </c>
      <c r="D73" s="74" t="s">
        <v>302</v>
      </c>
      <c r="E73" s="75">
        <v>10.0</v>
      </c>
      <c r="F73" s="106" t="s">
        <v>21</v>
      </c>
      <c r="G73" s="91" t="s">
        <v>21</v>
      </c>
      <c r="H73" s="66" t="s">
        <v>208</v>
      </c>
      <c r="I73" s="66" t="s">
        <v>165</v>
      </c>
      <c r="J73" s="78" t="s">
        <v>105</v>
      </c>
      <c r="K73" s="196"/>
      <c r="L73" s="196" t="s">
        <v>311</v>
      </c>
      <c r="M73" s="196">
        <v>3.7E7</v>
      </c>
      <c r="N73" s="183" t="s">
        <v>311</v>
      </c>
      <c r="O73" s="181" t="s">
        <v>312</v>
      </c>
      <c r="P73" s="181"/>
      <c r="Q73" s="196">
        <f t="shared" si="30"/>
        <v>0</v>
      </c>
      <c r="R73" s="181"/>
      <c r="S73" s="181"/>
      <c r="T73" s="93" t="s">
        <v>221</v>
      </c>
      <c r="U73" s="84"/>
      <c r="V73" s="174"/>
      <c r="W73" s="90"/>
      <c r="X73" s="174"/>
      <c r="Y73" s="174"/>
      <c r="Z73" s="174"/>
      <c r="AA73" s="174"/>
      <c r="AB73" s="90"/>
      <c r="AC73" s="90"/>
      <c r="AD73" s="90"/>
      <c r="AE73" s="90"/>
      <c r="AF73" s="90"/>
      <c r="AG73" s="90"/>
      <c r="AH73" s="90"/>
      <c r="AI73" s="90"/>
      <c r="AJ73" s="90"/>
    </row>
    <row r="74" ht="15.75" hidden="1" customHeight="1">
      <c r="A74" s="62">
        <f t="shared" si="1"/>
        <v>9</v>
      </c>
      <c r="B74" s="73" t="s">
        <v>313</v>
      </c>
      <c r="C74" s="181" t="s">
        <v>430</v>
      </c>
      <c r="D74" s="74" t="s">
        <v>317</v>
      </c>
      <c r="E74" s="75">
        <v>11.0</v>
      </c>
      <c r="F74" s="76" t="s">
        <v>55</v>
      </c>
      <c r="G74" s="66" t="s">
        <v>55</v>
      </c>
      <c r="H74" s="66" t="s">
        <v>104</v>
      </c>
      <c r="I74" s="66" t="s">
        <v>165</v>
      </c>
      <c r="J74" s="78" t="s">
        <v>105</v>
      </c>
      <c r="K74" s="196"/>
      <c r="L74" s="196" t="s">
        <v>211</v>
      </c>
      <c r="M74" s="196">
        <v>3.1666667E7</v>
      </c>
      <c r="N74" s="181"/>
      <c r="O74" s="181" t="s">
        <v>312</v>
      </c>
      <c r="P74" s="181"/>
      <c r="Q74" s="196">
        <f t="shared" si="30"/>
        <v>0</v>
      </c>
      <c r="R74" s="181"/>
      <c r="S74" s="181"/>
      <c r="T74" s="83"/>
      <c r="U74" s="84"/>
      <c r="V74" s="174"/>
      <c r="W74" s="90"/>
      <c r="X74" s="174"/>
      <c r="Y74" s="174"/>
      <c r="Z74" s="174"/>
      <c r="AA74" s="174"/>
      <c r="AB74" s="90"/>
      <c r="AC74" s="90"/>
      <c r="AD74" s="90"/>
      <c r="AE74" s="90"/>
      <c r="AF74" s="90"/>
      <c r="AG74" s="90"/>
      <c r="AH74" s="90"/>
      <c r="AI74" s="90"/>
      <c r="AJ74" s="90"/>
    </row>
    <row r="75" ht="15.75" hidden="1" customHeight="1">
      <c r="A75" s="62">
        <f t="shared" si="1"/>
        <v>9</v>
      </c>
      <c r="B75" s="73" t="s">
        <v>185</v>
      </c>
      <c r="C75" s="183" t="s">
        <v>186</v>
      </c>
      <c r="D75" s="118" t="s">
        <v>129</v>
      </c>
      <c r="E75" s="75">
        <v>14.0</v>
      </c>
      <c r="F75" s="106" t="s">
        <v>209</v>
      </c>
      <c r="G75" s="91" t="s">
        <v>209</v>
      </c>
      <c r="H75" s="66" t="s">
        <v>208</v>
      </c>
      <c r="I75" s="66" t="s">
        <v>165</v>
      </c>
      <c r="J75" s="78" t="s">
        <v>98</v>
      </c>
      <c r="K75" s="196"/>
      <c r="L75" s="196" t="s">
        <v>297</v>
      </c>
      <c r="M75" s="196">
        <v>3.6E7</v>
      </c>
      <c r="N75" s="183" t="s">
        <v>170</v>
      </c>
      <c r="O75" s="181" t="s">
        <v>173</v>
      </c>
      <c r="P75" s="181"/>
      <c r="Q75" s="196">
        <f t="shared" si="30"/>
        <v>0</v>
      </c>
      <c r="R75" s="181"/>
      <c r="S75" s="181"/>
      <c r="T75" s="93" t="s">
        <v>221</v>
      </c>
      <c r="U75" s="84"/>
      <c r="V75" s="174"/>
      <c r="W75" s="90"/>
      <c r="X75" s="174"/>
      <c r="Y75" s="174"/>
      <c r="Z75" s="174"/>
      <c r="AA75" s="174"/>
      <c r="AB75" s="90"/>
      <c r="AC75" s="90"/>
      <c r="AD75" s="90"/>
      <c r="AE75" s="90"/>
      <c r="AF75" s="90"/>
      <c r="AG75" s="90"/>
      <c r="AH75" s="90"/>
      <c r="AI75" s="90"/>
      <c r="AJ75" s="90"/>
    </row>
    <row r="76" ht="15.75" hidden="1" customHeight="1">
      <c r="A76" s="62">
        <f t="shared" si="1"/>
        <v>9</v>
      </c>
      <c r="B76" s="73" t="s">
        <v>188</v>
      </c>
      <c r="C76" s="181" t="s">
        <v>433</v>
      </c>
      <c r="D76" s="74" t="s">
        <v>302</v>
      </c>
      <c r="E76" s="75">
        <v>8.0</v>
      </c>
      <c r="F76" s="76" t="s">
        <v>294</v>
      </c>
      <c r="G76" s="66" t="s">
        <v>294</v>
      </c>
      <c r="H76" s="66" t="s">
        <v>104</v>
      </c>
      <c r="I76" s="66" t="s">
        <v>165</v>
      </c>
      <c r="J76" s="78" t="s">
        <v>105</v>
      </c>
      <c r="K76" s="196"/>
      <c r="L76" s="196" t="s">
        <v>297</v>
      </c>
      <c r="M76" s="196">
        <v>1.0E7</v>
      </c>
      <c r="N76" s="181"/>
      <c r="O76" s="181" t="s">
        <v>173</v>
      </c>
      <c r="P76" s="181"/>
      <c r="Q76" s="196">
        <f t="shared" si="30"/>
        <v>0</v>
      </c>
      <c r="R76" s="181"/>
      <c r="S76" s="181"/>
      <c r="T76" s="83"/>
      <c r="U76" s="84"/>
      <c r="V76" s="174"/>
      <c r="W76" s="90"/>
      <c r="X76" s="174"/>
      <c r="Y76" s="174"/>
      <c r="Z76" s="174"/>
      <c r="AA76" s="174"/>
      <c r="AB76" s="90"/>
      <c r="AC76" s="90"/>
      <c r="AD76" s="90"/>
      <c r="AE76" s="90"/>
      <c r="AF76" s="90"/>
      <c r="AG76" s="90"/>
      <c r="AH76" s="90"/>
      <c r="AI76" s="90"/>
      <c r="AJ76" s="90"/>
    </row>
    <row r="77" ht="15.75" hidden="1" customHeight="1">
      <c r="A77" s="62">
        <f t="shared" si="1"/>
        <v>9</v>
      </c>
      <c r="B77" s="73" t="s">
        <v>192</v>
      </c>
      <c r="C77" s="183" t="s">
        <v>434</v>
      </c>
      <c r="D77" s="74" t="s">
        <v>302</v>
      </c>
      <c r="E77" s="75">
        <v>17.0</v>
      </c>
      <c r="F77" s="76" t="s">
        <v>55</v>
      </c>
      <c r="G77" s="66" t="s">
        <v>55</v>
      </c>
      <c r="H77" s="66" t="s">
        <v>104</v>
      </c>
      <c r="I77" s="66" t="s">
        <v>165</v>
      </c>
      <c r="J77" s="78" t="s">
        <v>105</v>
      </c>
      <c r="K77" s="196"/>
      <c r="L77" s="196" t="s">
        <v>211</v>
      </c>
      <c r="M77" s="196">
        <v>6.2E7</v>
      </c>
      <c r="N77" s="181"/>
      <c r="O77" s="181" t="s">
        <v>312</v>
      </c>
      <c r="P77" s="181"/>
      <c r="Q77" s="196">
        <f t="shared" si="30"/>
        <v>0</v>
      </c>
      <c r="R77" s="181"/>
      <c r="S77" s="181"/>
      <c r="T77" s="83"/>
      <c r="U77" s="84"/>
      <c r="V77" s="174"/>
      <c r="W77" s="90"/>
      <c r="X77" s="174"/>
      <c r="Y77" s="174"/>
      <c r="Z77" s="174"/>
      <c r="AA77" s="174"/>
      <c r="AB77" s="90"/>
      <c r="AC77" s="90"/>
      <c r="AD77" s="90"/>
      <c r="AE77" s="90"/>
      <c r="AF77" s="90"/>
      <c r="AG77" s="90"/>
      <c r="AH77" s="90"/>
      <c r="AI77" s="90"/>
      <c r="AJ77" s="90"/>
    </row>
    <row r="78" ht="15.75" hidden="1" customHeight="1">
      <c r="A78" s="62">
        <f t="shared" si="1"/>
        <v>9</v>
      </c>
      <c r="B78" s="73" t="s">
        <v>196</v>
      </c>
      <c r="C78" s="181" t="s">
        <v>435</v>
      </c>
      <c r="D78" s="118" t="s">
        <v>129</v>
      </c>
      <c r="E78" s="75">
        <v>11.0</v>
      </c>
      <c r="F78" s="76" t="s">
        <v>162</v>
      </c>
      <c r="G78" s="66" t="s">
        <v>162</v>
      </c>
      <c r="H78" s="66" t="s">
        <v>12</v>
      </c>
      <c r="I78" s="66" t="s">
        <v>165</v>
      </c>
      <c r="J78" s="205" t="s">
        <v>98</v>
      </c>
      <c r="K78" s="196"/>
      <c r="L78" s="196" t="s">
        <v>170</v>
      </c>
      <c r="M78" s="196">
        <v>3.7E7</v>
      </c>
      <c r="N78" s="181"/>
      <c r="O78" s="181" t="s">
        <v>312</v>
      </c>
      <c r="P78" s="181"/>
      <c r="Q78" s="196">
        <f t="shared" si="30"/>
        <v>0</v>
      </c>
      <c r="R78" s="181"/>
      <c r="S78" s="181"/>
      <c r="T78" s="83"/>
      <c r="U78" s="84"/>
      <c r="V78" s="174"/>
      <c r="W78" s="90"/>
      <c r="X78" s="174"/>
      <c r="Y78" s="174"/>
      <c r="Z78" s="174"/>
      <c r="AA78" s="174"/>
      <c r="AB78" s="90"/>
      <c r="AC78" s="90"/>
      <c r="AD78" s="90"/>
      <c r="AE78" s="90"/>
      <c r="AF78" s="90"/>
      <c r="AG78" s="90"/>
      <c r="AH78" s="90"/>
      <c r="AI78" s="90"/>
      <c r="AJ78" s="90"/>
    </row>
    <row r="79" ht="15.75" hidden="1" customHeight="1">
      <c r="A79" s="62">
        <f t="shared" si="1"/>
        <v>9</v>
      </c>
      <c r="B79" s="73" t="s">
        <v>199</v>
      </c>
      <c r="C79" s="181" t="s">
        <v>436</v>
      </c>
      <c r="D79" s="74" t="s">
        <v>317</v>
      </c>
      <c r="E79" s="73">
        <v>14.0</v>
      </c>
      <c r="F79" s="76" t="s">
        <v>294</v>
      </c>
      <c r="G79" s="74" t="s">
        <v>294</v>
      </c>
      <c r="H79" s="66" t="s">
        <v>104</v>
      </c>
      <c r="I79" s="66" t="s">
        <v>165</v>
      </c>
      <c r="J79" s="206" t="s">
        <v>105</v>
      </c>
      <c r="K79" s="196"/>
      <c r="L79" s="196" t="s">
        <v>297</v>
      </c>
      <c r="M79" s="196">
        <v>3.5E7</v>
      </c>
      <c r="N79" s="181"/>
      <c r="O79" s="181" t="s">
        <v>173</v>
      </c>
      <c r="P79" s="181">
        <v>3.0</v>
      </c>
      <c r="Q79" s="196">
        <f t="shared" si="30"/>
        <v>105000000</v>
      </c>
      <c r="R79" s="181"/>
      <c r="S79" s="181"/>
      <c r="T79" s="83"/>
      <c r="U79" s="84"/>
      <c r="V79" s="174"/>
      <c r="W79" s="90"/>
      <c r="X79" s="174"/>
      <c r="Y79" s="174"/>
      <c r="Z79" s="174"/>
      <c r="AA79" s="174"/>
      <c r="AB79" s="90"/>
      <c r="AC79" s="90"/>
      <c r="AD79" s="90"/>
      <c r="AE79" s="90"/>
      <c r="AF79" s="90"/>
      <c r="AG79" s="90"/>
      <c r="AH79" s="90"/>
      <c r="AI79" s="90"/>
      <c r="AJ79" s="90"/>
    </row>
    <row r="80" ht="15.75" hidden="1" customHeight="1">
      <c r="A80" s="62">
        <f t="shared" si="1"/>
        <v>9</v>
      </c>
      <c r="B80" s="73" t="s">
        <v>201</v>
      </c>
      <c r="C80" s="181" t="s">
        <v>437</v>
      </c>
      <c r="D80" s="118" t="s">
        <v>116</v>
      </c>
      <c r="E80" s="73">
        <v>18.0</v>
      </c>
      <c r="F80" s="207" t="s">
        <v>28</v>
      </c>
      <c r="G80" s="91" t="s">
        <v>28</v>
      </c>
      <c r="H80" s="66" t="s">
        <v>208</v>
      </c>
      <c r="I80" s="66" t="s">
        <v>165</v>
      </c>
      <c r="J80" s="206" t="s">
        <v>98</v>
      </c>
      <c r="K80" s="196"/>
      <c r="L80" s="196" t="s">
        <v>297</v>
      </c>
      <c r="M80" s="196">
        <v>5.0E7</v>
      </c>
      <c r="N80" s="183" t="s">
        <v>269</v>
      </c>
      <c r="O80" s="181" t="s">
        <v>173</v>
      </c>
      <c r="P80" s="181"/>
      <c r="Q80" s="196">
        <f t="shared" si="30"/>
        <v>0</v>
      </c>
      <c r="R80" s="181"/>
      <c r="S80" s="181"/>
      <c r="T80" s="93" t="s">
        <v>221</v>
      </c>
      <c r="U80" s="84"/>
      <c r="V80" s="174"/>
      <c r="W80" s="90"/>
      <c r="X80" s="174"/>
      <c r="Y80" s="174"/>
      <c r="Z80" s="174"/>
      <c r="AA80" s="174"/>
      <c r="AB80" s="90"/>
      <c r="AC80" s="90"/>
      <c r="AD80" s="90"/>
      <c r="AE80" s="90"/>
      <c r="AF80" s="90"/>
      <c r="AG80" s="90"/>
      <c r="AH80" s="90"/>
      <c r="AI80" s="90"/>
      <c r="AJ80" s="90"/>
    </row>
    <row r="81" ht="15.75" hidden="1" customHeight="1">
      <c r="A81" s="62">
        <f t="shared" si="1"/>
        <v>9</v>
      </c>
      <c r="B81" s="73" t="s">
        <v>204</v>
      </c>
      <c r="C81" s="73" t="s">
        <v>438</v>
      </c>
      <c r="D81" s="118" t="s">
        <v>129</v>
      </c>
      <c r="E81" s="73">
        <v>9.0</v>
      </c>
      <c r="F81" s="106" t="s">
        <v>16</v>
      </c>
      <c r="G81" s="118" t="s">
        <v>16</v>
      </c>
      <c r="H81" s="66" t="s">
        <v>208</v>
      </c>
      <c r="I81" s="66" t="s">
        <v>165</v>
      </c>
      <c r="J81" s="206" t="s">
        <v>105</v>
      </c>
      <c r="K81" s="196"/>
      <c r="L81" s="196" t="s">
        <v>297</v>
      </c>
      <c r="M81" s="196">
        <v>1.9E7</v>
      </c>
      <c r="N81" s="183" t="s">
        <v>269</v>
      </c>
      <c r="O81" s="181" t="s">
        <v>173</v>
      </c>
      <c r="P81" s="181"/>
      <c r="Q81" s="196">
        <f t="shared" si="30"/>
        <v>0</v>
      </c>
      <c r="R81" s="181"/>
      <c r="S81" s="181"/>
      <c r="T81" s="93" t="s">
        <v>221</v>
      </c>
      <c r="U81" s="84"/>
      <c r="V81" s="174"/>
      <c r="W81" s="90"/>
      <c r="X81" s="174"/>
      <c r="Y81" s="174"/>
      <c r="Z81" s="174"/>
      <c r="AA81" s="174"/>
      <c r="AB81" s="90"/>
      <c r="AC81" s="90"/>
      <c r="AD81" s="90"/>
      <c r="AE81" s="90"/>
      <c r="AF81" s="90"/>
      <c r="AG81" s="90"/>
      <c r="AH81" s="90"/>
      <c r="AI81" s="90"/>
      <c r="AJ81" s="90"/>
    </row>
    <row r="82" ht="15.75" hidden="1" customHeight="1">
      <c r="A82" s="62">
        <f t="shared" si="1"/>
        <v>9</v>
      </c>
      <c r="B82" s="208" t="s">
        <v>206</v>
      </c>
      <c r="C82" s="209" t="s">
        <v>439</v>
      </c>
      <c r="D82" s="210" t="s">
        <v>302</v>
      </c>
      <c r="E82" s="208">
        <v>7.0</v>
      </c>
      <c r="F82" s="211" t="s">
        <v>55</v>
      </c>
      <c r="G82" s="66" t="s">
        <v>55</v>
      </c>
      <c r="H82" s="66" t="s">
        <v>104</v>
      </c>
      <c r="I82" s="66" t="s">
        <v>440</v>
      </c>
      <c r="J82" s="212" t="s">
        <v>105</v>
      </c>
      <c r="K82" s="213"/>
      <c r="L82" s="213" t="s">
        <v>297</v>
      </c>
      <c r="M82" s="214">
        <v>1.0E7</v>
      </c>
      <c r="N82" s="209"/>
      <c r="O82" s="209" t="s">
        <v>173</v>
      </c>
      <c r="P82" s="209">
        <v>3.0</v>
      </c>
      <c r="Q82" s="196">
        <f t="shared" si="30"/>
        <v>30000000</v>
      </c>
      <c r="R82" s="209"/>
      <c r="S82" s="209"/>
      <c r="T82" s="215"/>
      <c r="U82" s="90"/>
      <c r="V82" s="174"/>
      <c r="W82" s="90"/>
      <c r="X82" s="174"/>
      <c r="Y82" s="174"/>
      <c r="Z82" s="174"/>
      <c r="AA82" s="174"/>
      <c r="AB82" s="90"/>
      <c r="AC82" s="90"/>
      <c r="AD82" s="90"/>
      <c r="AE82" s="90"/>
      <c r="AF82" s="90"/>
      <c r="AG82" s="90"/>
      <c r="AH82" s="90"/>
      <c r="AI82" s="90"/>
      <c r="AJ82" s="90"/>
    </row>
    <row r="83" ht="15.75" hidden="1" customHeight="1">
      <c r="A83" s="62">
        <f t="shared" si="1"/>
        <v>9</v>
      </c>
      <c r="B83" s="73" t="s">
        <v>212</v>
      </c>
      <c r="C83" s="209" t="s">
        <v>441</v>
      </c>
      <c r="D83" s="210" t="s">
        <v>302</v>
      </c>
      <c r="E83" s="208">
        <v>10.0</v>
      </c>
      <c r="F83" s="216" t="s">
        <v>209</v>
      </c>
      <c r="G83" s="217" t="s">
        <v>209</v>
      </c>
      <c r="H83" s="66" t="s">
        <v>208</v>
      </c>
      <c r="I83" s="66" t="s">
        <v>442</v>
      </c>
      <c r="J83" s="205" t="s">
        <v>98</v>
      </c>
      <c r="K83" s="196"/>
      <c r="L83" s="196" t="s">
        <v>211</v>
      </c>
      <c r="M83" s="196">
        <v>3.6E7</v>
      </c>
      <c r="N83" s="183" t="s">
        <v>214</v>
      </c>
      <c r="O83" s="209" t="s">
        <v>312</v>
      </c>
      <c r="P83" s="209"/>
      <c r="Q83" s="209"/>
      <c r="R83" s="209"/>
      <c r="S83" s="209"/>
      <c r="T83" s="218" t="s">
        <v>221</v>
      </c>
      <c r="U83" s="90"/>
      <c r="V83" s="174"/>
      <c r="W83" s="90"/>
      <c r="X83" s="174"/>
      <c r="Y83" s="174"/>
      <c r="Z83" s="174"/>
      <c r="AA83" s="174"/>
      <c r="AB83" s="90"/>
      <c r="AC83" s="90"/>
      <c r="AD83" s="90"/>
      <c r="AE83" s="90"/>
      <c r="AF83" s="90"/>
      <c r="AG83" s="90"/>
      <c r="AH83" s="90"/>
      <c r="AI83" s="90"/>
      <c r="AJ83" s="90"/>
    </row>
    <row r="84" ht="15.75" hidden="1" customHeight="1">
      <c r="A84" s="62">
        <f t="shared" si="1"/>
        <v>9</v>
      </c>
      <c r="B84" s="208" t="s">
        <v>443</v>
      </c>
      <c r="C84" s="209" t="s">
        <v>444</v>
      </c>
      <c r="D84" s="210" t="s">
        <v>89</v>
      </c>
      <c r="E84" s="219">
        <v>16.0</v>
      </c>
      <c r="F84" s="216" t="s">
        <v>43</v>
      </c>
      <c r="G84" s="220" t="s">
        <v>43</v>
      </c>
      <c r="H84" s="91" t="s">
        <v>104</v>
      </c>
      <c r="I84" s="66" t="s">
        <v>165</v>
      </c>
      <c r="J84" s="205" t="s">
        <v>98</v>
      </c>
      <c r="K84" s="196"/>
      <c r="L84" s="196" t="s">
        <v>211</v>
      </c>
      <c r="M84" s="201">
        <v>8.0E7</v>
      </c>
      <c r="N84" s="92" t="s">
        <v>311</v>
      </c>
      <c r="O84" s="209" t="s">
        <v>312</v>
      </c>
      <c r="P84" s="209"/>
      <c r="Q84" s="209"/>
      <c r="R84" s="209"/>
      <c r="S84" s="209"/>
      <c r="T84" s="215"/>
      <c r="U84" s="90"/>
      <c r="V84" s="174"/>
      <c r="W84" s="90"/>
      <c r="X84" s="174"/>
      <c r="Y84" s="174"/>
      <c r="Z84" s="174"/>
      <c r="AA84" s="174"/>
      <c r="AB84" s="90"/>
      <c r="AC84" s="90"/>
      <c r="AD84" s="90"/>
      <c r="AE84" s="90"/>
      <c r="AF84" s="90"/>
      <c r="AG84" s="90"/>
      <c r="AH84" s="90"/>
      <c r="AI84" s="90"/>
      <c r="AJ84" s="90"/>
    </row>
    <row r="85" ht="15.75" hidden="1" customHeight="1">
      <c r="A85" s="62">
        <f t="shared" si="1"/>
        <v>9</v>
      </c>
      <c r="B85" s="208" t="s">
        <v>445</v>
      </c>
      <c r="C85" s="209" t="s">
        <v>444</v>
      </c>
      <c r="D85" s="210" t="s">
        <v>89</v>
      </c>
      <c r="E85" s="219">
        <v>6.0</v>
      </c>
      <c r="F85" s="216" t="s">
        <v>43</v>
      </c>
      <c r="G85" s="220" t="s">
        <v>43</v>
      </c>
      <c r="H85" s="91" t="s">
        <v>104</v>
      </c>
      <c r="I85" s="66" t="s">
        <v>165</v>
      </c>
      <c r="J85" s="205" t="s">
        <v>98</v>
      </c>
      <c r="K85" s="196"/>
      <c r="L85" s="196" t="s">
        <v>211</v>
      </c>
      <c r="M85" s="163"/>
      <c r="N85" s="183" t="s">
        <v>170</v>
      </c>
      <c r="O85" s="209" t="s">
        <v>173</v>
      </c>
      <c r="P85" s="209"/>
      <c r="Q85" s="209"/>
      <c r="R85" s="209"/>
      <c r="S85" s="209"/>
      <c r="T85" s="215"/>
      <c r="U85" s="90"/>
      <c r="V85" s="174"/>
      <c r="W85" s="90"/>
      <c r="X85" s="174"/>
      <c r="Y85" s="174"/>
      <c r="Z85" s="174"/>
      <c r="AA85" s="174"/>
      <c r="AB85" s="90"/>
      <c r="AC85" s="90"/>
      <c r="AD85" s="90"/>
      <c r="AE85" s="90"/>
      <c r="AF85" s="90"/>
      <c r="AG85" s="90"/>
      <c r="AH85" s="90"/>
      <c r="AI85" s="90"/>
      <c r="AJ85" s="90"/>
    </row>
    <row r="86" ht="15.75" hidden="1" customHeight="1">
      <c r="A86" s="62">
        <f t="shared" si="1"/>
        <v>9</v>
      </c>
      <c r="B86" s="208" t="s">
        <v>219</v>
      </c>
      <c r="C86" s="221" t="s">
        <v>220</v>
      </c>
      <c r="D86" s="222" t="s">
        <v>129</v>
      </c>
      <c r="E86" s="208">
        <v>10.0</v>
      </c>
      <c r="F86" s="211" t="s">
        <v>28</v>
      </c>
      <c r="G86" s="66" t="s">
        <v>28</v>
      </c>
      <c r="H86" s="66" t="s">
        <v>208</v>
      </c>
      <c r="I86" s="66" t="s">
        <v>165</v>
      </c>
      <c r="J86" s="205" t="s">
        <v>105</v>
      </c>
      <c r="K86" s="196"/>
      <c r="L86" s="196" t="s">
        <v>297</v>
      </c>
      <c r="M86" s="196">
        <v>2.6E7</v>
      </c>
      <c r="N86" s="183" t="s">
        <v>170</v>
      </c>
      <c r="O86" s="209" t="s">
        <v>173</v>
      </c>
      <c r="P86" s="209"/>
      <c r="Q86" s="209"/>
      <c r="R86" s="209"/>
      <c r="S86" s="209"/>
      <c r="T86" s="218" t="s">
        <v>221</v>
      </c>
      <c r="U86" s="90"/>
      <c r="V86" s="174"/>
      <c r="W86" s="90"/>
      <c r="X86" s="174"/>
      <c r="Y86" s="174"/>
      <c r="Z86" s="174"/>
      <c r="AA86" s="174"/>
      <c r="AB86" s="90"/>
      <c r="AC86" s="90"/>
      <c r="AD86" s="90"/>
      <c r="AE86" s="90"/>
      <c r="AF86" s="90"/>
      <c r="AG86" s="90"/>
      <c r="AH86" s="90"/>
      <c r="AI86" s="90"/>
      <c r="AJ86" s="90"/>
    </row>
    <row r="87" ht="15.75" hidden="1" customHeight="1">
      <c r="A87" s="62">
        <f t="shared" si="1"/>
        <v>9</v>
      </c>
      <c r="B87" s="208" t="s">
        <v>222</v>
      </c>
      <c r="C87" s="209" t="s">
        <v>446</v>
      </c>
      <c r="D87" s="210" t="s">
        <v>302</v>
      </c>
      <c r="E87" s="219">
        <v>16.0</v>
      </c>
      <c r="F87" s="211" t="s">
        <v>55</v>
      </c>
      <c r="G87" s="66" t="s">
        <v>55</v>
      </c>
      <c r="H87" s="66" t="s">
        <v>104</v>
      </c>
      <c r="I87" s="66" t="s">
        <v>165</v>
      </c>
      <c r="J87" s="212" t="s">
        <v>105</v>
      </c>
      <c r="K87" s="196"/>
      <c r="L87" s="196" t="s">
        <v>211</v>
      </c>
      <c r="M87" s="196">
        <v>6.48E7</v>
      </c>
      <c r="N87" s="209"/>
      <c r="O87" s="209"/>
      <c r="P87" s="209"/>
      <c r="Q87" s="209"/>
      <c r="R87" s="209"/>
      <c r="S87" s="209"/>
      <c r="T87" s="215"/>
      <c r="U87" s="90"/>
      <c r="V87" s="174"/>
      <c r="W87" s="90"/>
      <c r="X87" s="174"/>
      <c r="Y87" s="174"/>
      <c r="Z87" s="174"/>
      <c r="AA87" s="174"/>
      <c r="AB87" s="90"/>
      <c r="AC87" s="90"/>
      <c r="AD87" s="90"/>
      <c r="AE87" s="90"/>
      <c r="AF87" s="90"/>
      <c r="AG87" s="90"/>
      <c r="AH87" s="90"/>
      <c r="AI87" s="90"/>
      <c r="AJ87" s="90"/>
    </row>
    <row r="88" ht="15.75" hidden="1" customHeight="1">
      <c r="A88" s="62">
        <f t="shared" si="1"/>
        <v>9</v>
      </c>
      <c r="B88" s="208" t="s">
        <v>224</v>
      </c>
      <c r="C88" s="209" t="s">
        <v>447</v>
      </c>
      <c r="D88" s="210" t="s">
        <v>89</v>
      </c>
      <c r="E88" s="219">
        <v>26.0</v>
      </c>
      <c r="F88" s="211" t="s">
        <v>28</v>
      </c>
      <c r="G88" s="66" t="s">
        <v>28</v>
      </c>
      <c r="H88" s="66" t="s">
        <v>208</v>
      </c>
      <c r="I88" s="66" t="s">
        <v>165</v>
      </c>
      <c r="J88" s="212" t="s">
        <v>98</v>
      </c>
      <c r="K88" s="196"/>
      <c r="L88" s="196" t="s">
        <v>211</v>
      </c>
      <c r="M88" s="196">
        <v>5.0E7</v>
      </c>
      <c r="N88" s="92" t="s">
        <v>311</v>
      </c>
      <c r="O88" s="209" t="s">
        <v>312</v>
      </c>
      <c r="P88" s="209"/>
      <c r="Q88" s="209"/>
      <c r="R88" s="209"/>
      <c r="S88" s="209"/>
      <c r="T88" s="218" t="s">
        <v>221</v>
      </c>
      <c r="U88" s="90"/>
      <c r="V88" s="174"/>
      <c r="W88" s="90"/>
      <c r="X88" s="174"/>
      <c r="Y88" s="174"/>
      <c r="Z88" s="174"/>
      <c r="AA88" s="174"/>
      <c r="AB88" s="90"/>
      <c r="AC88" s="90"/>
      <c r="AD88" s="90"/>
      <c r="AE88" s="90"/>
      <c r="AF88" s="90"/>
      <c r="AG88" s="90"/>
      <c r="AH88" s="90"/>
      <c r="AI88" s="90"/>
      <c r="AJ88" s="90"/>
    </row>
    <row r="89" ht="15.75" hidden="1" customHeight="1">
      <c r="A89" s="60">
        <f t="shared" si="1"/>
        <v>9</v>
      </c>
      <c r="B89" s="209" t="s">
        <v>448</v>
      </c>
      <c r="C89" s="209" t="s">
        <v>449</v>
      </c>
      <c r="D89" s="210"/>
      <c r="E89" s="208">
        <v>8.0</v>
      </c>
      <c r="F89" s="209"/>
      <c r="G89" s="115"/>
      <c r="H89" s="66"/>
      <c r="I89" s="66" t="s">
        <v>450</v>
      </c>
      <c r="J89" s="205" t="s">
        <v>98</v>
      </c>
      <c r="K89" s="196"/>
      <c r="L89" s="196" t="s">
        <v>297</v>
      </c>
      <c r="M89" s="196">
        <v>1.05E8</v>
      </c>
      <c r="N89" s="209"/>
      <c r="O89" s="209"/>
      <c r="P89" s="209"/>
      <c r="Q89" s="209"/>
      <c r="R89" s="209"/>
      <c r="S89" s="209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</row>
    <row r="90" ht="15.75" hidden="1" customHeight="1">
      <c r="A90" s="62">
        <f t="shared" si="1"/>
        <v>9</v>
      </c>
      <c r="B90" s="208" t="s">
        <v>227</v>
      </c>
      <c r="C90" s="209" t="s">
        <v>441</v>
      </c>
      <c r="D90" s="210" t="s">
        <v>302</v>
      </c>
      <c r="E90" s="208">
        <v>9.0</v>
      </c>
      <c r="F90" s="211" t="s">
        <v>294</v>
      </c>
      <c r="G90" s="66" t="s">
        <v>294</v>
      </c>
      <c r="H90" s="66" t="s">
        <v>104</v>
      </c>
      <c r="I90" s="66" t="s">
        <v>165</v>
      </c>
      <c r="J90" s="212" t="s">
        <v>105</v>
      </c>
      <c r="K90" s="196"/>
      <c r="L90" s="196" t="s">
        <v>297</v>
      </c>
      <c r="M90" s="196">
        <v>1.3E7</v>
      </c>
      <c r="N90" s="209"/>
      <c r="O90" s="209" t="s">
        <v>173</v>
      </c>
      <c r="P90" s="209"/>
      <c r="Q90" s="209"/>
      <c r="R90" s="209"/>
      <c r="S90" s="209"/>
      <c r="T90" s="215"/>
      <c r="U90" s="90"/>
      <c r="V90" s="174"/>
      <c r="W90" s="90"/>
      <c r="X90" s="174"/>
      <c r="Y90" s="174"/>
      <c r="Z90" s="174"/>
      <c r="AA90" s="174"/>
      <c r="AB90" s="90"/>
      <c r="AC90" s="90"/>
      <c r="AD90" s="90"/>
      <c r="AE90" s="90"/>
      <c r="AF90" s="90"/>
      <c r="AG90" s="90"/>
      <c r="AH90" s="90"/>
      <c r="AI90" s="90"/>
      <c r="AJ90" s="90"/>
    </row>
    <row r="91" ht="15.75" hidden="1" customHeight="1">
      <c r="A91" s="62">
        <f t="shared" si="1"/>
        <v>9</v>
      </c>
      <c r="B91" s="208" t="s">
        <v>230</v>
      </c>
      <c r="C91" s="209" t="s">
        <v>451</v>
      </c>
      <c r="D91" s="210" t="s">
        <v>89</v>
      </c>
      <c r="E91" s="208">
        <v>8.0</v>
      </c>
      <c r="F91" s="123" t="s">
        <v>43</v>
      </c>
      <c r="G91" s="115" t="s">
        <v>43</v>
      </c>
      <c r="H91" s="66" t="s">
        <v>104</v>
      </c>
      <c r="I91" s="66" t="s">
        <v>165</v>
      </c>
      <c r="J91" s="205" t="s">
        <v>98</v>
      </c>
      <c r="K91" s="196"/>
      <c r="L91" s="196" t="s">
        <v>297</v>
      </c>
      <c r="M91" s="196">
        <f>80000000/3</f>
        <v>26666666.67</v>
      </c>
      <c r="N91" s="209"/>
      <c r="O91" s="209" t="s">
        <v>173</v>
      </c>
      <c r="P91" s="209"/>
      <c r="Q91" s="209"/>
      <c r="R91" s="209"/>
      <c r="S91" s="209"/>
      <c r="T91" s="215"/>
      <c r="U91" s="90"/>
      <c r="V91" s="174"/>
      <c r="W91" s="90"/>
      <c r="X91" s="174"/>
      <c r="Y91" s="174"/>
      <c r="Z91" s="174"/>
      <c r="AA91" s="174"/>
      <c r="AB91" s="90"/>
      <c r="AC91" s="90"/>
      <c r="AD91" s="90"/>
      <c r="AE91" s="90"/>
      <c r="AF91" s="90"/>
      <c r="AG91" s="90"/>
      <c r="AH91" s="90"/>
      <c r="AI91" s="90"/>
      <c r="AJ91" s="90"/>
    </row>
    <row r="92" ht="15.75" hidden="1" customHeight="1">
      <c r="A92" s="62">
        <f t="shared" si="1"/>
        <v>9</v>
      </c>
      <c r="B92" s="208" t="s">
        <v>232</v>
      </c>
      <c r="C92" s="209" t="s">
        <v>441</v>
      </c>
      <c r="D92" s="210" t="s">
        <v>302</v>
      </c>
      <c r="E92" s="208">
        <v>9.0</v>
      </c>
      <c r="F92" s="106" t="s">
        <v>162</v>
      </c>
      <c r="G92" s="115" t="s">
        <v>162</v>
      </c>
      <c r="H92" s="66" t="s">
        <v>12</v>
      </c>
      <c r="I92" s="66" t="s">
        <v>165</v>
      </c>
      <c r="J92" s="212" t="s">
        <v>105</v>
      </c>
      <c r="K92" s="196"/>
      <c r="L92" s="196" t="s">
        <v>297</v>
      </c>
      <c r="M92" s="196">
        <v>2.6E7</v>
      </c>
      <c r="N92" s="209"/>
      <c r="O92" s="209" t="s">
        <v>173</v>
      </c>
      <c r="P92" s="209"/>
      <c r="Q92" s="209"/>
      <c r="R92" s="209"/>
      <c r="S92" s="209"/>
      <c r="T92" s="215"/>
      <c r="U92" s="90"/>
      <c r="V92" s="174"/>
      <c r="W92" s="90"/>
      <c r="X92" s="174"/>
      <c r="Y92" s="174"/>
      <c r="Z92" s="174"/>
      <c r="AA92" s="174"/>
      <c r="AB92" s="90"/>
      <c r="AC92" s="90"/>
      <c r="AD92" s="90"/>
      <c r="AE92" s="90"/>
      <c r="AF92" s="90"/>
      <c r="AG92" s="90"/>
      <c r="AH92" s="90"/>
      <c r="AI92" s="90"/>
      <c r="AJ92" s="90"/>
    </row>
    <row r="93" ht="15.75" hidden="1" customHeight="1">
      <c r="A93" s="62">
        <f t="shared" si="1"/>
        <v>9</v>
      </c>
      <c r="B93" s="208" t="s">
        <v>235</v>
      </c>
      <c r="C93" s="209" t="s">
        <v>452</v>
      </c>
      <c r="D93" s="222" t="s">
        <v>419</v>
      </c>
      <c r="E93" s="208">
        <v>18.0</v>
      </c>
      <c r="F93" s="211" t="s">
        <v>28</v>
      </c>
      <c r="G93" s="66" t="s">
        <v>28</v>
      </c>
      <c r="H93" s="66" t="s">
        <v>208</v>
      </c>
      <c r="I93" s="66" t="s">
        <v>165</v>
      </c>
      <c r="J93" s="205" t="s">
        <v>98</v>
      </c>
      <c r="K93" s="196"/>
      <c r="L93" s="196" t="s">
        <v>170</v>
      </c>
      <c r="M93" s="196">
        <v>2.1E7</v>
      </c>
      <c r="N93" s="221" t="s">
        <v>269</v>
      </c>
      <c r="O93" s="209" t="s">
        <v>173</v>
      </c>
      <c r="P93" s="209"/>
      <c r="Q93" s="209"/>
      <c r="R93" s="209"/>
      <c r="S93" s="209"/>
      <c r="T93" s="218" t="s">
        <v>221</v>
      </c>
      <c r="U93" s="90"/>
      <c r="V93" s="174"/>
      <c r="W93" s="90"/>
      <c r="X93" s="174"/>
      <c r="Y93" s="174"/>
      <c r="Z93" s="174"/>
      <c r="AA93" s="174"/>
      <c r="AB93" s="90"/>
      <c r="AC93" s="90"/>
      <c r="AD93" s="90"/>
      <c r="AE93" s="90"/>
      <c r="AF93" s="90"/>
      <c r="AG93" s="90"/>
      <c r="AH93" s="90"/>
      <c r="AI93" s="90"/>
      <c r="AJ93" s="90"/>
    </row>
    <row r="94" ht="15.75" hidden="1" customHeight="1">
      <c r="A94" s="62">
        <f t="shared" si="1"/>
        <v>9</v>
      </c>
      <c r="B94" s="208" t="s">
        <v>242</v>
      </c>
      <c r="C94" s="209" t="s">
        <v>453</v>
      </c>
      <c r="D94" s="222" t="s">
        <v>116</v>
      </c>
      <c r="E94" s="208">
        <v>15.0</v>
      </c>
      <c r="F94" s="211" t="s">
        <v>34</v>
      </c>
      <c r="G94" s="115" t="s">
        <v>34</v>
      </c>
      <c r="H94" s="91" t="s">
        <v>12</v>
      </c>
      <c r="I94" s="66" t="s">
        <v>165</v>
      </c>
      <c r="J94" s="205" t="s">
        <v>98</v>
      </c>
      <c r="K94" s="213"/>
      <c r="L94" s="213" t="s">
        <v>170</v>
      </c>
      <c r="M94" s="214">
        <v>5.0E7</v>
      </c>
      <c r="N94" s="183" t="s">
        <v>170</v>
      </c>
      <c r="O94" s="209" t="s">
        <v>173</v>
      </c>
      <c r="P94" s="209"/>
      <c r="Q94" s="209"/>
      <c r="R94" s="209"/>
      <c r="S94" s="209"/>
      <c r="T94" s="215"/>
      <c r="U94" s="90"/>
      <c r="V94" s="174"/>
      <c r="W94" s="90"/>
      <c r="X94" s="174"/>
      <c r="Y94" s="174"/>
      <c r="Z94" s="174"/>
      <c r="AA94" s="174"/>
      <c r="AB94" s="90"/>
      <c r="AC94" s="90"/>
      <c r="AD94" s="90"/>
      <c r="AE94" s="90"/>
      <c r="AF94" s="90"/>
      <c r="AG94" s="90"/>
      <c r="AH94" s="90"/>
      <c r="AI94" s="90"/>
      <c r="AJ94" s="90"/>
    </row>
    <row r="95" ht="15.75" hidden="1" customHeight="1">
      <c r="A95" s="62">
        <f t="shared" si="1"/>
        <v>9</v>
      </c>
      <c r="B95" s="208" t="s">
        <v>244</v>
      </c>
      <c r="C95" s="209" t="s">
        <v>454</v>
      </c>
      <c r="D95" s="210" t="s">
        <v>317</v>
      </c>
      <c r="E95" s="208">
        <v>10.0</v>
      </c>
      <c r="F95" s="76" t="s">
        <v>162</v>
      </c>
      <c r="G95" s="115" t="s">
        <v>162</v>
      </c>
      <c r="H95" s="66" t="s">
        <v>12</v>
      </c>
      <c r="I95" s="66" t="s">
        <v>165</v>
      </c>
      <c r="J95" s="212" t="s">
        <v>105</v>
      </c>
      <c r="K95" s="213"/>
      <c r="L95" s="213" t="s">
        <v>297</v>
      </c>
      <c r="M95" s="214">
        <v>3.2E7</v>
      </c>
      <c r="N95" s="209"/>
      <c r="O95" s="209" t="s">
        <v>173</v>
      </c>
      <c r="P95" s="209"/>
      <c r="Q95" s="209"/>
      <c r="R95" s="209"/>
      <c r="S95" s="209"/>
      <c r="T95" s="215"/>
      <c r="U95" s="90"/>
      <c r="V95" s="174"/>
      <c r="W95" s="90"/>
      <c r="X95" s="174"/>
      <c r="Y95" s="174"/>
      <c r="Z95" s="174"/>
      <c r="AA95" s="174"/>
      <c r="AB95" s="90"/>
      <c r="AC95" s="90"/>
      <c r="AD95" s="90"/>
      <c r="AE95" s="90"/>
      <c r="AF95" s="90"/>
      <c r="AG95" s="90"/>
      <c r="AH95" s="90"/>
      <c r="AI95" s="90"/>
      <c r="AJ95" s="90"/>
    </row>
    <row r="96" ht="15.75" hidden="1" customHeight="1">
      <c r="A96" s="62">
        <f t="shared" si="1"/>
        <v>9</v>
      </c>
      <c r="B96" s="208" t="s">
        <v>455</v>
      </c>
      <c r="C96" s="209" t="s">
        <v>456</v>
      </c>
      <c r="D96" s="118" t="s">
        <v>307</v>
      </c>
      <c r="E96" s="219">
        <v>5.0</v>
      </c>
      <c r="F96" s="123" t="s">
        <v>43</v>
      </c>
      <c r="G96" s="115" t="s">
        <v>43</v>
      </c>
      <c r="H96" s="66" t="s">
        <v>104</v>
      </c>
      <c r="I96" s="66" t="s">
        <v>165</v>
      </c>
      <c r="J96" s="205" t="s">
        <v>98</v>
      </c>
      <c r="K96" s="213"/>
      <c r="L96" s="213" t="s">
        <v>297</v>
      </c>
      <c r="M96" s="223">
        <v>1.6E7</v>
      </c>
      <c r="N96" s="209"/>
      <c r="O96" s="209" t="s">
        <v>173</v>
      </c>
      <c r="P96" s="209"/>
      <c r="Q96" s="209"/>
      <c r="R96" s="209"/>
      <c r="S96" s="209"/>
      <c r="T96" s="215"/>
      <c r="U96" s="90"/>
      <c r="V96" s="174"/>
      <c r="W96" s="90"/>
      <c r="X96" s="174"/>
      <c r="Y96" s="174"/>
      <c r="Z96" s="174"/>
      <c r="AA96" s="174"/>
      <c r="AB96" s="90"/>
      <c r="AC96" s="90"/>
      <c r="AD96" s="90"/>
      <c r="AE96" s="90"/>
      <c r="AF96" s="90"/>
      <c r="AG96" s="90"/>
      <c r="AH96" s="90"/>
      <c r="AI96" s="90"/>
      <c r="AJ96" s="90"/>
    </row>
    <row r="97" ht="15.75" hidden="1" customHeight="1">
      <c r="A97" s="62">
        <f t="shared" si="1"/>
        <v>9</v>
      </c>
      <c r="B97" s="208" t="s">
        <v>457</v>
      </c>
      <c r="C97" s="209" t="s">
        <v>456</v>
      </c>
      <c r="D97" s="118" t="s">
        <v>307</v>
      </c>
      <c r="E97" s="219">
        <v>4.0</v>
      </c>
      <c r="F97" s="123" t="s">
        <v>43</v>
      </c>
      <c r="G97" s="115" t="s">
        <v>43</v>
      </c>
      <c r="H97" s="66" t="s">
        <v>104</v>
      </c>
      <c r="I97" s="66" t="s">
        <v>165</v>
      </c>
      <c r="J97" s="205" t="s">
        <v>98</v>
      </c>
      <c r="K97" s="213"/>
      <c r="L97" s="213" t="s">
        <v>297</v>
      </c>
      <c r="M97" s="163"/>
      <c r="N97" s="209"/>
      <c r="O97" s="209" t="s">
        <v>173</v>
      </c>
      <c r="P97" s="209"/>
      <c r="Q97" s="209"/>
      <c r="R97" s="209"/>
      <c r="S97" s="209"/>
      <c r="T97" s="215"/>
      <c r="U97" s="90"/>
      <c r="V97" s="174"/>
      <c r="W97" s="90"/>
      <c r="X97" s="174"/>
      <c r="Y97" s="174"/>
      <c r="Z97" s="174"/>
      <c r="AA97" s="174"/>
      <c r="AB97" s="90"/>
      <c r="AC97" s="90"/>
      <c r="AD97" s="90"/>
      <c r="AE97" s="90"/>
      <c r="AF97" s="90"/>
      <c r="AG97" s="90"/>
      <c r="AH97" s="90"/>
      <c r="AI97" s="90"/>
      <c r="AJ97" s="90"/>
    </row>
    <row r="98" ht="15.75" hidden="1" customHeight="1">
      <c r="A98" s="62">
        <f t="shared" si="1"/>
        <v>9</v>
      </c>
      <c r="B98" s="208" t="s">
        <v>254</v>
      </c>
      <c r="C98" s="209" t="s">
        <v>458</v>
      </c>
      <c r="D98" s="118" t="s">
        <v>307</v>
      </c>
      <c r="E98" s="208">
        <v>10.0</v>
      </c>
      <c r="F98" s="211" t="s">
        <v>55</v>
      </c>
      <c r="G98" s="115" t="s">
        <v>55</v>
      </c>
      <c r="H98" s="66" t="s">
        <v>104</v>
      </c>
      <c r="I98" s="66" t="s">
        <v>165</v>
      </c>
      <c r="J98" s="205" t="s">
        <v>98</v>
      </c>
      <c r="K98" s="213"/>
      <c r="L98" s="213" t="s">
        <v>211</v>
      </c>
      <c r="M98" s="214">
        <v>4.1E7</v>
      </c>
      <c r="N98" s="209"/>
      <c r="O98" s="209" t="s">
        <v>312</v>
      </c>
      <c r="P98" s="209">
        <v>3.0</v>
      </c>
      <c r="Q98" s="209"/>
      <c r="R98" s="209"/>
      <c r="S98" s="209"/>
      <c r="T98" s="215"/>
      <c r="U98" s="90"/>
      <c r="V98" s="174"/>
      <c r="W98" s="90"/>
      <c r="X98" s="174"/>
      <c r="Y98" s="174"/>
      <c r="Z98" s="174"/>
      <c r="AA98" s="174"/>
      <c r="AB98" s="90"/>
      <c r="AC98" s="90"/>
      <c r="AD98" s="90"/>
      <c r="AE98" s="90"/>
      <c r="AF98" s="90"/>
      <c r="AG98" s="90"/>
      <c r="AH98" s="90"/>
      <c r="AI98" s="90"/>
      <c r="AJ98" s="90"/>
    </row>
    <row r="99" ht="15.75" hidden="1" customHeight="1">
      <c r="A99" s="62">
        <f t="shared" si="1"/>
        <v>9</v>
      </c>
      <c r="B99" s="208" t="s">
        <v>260</v>
      </c>
      <c r="C99" s="209" t="s">
        <v>459</v>
      </c>
      <c r="D99" s="210" t="s">
        <v>89</v>
      </c>
      <c r="E99" s="208">
        <v>27.0</v>
      </c>
      <c r="F99" s="211" t="s">
        <v>28</v>
      </c>
      <c r="G99" s="91" t="s">
        <v>28</v>
      </c>
      <c r="H99" s="66" t="s">
        <v>208</v>
      </c>
      <c r="I99" s="66" t="s">
        <v>165</v>
      </c>
      <c r="J99" s="205" t="s">
        <v>105</v>
      </c>
      <c r="K99" s="213"/>
      <c r="L99" s="213" t="s">
        <v>211</v>
      </c>
      <c r="M99" s="214">
        <v>9.5E7</v>
      </c>
      <c r="N99" s="92" t="s">
        <v>311</v>
      </c>
      <c r="O99" s="209" t="s">
        <v>312</v>
      </c>
      <c r="P99" s="209"/>
      <c r="Q99" s="209"/>
      <c r="R99" s="209"/>
      <c r="S99" s="209"/>
      <c r="T99" s="218" t="s">
        <v>221</v>
      </c>
      <c r="U99" s="90"/>
      <c r="V99" s="174"/>
      <c r="W99" s="90"/>
      <c r="X99" s="174"/>
      <c r="Y99" s="174"/>
      <c r="Z99" s="174"/>
      <c r="AA99" s="174"/>
      <c r="AB99" s="90"/>
      <c r="AC99" s="90"/>
      <c r="AD99" s="90"/>
      <c r="AE99" s="90"/>
      <c r="AF99" s="90"/>
      <c r="AG99" s="90"/>
      <c r="AH99" s="90"/>
      <c r="AI99" s="90"/>
      <c r="AJ99" s="90"/>
    </row>
    <row r="100" ht="15.75" customHeight="1">
      <c r="A100" s="62">
        <f t="shared" si="1"/>
        <v>10</v>
      </c>
      <c r="B100" s="224" t="s">
        <v>264</v>
      </c>
      <c r="C100" s="102" t="s">
        <v>460</v>
      </c>
      <c r="D100" s="225" t="s">
        <v>302</v>
      </c>
      <c r="E100" s="226">
        <v>15.0</v>
      </c>
      <c r="F100" s="195" t="s">
        <v>21</v>
      </c>
      <c r="G100" s="220" t="s">
        <v>21</v>
      </c>
      <c r="H100" s="91" t="s">
        <v>208</v>
      </c>
      <c r="I100" s="66" t="s">
        <v>165</v>
      </c>
      <c r="J100" s="227" t="s">
        <v>111</v>
      </c>
      <c r="K100" s="228"/>
      <c r="L100" s="228" t="s">
        <v>211</v>
      </c>
      <c r="M100" s="229">
        <v>4.8E7</v>
      </c>
      <c r="N100" s="102"/>
      <c r="O100" s="102" t="s">
        <v>312</v>
      </c>
      <c r="P100" s="102"/>
      <c r="Q100" s="102"/>
      <c r="R100" s="102"/>
      <c r="S100" s="102"/>
      <c r="T100" s="230" t="s">
        <v>221</v>
      </c>
      <c r="U100" s="57"/>
      <c r="V100" s="231"/>
      <c r="W100" s="57"/>
      <c r="X100" s="231"/>
      <c r="Y100" s="231"/>
      <c r="Z100" s="231"/>
      <c r="AA100" s="231"/>
      <c r="AB100" s="57"/>
      <c r="AC100" s="57"/>
      <c r="AD100" s="57"/>
      <c r="AE100" s="57"/>
      <c r="AF100" s="57"/>
      <c r="AG100" s="57"/>
      <c r="AH100" s="57"/>
      <c r="AI100" s="57"/>
      <c r="AJ100" s="57"/>
    </row>
    <row r="101" ht="15.75" hidden="1" customHeight="1">
      <c r="A101" s="62">
        <f t="shared" si="1"/>
        <v>10</v>
      </c>
      <c r="B101" s="224" t="s">
        <v>267</v>
      </c>
      <c r="C101" s="102" t="s">
        <v>461</v>
      </c>
      <c r="D101" s="118" t="s">
        <v>307</v>
      </c>
      <c r="E101" s="102">
        <v>5.0</v>
      </c>
      <c r="F101" s="232" t="s">
        <v>55</v>
      </c>
      <c r="G101" s="225" t="s">
        <v>55</v>
      </c>
      <c r="H101" s="66" t="s">
        <v>104</v>
      </c>
      <c r="I101" s="66" t="s">
        <v>165</v>
      </c>
      <c r="J101" s="227" t="s">
        <v>111</v>
      </c>
      <c r="K101" s="233"/>
      <c r="L101" s="233" t="s">
        <v>311</v>
      </c>
      <c r="M101" s="229">
        <v>1.7E7</v>
      </c>
      <c r="N101" s="102"/>
      <c r="O101" s="102" t="s">
        <v>312</v>
      </c>
      <c r="P101" s="102"/>
      <c r="Q101" s="102"/>
      <c r="R101" s="102"/>
      <c r="S101" s="102"/>
      <c r="T101" s="234"/>
      <c r="U101" s="57"/>
      <c r="V101" s="231"/>
      <c r="W101" s="57"/>
      <c r="X101" s="231"/>
      <c r="Y101" s="231"/>
      <c r="Z101" s="231"/>
      <c r="AA101" s="231"/>
      <c r="AB101" s="57"/>
      <c r="AC101" s="57"/>
      <c r="AD101" s="57"/>
      <c r="AE101" s="57"/>
      <c r="AF101" s="57"/>
      <c r="AG101" s="57"/>
      <c r="AH101" s="57"/>
      <c r="AI101" s="57"/>
      <c r="AJ101" s="57"/>
    </row>
    <row r="102" ht="15.75" hidden="1" customHeight="1">
      <c r="A102" s="62">
        <f t="shared" si="1"/>
        <v>10</v>
      </c>
      <c r="B102" s="224" t="s">
        <v>271</v>
      </c>
      <c r="C102" s="224" t="s">
        <v>462</v>
      </c>
      <c r="D102" s="235" t="s">
        <v>302</v>
      </c>
      <c r="E102" s="224">
        <v>17.0</v>
      </c>
      <c r="F102" s="236" t="s">
        <v>16</v>
      </c>
      <c r="G102" s="237" t="s">
        <v>16</v>
      </c>
      <c r="H102" s="225" t="s">
        <v>208</v>
      </c>
      <c r="I102" s="225" t="s">
        <v>303</v>
      </c>
      <c r="J102" s="227" t="s">
        <v>111</v>
      </c>
      <c r="K102" s="233"/>
      <c r="L102" s="233" t="s">
        <v>211</v>
      </c>
      <c r="M102" s="229">
        <v>6.2E7</v>
      </c>
      <c r="N102" s="92" t="s">
        <v>311</v>
      </c>
      <c r="O102" s="102" t="s">
        <v>312</v>
      </c>
      <c r="P102" s="102"/>
      <c r="Q102" s="102"/>
      <c r="R102" s="102"/>
      <c r="S102" s="102"/>
      <c r="T102" s="230" t="s">
        <v>221</v>
      </c>
      <c r="U102" s="57"/>
      <c r="V102" s="231"/>
      <c r="W102" s="57"/>
      <c r="X102" s="231"/>
      <c r="Y102" s="231"/>
      <c r="Z102" s="231"/>
      <c r="AA102" s="231"/>
      <c r="AB102" s="57"/>
      <c r="AC102" s="57"/>
      <c r="AD102" s="57"/>
      <c r="AE102" s="57"/>
      <c r="AF102" s="57"/>
      <c r="AG102" s="57"/>
      <c r="AH102" s="57"/>
      <c r="AI102" s="57"/>
      <c r="AJ102" s="57"/>
    </row>
    <row r="103" ht="15.75" customHeight="1">
      <c r="A103" s="62">
        <f t="shared" si="1"/>
        <v>11</v>
      </c>
      <c r="B103" s="224" t="s">
        <v>274</v>
      </c>
      <c r="C103" s="102" t="s">
        <v>275</v>
      </c>
      <c r="D103" s="225" t="s">
        <v>302</v>
      </c>
      <c r="E103" s="102">
        <v>17.0</v>
      </c>
      <c r="F103" s="232" t="s">
        <v>21</v>
      </c>
      <c r="G103" s="225" t="s">
        <v>21</v>
      </c>
      <c r="H103" s="225" t="s">
        <v>208</v>
      </c>
      <c r="I103" s="225" t="s">
        <v>345</v>
      </c>
      <c r="J103" s="227" t="s">
        <v>111</v>
      </c>
      <c r="K103" s="233"/>
      <c r="L103" s="233" t="s">
        <v>211</v>
      </c>
      <c r="M103" s="229">
        <v>5.85E7</v>
      </c>
      <c r="N103" s="92" t="s">
        <v>311</v>
      </c>
      <c r="O103" s="102" t="s">
        <v>312</v>
      </c>
      <c r="P103" s="102"/>
      <c r="Q103" s="102"/>
      <c r="R103" s="102"/>
      <c r="S103" s="102"/>
      <c r="T103" s="230" t="s">
        <v>221</v>
      </c>
      <c r="U103" s="57"/>
      <c r="V103" s="231"/>
      <c r="W103" s="57"/>
      <c r="X103" s="231"/>
      <c r="Y103" s="231"/>
      <c r="Z103" s="231"/>
      <c r="AA103" s="231"/>
      <c r="AB103" s="57"/>
      <c r="AC103" s="57"/>
      <c r="AD103" s="57"/>
      <c r="AE103" s="57"/>
      <c r="AF103" s="57"/>
      <c r="AG103" s="57"/>
      <c r="AH103" s="57"/>
      <c r="AI103" s="57"/>
      <c r="AJ103" s="57"/>
    </row>
    <row r="104" ht="15.75" hidden="1" customHeight="1">
      <c r="A104" s="62">
        <f t="shared" si="1"/>
        <v>11</v>
      </c>
      <c r="B104" s="224" t="s">
        <v>279</v>
      </c>
      <c r="C104" s="102" t="s">
        <v>463</v>
      </c>
      <c r="D104" s="220" t="s">
        <v>129</v>
      </c>
      <c r="E104" s="102">
        <v>23.0</v>
      </c>
      <c r="F104" s="232" t="s">
        <v>43</v>
      </c>
      <c r="G104" s="225" t="s">
        <v>43</v>
      </c>
      <c r="H104" s="225" t="s">
        <v>104</v>
      </c>
      <c r="I104" s="225" t="s">
        <v>165</v>
      </c>
      <c r="J104" s="227" t="s">
        <v>111</v>
      </c>
      <c r="K104" s="233"/>
      <c r="L104" s="233" t="s">
        <v>211</v>
      </c>
      <c r="M104" s="229">
        <v>1.3E8</v>
      </c>
      <c r="N104" s="102"/>
      <c r="O104" s="102" t="s">
        <v>348</v>
      </c>
      <c r="P104" s="102"/>
      <c r="Q104" s="102"/>
      <c r="R104" s="102"/>
      <c r="S104" s="102"/>
      <c r="T104" s="234"/>
      <c r="U104" s="57"/>
      <c r="V104" s="231"/>
      <c r="W104" s="57"/>
      <c r="X104" s="231"/>
      <c r="Y104" s="231"/>
      <c r="Z104" s="231"/>
      <c r="AA104" s="231"/>
      <c r="AB104" s="57"/>
      <c r="AC104" s="57"/>
      <c r="AD104" s="57"/>
      <c r="AE104" s="57"/>
      <c r="AF104" s="57"/>
      <c r="AG104" s="57"/>
      <c r="AH104" s="57"/>
      <c r="AI104" s="57"/>
      <c r="AJ104" s="57"/>
    </row>
    <row r="105" ht="15.75" hidden="1" customHeight="1">
      <c r="A105" s="62">
        <f t="shared" si="1"/>
        <v>11</v>
      </c>
      <c r="B105" s="224" t="s">
        <v>281</v>
      </c>
      <c r="C105" s="224" t="s">
        <v>464</v>
      </c>
      <c r="D105" s="235" t="s">
        <v>302</v>
      </c>
      <c r="E105" s="224">
        <v>26.0</v>
      </c>
      <c r="F105" s="238" t="s">
        <v>209</v>
      </c>
      <c r="G105" s="237" t="s">
        <v>209</v>
      </c>
      <c r="H105" s="235" t="s">
        <v>208</v>
      </c>
      <c r="I105" s="225" t="s">
        <v>345</v>
      </c>
      <c r="J105" s="227" t="s">
        <v>111</v>
      </c>
      <c r="K105" s="233"/>
      <c r="L105" s="233" t="s">
        <v>211</v>
      </c>
      <c r="M105" s="229">
        <v>8.6E7</v>
      </c>
      <c r="N105" s="92" t="s">
        <v>311</v>
      </c>
      <c r="O105" s="102" t="s">
        <v>312</v>
      </c>
      <c r="P105" s="102"/>
      <c r="Q105" s="102"/>
      <c r="R105" s="102"/>
      <c r="S105" s="102"/>
      <c r="T105" s="230" t="s">
        <v>221</v>
      </c>
      <c r="U105" s="57"/>
      <c r="V105" s="231"/>
      <c r="W105" s="57"/>
      <c r="X105" s="231"/>
      <c r="Y105" s="231"/>
      <c r="Z105" s="231"/>
      <c r="AA105" s="231"/>
      <c r="AB105" s="57"/>
      <c r="AC105" s="57"/>
      <c r="AD105" s="57"/>
      <c r="AE105" s="57"/>
      <c r="AF105" s="57"/>
      <c r="AG105" s="57"/>
      <c r="AH105" s="57"/>
      <c r="AI105" s="57"/>
      <c r="AJ105" s="57"/>
    </row>
    <row r="106" ht="15.75" hidden="1" customHeight="1">
      <c r="A106" s="62">
        <f t="shared" si="1"/>
        <v>11</v>
      </c>
      <c r="B106" s="224" t="s">
        <v>283</v>
      </c>
      <c r="C106" s="102" t="s">
        <v>465</v>
      </c>
      <c r="D106" s="222" t="s">
        <v>129</v>
      </c>
      <c r="E106" s="102">
        <v>13.0</v>
      </c>
      <c r="F106" s="232" t="s">
        <v>162</v>
      </c>
      <c r="G106" s="225" t="s">
        <v>162</v>
      </c>
      <c r="H106" s="225" t="s">
        <v>12</v>
      </c>
      <c r="I106" s="225" t="s">
        <v>354</v>
      </c>
      <c r="J106" s="227" t="s">
        <v>111</v>
      </c>
      <c r="K106" s="233"/>
      <c r="L106" s="233" t="s">
        <v>211</v>
      </c>
      <c r="M106" s="229">
        <v>5.0E7</v>
      </c>
      <c r="N106" s="102"/>
      <c r="O106" s="102" t="s">
        <v>312</v>
      </c>
      <c r="P106" s="102"/>
      <c r="Q106" s="102"/>
      <c r="R106" s="102"/>
      <c r="S106" s="102"/>
      <c r="T106" s="234"/>
      <c r="U106" s="57"/>
      <c r="V106" s="231"/>
      <c r="W106" s="57"/>
      <c r="X106" s="231"/>
      <c r="Y106" s="231"/>
      <c r="Z106" s="231"/>
      <c r="AA106" s="231"/>
      <c r="AB106" s="57"/>
      <c r="AC106" s="57"/>
      <c r="AD106" s="57"/>
      <c r="AE106" s="57"/>
      <c r="AF106" s="57"/>
      <c r="AG106" s="57"/>
      <c r="AH106" s="57"/>
      <c r="AI106" s="57"/>
      <c r="AJ106" s="57"/>
    </row>
    <row r="107" ht="15.75" hidden="1" customHeight="1">
      <c r="A107" s="62">
        <f t="shared" si="1"/>
        <v>11</v>
      </c>
      <c r="B107" s="224" t="s">
        <v>286</v>
      </c>
      <c r="C107" s="102" t="s">
        <v>287</v>
      </c>
      <c r="D107" s="220" t="s">
        <v>116</v>
      </c>
      <c r="E107" s="102">
        <v>20.0</v>
      </c>
      <c r="F107" s="232" t="s">
        <v>162</v>
      </c>
      <c r="G107" s="225" t="s">
        <v>162</v>
      </c>
      <c r="H107" s="225" t="s">
        <v>12</v>
      </c>
      <c r="I107" s="225" t="s">
        <v>354</v>
      </c>
      <c r="J107" s="227" t="s">
        <v>98</v>
      </c>
      <c r="K107" s="233"/>
      <c r="L107" s="233" t="s">
        <v>297</v>
      </c>
      <c r="M107" s="229">
        <v>5.6E7</v>
      </c>
      <c r="N107" s="102"/>
      <c r="O107" s="102" t="s">
        <v>173</v>
      </c>
      <c r="P107" s="102"/>
      <c r="Q107" s="102"/>
      <c r="R107" s="102"/>
      <c r="S107" s="102"/>
      <c r="T107" s="234"/>
      <c r="U107" s="57"/>
      <c r="V107" s="231"/>
      <c r="W107" s="57"/>
      <c r="X107" s="231"/>
      <c r="Y107" s="231"/>
      <c r="Z107" s="231"/>
      <c r="AA107" s="231"/>
      <c r="AB107" s="57"/>
      <c r="AC107" s="57"/>
      <c r="AD107" s="57"/>
      <c r="AE107" s="57"/>
      <c r="AF107" s="57"/>
      <c r="AG107" s="57"/>
      <c r="AH107" s="57"/>
      <c r="AI107" s="57"/>
      <c r="AJ107" s="57"/>
    </row>
    <row r="108" ht="15.75" hidden="1" customHeight="1">
      <c r="A108" s="62">
        <f t="shared" si="1"/>
        <v>11</v>
      </c>
      <c r="B108" s="224" t="s">
        <v>288</v>
      </c>
      <c r="C108" s="102" t="s">
        <v>289</v>
      </c>
      <c r="D108" s="220" t="s">
        <v>129</v>
      </c>
      <c r="E108" s="102">
        <v>10.0</v>
      </c>
      <c r="F108" s="232" t="s">
        <v>111</v>
      </c>
      <c r="G108" s="225" t="s">
        <v>111</v>
      </c>
      <c r="H108" s="225" t="s">
        <v>12</v>
      </c>
      <c r="I108" s="225" t="s">
        <v>165</v>
      </c>
      <c r="J108" s="227" t="s">
        <v>111</v>
      </c>
      <c r="K108" s="233"/>
      <c r="L108" s="233" t="s">
        <v>297</v>
      </c>
      <c r="M108" s="229">
        <v>2.2E7</v>
      </c>
      <c r="N108" s="102"/>
      <c r="O108" s="102" t="s">
        <v>312</v>
      </c>
      <c r="P108" s="102"/>
      <c r="Q108" s="102"/>
      <c r="R108" s="102"/>
      <c r="S108" s="102"/>
      <c r="T108" s="234"/>
      <c r="U108" s="57"/>
      <c r="V108" s="231"/>
      <c r="W108" s="57"/>
      <c r="X108" s="231"/>
      <c r="Y108" s="231"/>
      <c r="Z108" s="231"/>
      <c r="AA108" s="231"/>
      <c r="AB108" s="57"/>
      <c r="AC108" s="57"/>
      <c r="AD108" s="57"/>
      <c r="AE108" s="57"/>
      <c r="AF108" s="57"/>
      <c r="AG108" s="57"/>
      <c r="AH108" s="57"/>
      <c r="AI108" s="57"/>
      <c r="AJ108" s="57"/>
    </row>
    <row r="109" ht="15.75" hidden="1" customHeight="1">
      <c r="A109" s="62">
        <f t="shared" si="1"/>
        <v>11</v>
      </c>
      <c r="B109" s="224" t="s">
        <v>290</v>
      </c>
      <c r="C109" s="102" t="s">
        <v>291</v>
      </c>
      <c r="D109" s="225" t="s">
        <v>302</v>
      </c>
      <c r="E109" s="102">
        <v>9.0</v>
      </c>
      <c r="F109" s="232" t="s">
        <v>111</v>
      </c>
      <c r="G109" s="225" t="s">
        <v>111</v>
      </c>
      <c r="H109" s="225" t="s">
        <v>12</v>
      </c>
      <c r="I109" s="225"/>
      <c r="J109" s="227" t="s">
        <v>105</v>
      </c>
      <c r="K109" s="233" t="s">
        <v>12</v>
      </c>
      <c r="L109" s="233"/>
      <c r="M109" s="229">
        <v>2.4E7</v>
      </c>
      <c r="N109" s="102"/>
      <c r="O109" s="102"/>
      <c r="P109" s="102"/>
      <c r="Q109" s="102"/>
      <c r="R109" s="102"/>
      <c r="S109" s="102"/>
      <c r="T109" s="234"/>
      <c r="U109" s="57"/>
      <c r="V109" s="231"/>
      <c r="W109" s="57"/>
      <c r="X109" s="231"/>
      <c r="Y109" s="231"/>
      <c r="Z109" s="231"/>
      <c r="AA109" s="231"/>
      <c r="AB109" s="57"/>
      <c r="AC109" s="57"/>
      <c r="AD109" s="57"/>
      <c r="AE109" s="57"/>
      <c r="AF109" s="57"/>
      <c r="AG109" s="57"/>
      <c r="AH109" s="57"/>
      <c r="AI109" s="57"/>
      <c r="AJ109" s="57"/>
    </row>
    <row r="110" ht="15.75" hidden="1" customHeight="1">
      <c r="A110" s="62">
        <f t="shared" si="1"/>
        <v>11</v>
      </c>
      <c r="B110" s="224" t="s">
        <v>292</v>
      </c>
      <c r="C110" s="102" t="s">
        <v>293</v>
      </c>
      <c r="D110" s="225" t="s">
        <v>89</v>
      </c>
      <c r="E110" s="102">
        <v>9.0</v>
      </c>
      <c r="F110" s="232" t="s">
        <v>294</v>
      </c>
      <c r="G110" s="225" t="s">
        <v>294</v>
      </c>
      <c r="H110" s="225" t="s">
        <v>104</v>
      </c>
      <c r="I110" s="225"/>
      <c r="J110" s="227" t="s">
        <v>98</v>
      </c>
      <c r="K110" s="233" t="s">
        <v>466</v>
      </c>
      <c r="L110" s="233"/>
      <c r="M110" s="229">
        <v>2.8E7</v>
      </c>
      <c r="N110" s="102"/>
      <c r="O110" s="102"/>
      <c r="P110" s="102"/>
      <c r="Q110" s="102"/>
      <c r="R110" s="102"/>
      <c r="S110" s="102"/>
      <c r="T110" s="234"/>
      <c r="U110" s="57"/>
      <c r="V110" s="231"/>
      <c r="W110" s="57"/>
      <c r="X110" s="231"/>
      <c r="Y110" s="231"/>
      <c r="Z110" s="231"/>
      <c r="AA110" s="231"/>
      <c r="AB110" s="57"/>
      <c r="AC110" s="57"/>
      <c r="AD110" s="57"/>
      <c r="AE110" s="57"/>
      <c r="AF110" s="57"/>
      <c r="AG110" s="57"/>
      <c r="AH110" s="57"/>
      <c r="AI110" s="57"/>
      <c r="AJ110" s="57"/>
    </row>
    <row r="111" ht="15.75" hidden="1" customHeight="1">
      <c r="A111" s="62">
        <f t="shared" si="1"/>
        <v>11</v>
      </c>
      <c r="B111" s="224" t="s">
        <v>467</v>
      </c>
      <c r="C111" s="102" t="s">
        <v>468</v>
      </c>
      <c r="D111" s="118" t="s">
        <v>307</v>
      </c>
      <c r="E111" s="226">
        <v>9.0</v>
      </c>
      <c r="F111" s="239" t="s">
        <v>209</v>
      </c>
      <c r="G111" s="220" t="s">
        <v>209</v>
      </c>
      <c r="H111" s="225" t="s">
        <v>208</v>
      </c>
      <c r="I111" s="225"/>
      <c r="J111" s="227" t="s">
        <v>105</v>
      </c>
      <c r="K111" s="233" t="s">
        <v>466</v>
      </c>
      <c r="L111" s="233"/>
      <c r="M111" s="229">
        <v>4.5E7</v>
      </c>
      <c r="N111" s="209"/>
      <c r="O111" s="209"/>
      <c r="P111" s="90"/>
      <c r="Q111" s="90"/>
      <c r="R111" s="90"/>
      <c r="S111" s="90"/>
      <c r="T111" s="218" t="s">
        <v>221</v>
      </c>
      <c r="U111" s="90"/>
      <c r="V111" s="174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</row>
    <row r="112" ht="15.75" hidden="1" customHeight="1">
      <c r="A112" s="62">
        <f t="shared" si="1"/>
        <v>11</v>
      </c>
      <c r="B112" s="224" t="s">
        <v>469</v>
      </c>
      <c r="C112" s="102" t="s">
        <v>470</v>
      </c>
      <c r="D112" s="118" t="s">
        <v>307</v>
      </c>
      <c r="E112" s="240">
        <v>11.0</v>
      </c>
      <c r="F112" s="239" t="s">
        <v>354</v>
      </c>
      <c r="G112" s="220" t="s">
        <v>209</v>
      </c>
      <c r="H112" s="225" t="s">
        <v>208</v>
      </c>
      <c r="I112" s="225"/>
      <c r="J112" s="227" t="s">
        <v>105</v>
      </c>
      <c r="K112" s="233" t="s">
        <v>466</v>
      </c>
      <c r="L112" s="233"/>
      <c r="M112" s="229">
        <v>3.5E7</v>
      </c>
      <c r="N112" s="209"/>
      <c r="O112" s="209"/>
      <c r="P112" s="90"/>
      <c r="Q112" s="90"/>
      <c r="R112" s="90"/>
      <c r="S112" s="90"/>
      <c r="T112" s="215"/>
      <c r="U112" s="90"/>
      <c r="V112" s="174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</row>
    <row r="113" ht="15.75" hidden="1" customHeight="1">
      <c r="A113" s="62">
        <f t="shared" si="1"/>
        <v>11</v>
      </c>
      <c r="B113" s="224" t="s">
        <v>323</v>
      </c>
      <c r="C113" s="226" t="s">
        <v>471</v>
      </c>
      <c r="D113" s="220" t="s">
        <v>116</v>
      </c>
      <c r="E113" s="226">
        <v>14.0</v>
      </c>
      <c r="F113" s="239" t="s">
        <v>111</v>
      </c>
      <c r="G113" s="220" t="s">
        <v>111</v>
      </c>
      <c r="H113" s="220" t="s">
        <v>12</v>
      </c>
      <c r="I113" s="220" t="s">
        <v>354</v>
      </c>
      <c r="J113" s="241" t="s">
        <v>98</v>
      </c>
      <c r="K113" s="242" t="s">
        <v>12</v>
      </c>
      <c r="L113" s="233"/>
      <c r="M113" s="243">
        <v>4.8E7</v>
      </c>
      <c r="N113" s="209"/>
      <c r="O113" s="209"/>
      <c r="P113" s="90"/>
      <c r="Q113" s="90"/>
      <c r="R113" s="90"/>
      <c r="S113" s="90"/>
      <c r="T113" s="215"/>
      <c r="U113" s="90"/>
      <c r="V113" s="174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</row>
    <row r="114" ht="15.75" hidden="1" customHeight="1">
      <c r="A114" s="62">
        <f t="shared" si="1"/>
        <v>11</v>
      </c>
      <c r="B114" s="244" t="s">
        <v>324</v>
      </c>
      <c r="C114" s="226" t="s">
        <v>472</v>
      </c>
      <c r="D114" s="220" t="s">
        <v>419</v>
      </c>
      <c r="E114" s="226">
        <v>16.0</v>
      </c>
      <c r="F114" s="239" t="s">
        <v>34</v>
      </c>
      <c r="G114" s="220" t="s">
        <v>34</v>
      </c>
      <c r="H114" s="220" t="s">
        <v>12</v>
      </c>
      <c r="I114" s="220" t="s">
        <v>354</v>
      </c>
      <c r="J114" s="241" t="s">
        <v>98</v>
      </c>
      <c r="K114" s="242" t="s">
        <v>34</v>
      </c>
      <c r="L114" s="242" t="s">
        <v>211</v>
      </c>
      <c r="M114" s="243">
        <v>6.8E7</v>
      </c>
      <c r="N114" s="221" t="s">
        <v>311</v>
      </c>
      <c r="O114" s="221" t="s">
        <v>473</v>
      </c>
      <c r="P114" s="90"/>
      <c r="Q114" s="90"/>
      <c r="R114" s="90"/>
      <c r="S114" s="90"/>
      <c r="T114" s="215"/>
      <c r="U114" s="90"/>
      <c r="V114" s="174"/>
      <c r="W114" s="90"/>
      <c r="X114" s="174"/>
      <c r="Y114" s="174"/>
      <c r="Z114" s="174"/>
      <c r="AA114" s="174"/>
      <c r="AB114" s="90"/>
      <c r="AC114" s="90"/>
      <c r="AD114" s="90"/>
      <c r="AE114" s="90"/>
      <c r="AF114" s="90"/>
      <c r="AG114" s="90"/>
      <c r="AH114" s="90"/>
      <c r="AI114" s="90"/>
      <c r="AJ114" s="90"/>
    </row>
    <row r="115" ht="15.75" hidden="1" customHeight="1">
      <c r="A115" s="62">
        <f t="shared" si="1"/>
        <v>11</v>
      </c>
      <c r="B115" s="224" t="s">
        <v>325</v>
      </c>
      <c r="C115" s="245" t="s">
        <v>474</v>
      </c>
      <c r="D115" s="220" t="s">
        <v>356</v>
      </c>
      <c r="E115" s="226">
        <v>11.0</v>
      </c>
      <c r="F115" s="239" t="s">
        <v>162</v>
      </c>
      <c r="G115" s="220" t="s">
        <v>162</v>
      </c>
      <c r="H115" s="220" t="s">
        <v>12</v>
      </c>
      <c r="I115" s="220" t="s">
        <v>354</v>
      </c>
      <c r="J115" s="241" t="s">
        <v>475</v>
      </c>
      <c r="K115" s="242" t="s">
        <v>466</v>
      </c>
      <c r="L115" s="233"/>
      <c r="M115" s="243">
        <v>5.4E7</v>
      </c>
      <c r="N115" s="209"/>
      <c r="O115" s="209"/>
      <c r="P115" s="90"/>
      <c r="Q115" s="90"/>
      <c r="R115" s="90"/>
      <c r="S115" s="90"/>
      <c r="T115" s="215"/>
      <c r="U115" s="90"/>
      <c r="V115" s="174"/>
      <c r="W115" s="90"/>
      <c r="X115" s="174"/>
      <c r="Y115" s="174"/>
      <c r="Z115" s="174"/>
      <c r="AA115" s="174"/>
      <c r="AB115" s="90"/>
      <c r="AC115" s="90"/>
      <c r="AD115" s="90"/>
      <c r="AE115" s="90"/>
      <c r="AF115" s="90"/>
      <c r="AG115" s="90"/>
      <c r="AH115" s="90"/>
      <c r="AI115" s="90"/>
      <c r="AJ115" s="90"/>
    </row>
    <row r="116" ht="15.75" hidden="1" customHeight="1">
      <c r="A116" s="62">
        <f t="shared" si="1"/>
        <v>11</v>
      </c>
      <c r="B116" s="244" t="s">
        <v>326</v>
      </c>
      <c r="C116" s="246" t="s">
        <v>476</v>
      </c>
      <c r="D116" s="220" t="s">
        <v>307</v>
      </c>
      <c r="E116" s="226">
        <v>12.0</v>
      </c>
      <c r="F116" s="239" t="s">
        <v>209</v>
      </c>
      <c r="G116" s="220" t="s">
        <v>209</v>
      </c>
      <c r="H116" s="220" t="s">
        <v>208</v>
      </c>
      <c r="I116" s="225"/>
      <c r="J116" s="241" t="s">
        <v>98</v>
      </c>
      <c r="K116" s="242" t="s">
        <v>466</v>
      </c>
      <c r="L116" s="233"/>
      <c r="M116" s="243">
        <v>4.8E7</v>
      </c>
      <c r="N116" s="209"/>
      <c r="O116" s="209"/>
      <c r="P116" s="90"/>
      <c r="Q116" s="90"/>
      <c r="R116" s="90"/>
      <c r="S116" s="90"/>
      <c r="T116" s="218" t="s">
        <v>221</v>
      </c>
      <c r="U116" s="90"/>
      <c r="V116" s="174"/>
      <c r="W116" s="90"/>
      <c r="X116" s="174"/>
      <c r="Y116" s="174"/>
      <c r="Z116" s="174"/>
      <c r="AA116" s="174"/>
      <c r="AB116" s="90"/>
      <c r="AC116" s="90"/>
      <c r="AD116" s="90"/>
      <c r="AE116" s="90"/>
      <c r="AF116" s="90"/>
      <c r="AG116" s="90"/>
      <c r="AH116" s="90"/>
      <c r="AI116" s="90"/>
      <c r="AJ116" s="90"/>
    </row>
    <row r="117" ht="15.75" hidden="1" customHeight="1">
      <c r="A117" s="62">
        <f t="shared" si="1"/>
        <v>11</v>
      </c>
      <c r="B117" s="224" t="s">
        <v>329</v>
      </c>
      <c r="C117" s="246" t="s">
        <v>477</v>
      </c>
      <c r="D117" s="220" t="s">
        <v>89</v>
      </c>
      <c r="E117" s="226">
        <v>14.0</v>
      </c>
      <c r="F117" s="239" t="s">
        <v>294</v>
      </c>
      <c r="G117" s="220" t="s">
        <v>294</v>
      </c>
      <c r="H117" s="220" t="s">
        <v>104</v>
      </c>
      <c r="I117" s="225"/>
      <c r="J117" s="241" t="s">
        <v>105</v>
      </c>
      <c r="K117" s="242" t="s">
        <v>466</v>
      </c>
      <c r="L117" s="233"/>
      <c r="M117" s="243">
        <v>4.5E7</v>
      </c>
      <c r="N117" s="221" t="s">
        <v>311</v>
      </c>
      <c r="O117" s="209"/>
      <c r="P117" s="247"/>
      <c r="Q117" s="90"/>
      <c r="R117" s="90"/>
      <c r="S117" s="90"/>
      <c r="T117" s="215"/>
      <c r="U117" s="90"/>
      <c r="V117" s="174"/>
      <c r="W117" s="90"/>
      <c r="X117" s="174"/>
      <c r="Y117" s="174"/>
      <c r="Z117" s="174"/>
      <c r="AA117" s="174"/>
      <c r="AB117" s="90"/>
      <c r="AC117" s="90"/>
      <c r="AD117" s="90"/>
      <c r="AE117" s="90"/>
      <c r="AF117" s="90"/>
      <c r="AG117" s="90"/>
      <c r="AH117" s="90"/>
      <c r="AI117" s="90"/>
      <c r="AJ117" s="90"/>
    </row>
    <row r="118" ht="15.75" hidden="1" customHeight="1">
      <c r="A118" s="62">
        <f t="shared" si="1"/>
        <v>11</v>
      </c>
      <c r="B118" s="244" t="s">
        <v>330</v>
      </c>
      <c r="C118" s="226" t="s">
        <v>478</v>
      </c>
      <c r="D118" s="220" t="s">
        <v>307</v>
      </c>
      <c r="E118" s="226">
        <v>25.0</v>
      </c>
      <c r="F118" s="239" t="s">
        <v>111</v>
      </c>
      <c r="G118" s="220" t="s">
        <v>111</v>
      </c>
      <c r="H118" s="220" t="s">
        <v>12</v>
      </c>
      <c r="I118" s="225"/>
      <c r="J118" s="241" t="s">
        <v>105</v>
      </c>
      <c r="K118" s="242" t="s">
        <v>479</v>
      </c>
      <c r="L118" s="233"/>
      <c r="M118" s="243">
        <v>1.06E8</v>
      </c>
      <c r="N118" s="221" t="s">
        <v>311</v>
      </c>
      <c r="O118" s="209"/>
      <c r="P118" s="247"/>
      <c r="Q118" s="90"/>
      <c r="R118" s="90"/>
      <c r="S118" s="90"/>
      <c r="T118" s="215"/>
      <c r="U118" s="90"/>
      <c r="V118" s="174"/>
      <c r="W118" s="90"/>
      <c r="X118" s="174"/>
      <c r="Y118" s="174"/>
      <c r="Z118" s="174"/>
      <c r="AA118" s="174"/>
      <c r="AB118" s="90"/>
      <c r="AC118" s="90"/>
      <c r="AD118" s="90"/>
      <c r="AE118" s="90"/>
      <c r="AF118" s="90"/>
      <c r="AG118" s="90"/>
      <c r="AH118" s="90"/>
      <c r="AI118" s="90"/>
      <c r="AJ118" s="90"/>
    </row>
    <row r="119" ht="15.75" hidden="1" customHeight="1">
      <c r="A119" s="62">
        <f t="shared" si="1"/>
        <v>11</v>
      </c>
      <c r="B119" s="224" t="s">
        <v>480</v>
      </c>
      <c r="C119" s="102"/>
      <c r="D119" s="225" t="s">
        <v>354</v>
      </c>
      <c r="E119" s="102"/>
      <c r="F119" s="232"/>
      <c r="G119" s="225"/>
      <c r="H119" s="225"/>
      <c r="I119" s="225"/>
      <c r="J119" s="227"/>
      <c r="K119" s="233"/>
      <c r="L119" s="233"/>
      <c r="M119" s="229"/>
      <c r="N119" s="209"/>
      <c r="O119" s="209"/>
      <c r="P119" s="247"/>
      <c r="Q119" s="90"/>
      <c r="R119" s="90"/>
      <c r="S119" s="90"/>
      <c r="T119" s="215"/>
      <c r="U119" s="90"/>
      <c r="V119" s="174"/>
      <c r="W119" s="90"/>
      <c r="X119" s="174"/>
      <c r="Y119" s="174"/>
      <c r="Z119" s="174"/>
      <c r="AA119" s="174"/>
      <c r="AB119" s="90"/>
      <c r="AC119" s="90"/>
      <c r="AD119" s="90"/>
      <c r="AE119" s="90"/>
      <c r="AF119" s="90"/>
      <c r="AG119" s="90"/>
      <c r="AH119" s="90"/>
      <c r="AI119" s="90"/>
      <c r="AJ119" s="90"/>
    </row>
    <row r="120" ht="15.75" hidden="1" customHeight="1">
      <c r="A120" s="62">
        <f t="shared" si="1"/>
        <v>11</v>
      </c>
      <c r="B120" s="244" t="s">
        <v>481</v>
      </c>
      <c r="C120" s="102"/>
      <c r="D120" s="225" t="s">
        <v>354</v>
      </c>
      <c r="E120" s="102"/>
      <c r="F120" s="232"/>
      <c r="G120" s="225"/>
      <c r="H120" s="225"/>
      <c r="I120" s="225"/>
      <c r="J120" s="227"/>
      <c r="K120" s="233"/>
      <c r="L120" s="233"/>
      <c r="M120" s="229"/>
      <c r="N120" s="209"/>
      <c r="O120" s="209"/>
      <c r="P120" s="247"/>
      <c r="Q120" s="90"/>
      <c r="R120" s="90"/>
      <c r="S120" s="90"/>
      <c r="T120" s="215"/>
      <c r="U120" s="90"/>
      <c r="V120" s="174"/>
      <c r="W120" s="90"/>
      <c r="X120" s="174"/>
      <c r="Y120" s="174"/>
      <c r="Z120" s="174"/>
      <c r="AA120" s="174"/>
      <c r="AB120" s="90"/>
      <c r="AC120" s="90"/>
      <c r="AD120" s="90"/>
      <c r="AE120" s="90"/>
      <c r="AF120" s="90"/>
      <c r="AG120" s="90"/>
      <c r="AH120" s="90"/>
      <c r="AI120" s="90"/>
      <c r="AJ120" s="90"/>
    </row>
    <row r="121" ht="15.75" hidden="1" customHeight="1">
      <c r="A121" s="62">
        <f t="shared" si="1"/>
        <v>11</v>
      </c>
      <c r="B121" s="224" t="s">
        <v>482</v>
      </c>
      <c r="C121" s="102"/>
      <c r="D121" s="225" t="s">
        <v>354</v>
      </c>
      <c r="E121" s="102"/>
      <c r="F121" s="232"/>
      <c r="G121" s="225"/>
      <c r="H121" s="225"/>
      <c r="I121" s="225"/>
      <c r="J121" s="227"/>
      <c r="K121" s="233"/>
      <c r="L121" s="233"/>
      <c r="M121" s="229"/>
      <c r="N121" s="209"/>
      <c r="O121" s="209"/>
      <c r="P121" s="247"/>
      <c r="Q121" s="90"/>
      <c r="R121" s="90"/>
      <c r="S121" s="90"/>
      <c r="T121" s="215"/>
      <c r="U121" s="90"/>
      <c r="V121" s="174"/>
      <c r="W121" s="90"/>
      <c r="X121" s="174"/>
      <c r="Y121" s="174"/>
      <c r="Z121" s="174"/>
      <c r="AA121" s="174"/>
      <c r="AB121" s="90"/>
      <c r="AC121" s="90"/>
      <c r="AD121" s="90"/>
      <c r="AE121" s="90"/>
      <c r="AF121" s="90"/>
      <c r="AG121" s="90"/>
      <c r="AH121" s="90"/>
      <c r="AI121" s="90"/>
      <c r="AJ121" s="90"/>
    </row>
    <row r="122" ht="15.75" hidden="1" customHeight="1">
      <c r="A122" s="62">
        <f t="shared" si="1"/>
        <v>11</v>
      </c>
      <c r="B122" s="244" t="s">
        <v>483</v>
      </c>
      <c r="C122" s="102"/>
      <c r="D122" s="225" t="s">
        <v>354</v>
      </c>
      <c r="E122" s="102"/>
      <c r="F122" s="232"/>
      <c r="G122" s="225"/>
      <c r="H122" s="225"/>
      <c r="I122" s="225"/>
      <c r="J122" s="227"/>
      <c r="K122" s="233"/>
      <c r="L122" s="233"/>
      <c r="M122" s="229"/>
      <c r="N122" s="209"/>
      <c r="O122" s="209"/>
      <c r="P122" s="247"/>
      <c r="Q122" s="90"/>
      <c r="R122" s="90"/>
      <c r="S122" s="90"/>
      <c r="T122" s="215"/>
      <c r="U122" s="90"/>
      <c r="V122" s="174"/>
      <c r="W122" s="90"/>
      <c r="X122" s="174"/>
      <c r="Y122" s="174"/>
      <c r="Z122" s="174"/>
      <c r="AA122" s="174"/>
      <c r="AB122" s="90"/>
      <c r="AC122" s="90"/>
      <c r="AD122" s="90"/>
      <c r="AE122" s="90"/>
      <c r="AF122" s="90"/>
      <c r="AG122" s="90"/>
      <c r="AH122" s="90"/>
      <c r="AI122" s="90"/>
      <c r="AJ122" s="90"/>
    </row>
    <row r="123" ht="15.75" hidden="1" customHeight="1">
      <c r="A123" s="62">
        <f t="shared" si="1"/>
        <v>11</v>
      </c>
      <c r="B123" s="224" t="s">
        <v>484</v>
      </c>
      <c r="C123" s="102"/>
      <c r="D123" s="225" t="s">
        <v>354</v>
      </c>
      <c r="E123" s="102"/>
      <c r="F123" s="232"/>
      <c r="G123" s="225"/>
      <c r="H123" s="225"/>
      <c r="I123" s="225"/>
      <c r="J123" s="227"/>
      <c r="K123" s="233"/>
      <c r="L123" s="233"/>
      <c r="M123" s="229"/>
      <c r="N123" s="209"/>
      <c r="O123" s="209"/>
      <c r="P123" s="247"/>
      <c r="Q123" s="90"/>
      <c r="R123" s="90"/>
      <c r="S123" s="90"/>
      <c r="T123" s="215"/>
      <c r="U123" s="90"/>
      <c r="V123" s="174"/>
      <c r="W123" s="90"/>
      <c r="X123" s="174"/>
      <c r="Y123" s="174"/>
      <c r="Z123" s="174"/>
      <c r="AA123" s="174"/>
      <c r="AB123" s="90"/>
      <c r="AC123" s="90"/>
      <c r="AD123" s="90"/>
      <c r="AE123" s="90"/>
      <c r="AF123" s="90"/>
      <c r="AG123" s="90"/>
      <c r="AH123" s="90"/>
      <c r="AI123" s="90"/>
      <c r="AJ123" s="90"/>
    </row>
    <row r="124" ht="14.25" hidden="1" customHeight="1">
      <c r="A124" s="62">
        <f t="shared" si="1"/>
        <v>11</v>
      </c>
      <c r="B124" s="244" t="s">
        <v>485</v>
      </c>
      <c r="C124" s="102"/>
      <c r="D124" s="225" t="s">
        <v>354</v>
      </c>
      <c r="E124" s="102"/>
      <c r="F124" s="232"/>
      <c r="G124" s="225"/>
      <c r="H124" s="225"/>
      <c r="I124" s="225"/>
      <c r="J124" s="227"/>
      <c r="K124" s="233"/>
      <c r="L124" s="233"/>
      <c r="M124" s="229"/>
      <c r="N124" s="209"/>
      <c r="O124" s="209"/>
      <c r="P124" s="247"/>
      <c r="Q124" s="90"/>
      <c r="R124" s="90"/>
      <c r="S124" s="90"/>
      <c r="T124" s="90"/>
      <c r="U124" s="90"/>
      <c r="V124" s="90"/>
      <c r="W124" s="90"/>
      <c r="X124" s="174"/>
      <c r="Y124" s="174"/>
      <c r="Z124" s="174"/>
      <c r="AA124" s="174"/>
      <c r="AB124" s="90"/>
      <c r="AC124" s="90"/>
      <c r="AD124" s="90"/>
      <c r="AE124" s="90"/>
      <c r="AF124" s="90"/>
      <c r="AG124" s="90"/>
      <c r="AH124" s="90"/>
      <c r="AI124" s="90"/>
      <c r="AJ124" s="90"/>
    </row>
    <row r="125" ht="15.75" hidden="1" customHeight="1">
      <c r="A125" s="62">
        <f t="shared" si="1"/>
        <v>11</v>
      </c>
      <c r="B125" s="224" t="s">
        <v>486</v>
      </c>
      <c r="C125" s="102"/>
      <c r="D125" s="225" t="s">
        <v>354</v>
      </c>
      <c r="E125" s="102"/>
      <c r="F125" s="232"/>
      <c r="G125" s="225"/>
      <c r="H125" s="225"/>
      <c r="I125" s="225"/>
      <c r="J125" s="227"/>
      <c r="K125" s="233"/>
      <c r="L125" s="233"/>
      <c r="M125" s="229"/>
      <c r="N125" s="209"/>
      <c r="O125" s="209"/>
      <c r="P125" s="247"/>
      <c r="Q125" s="90"/>
      <c r="R125" s="90"/>
      <c r="S125" s="90"/>
      <c r="T125" s="215"/>
      <c r="U125" s="90"/>
      <c r="V125" s="174"/>
      <c r="W125" s="90"/>
      <c r="X125" s="174"/>
      <c r="Y125" s="174"/>
      <c r="Z125" s="174"/>
      <c r="AA125" s="174"/>
      <c r="AB125" s="90"/>
      <c r="AC125" s="90"/>
      <c r="AD125" s="90"/>
      <c r="AE125" s="90"/>
      <c r="AF125" s="90"/>
      <c r="AG125" s="90"/>
      <c r="AH125" s="90"/>
      <c r="AI125" s="90"/>
      <c r="AJ125" s="90"/>
    </row>
    <row r="126" ht="15.75" hidden="1" customHeight="1">
      <c r="A126" s="62">
        <f t="shared" si="1"/>
        <v>11</v>
      </c>
      <c r="B126" s="244" t="s">
        <v>487</v>
      </c>
      <c r="C126" s="102"/>
      <c r="D126" s="225" t="s">
        <v>354</v>
      </c>
      <c r="E126" s="102"/>
      <c r="F126" s="232"/>
      <c r="G126" s="225"/>
      <c r="H126" s="225"/>
      <c r="I126" s="225"/>
      <c r="J126" s="227"/>
      <c r="K126" s="233"/>
      <c r="L126" s="233"/>
      <c r="M126" s="229"/>
      <c r="N126" s="209"/>
      <c r="O126" s="209"/>
      <c r="P126" s="247"/>
      <c r="Q126" s="90"/>
      <c r="R126" s="90"/>
      <c r="S126" s="90"/>
      <c r="T126" s="215"/>
      <c r="U126" s="90"/>
      <c r="V126" s="174"/>
      <c r="W126" s="90"/>
      <c r="X126" s="174"/>
      <c r="Y126" s="174"/>
      <c r="Z126" s="174"/>
      <c r="AA126" s="174"/>
      <c r="AB126" s="90"/>
      <c r="AC126" s="90"/>
      <c r="AD126" s="90"/>
      <c r="AE126" s="90"/>
      <c r="AF126" s="90"/>
      <c r="AG126" s="90"/>
      <c r="AH126" s="90"/>
      <c r="AI126" s="90"/>
      <c r="AJ126" s="90"/>
    </row>
    <row r="127" ht="15.75" hidden="1" customHeight="1">
      <c r="A127" s="62">
        <f t="shared" si="1"/>
        <v>11</v>
      </c>
      <c r="B127" s="224" t="s">
        <v>488</v>
      </c>
      <c r="C127" s="102"/>
      <c r="D127" s="225" t="s">
        <v>354</v>
      </c>
      <c r="E127" s="102"/>
      <c r="F127" s="232"/>
      <c r="G127" s="225"/>
      <c r="H127" s="225"/>
      <c r="I127" s="225"/>
      <c r="J127" s="227"/>
      <c r="K127" s="233"/>
      <c r="L127" s="233"/>
      <c r="M127" s="229"/>
      <c r="N127" s="209"/>
      <c r="O127" s="209"/>
      <c r="P127" s="247"/>
      <c r="Q127" s="90"/>
      <c r="R127" s="90"/>
      <c r="S127" s="90"/>
      <c r="T127" s="215"/>
      <c r="U127" s="90"/>
      <c r="V127" s="174"/>
      <c r="W127" s="90"/>
      <c r="X127" s="174"/>
      <c r="Y127" s="174"/>
      <c r="Z127" s="174"/>
      <c r="AA127" s="174"/>
      <c r="AB127" s="90"/>
      <c r="AC127" s="90"/>
      <c r="AD127" s="90"/>
      <c r="AE127" s="90"/>
      <c r="AF127" s="90"/>
      <c r="AG127" s="90"/>
      <c r="AH127" s="90"/>
      <c r="AI127" s="90"/>
      <c r="AJ127" s="90"/>
    </row>
    <row r="128" ht="15.75" hidden="1" customHeight="1">
      <c r="A128" s="62">
        <f t="shared" si="1"/>
        <v>11</v>
      </c>
      <c r="B128" s="244" t="s">
        <v>489</v>
      </c>
      <c r="C128" s="102"/>
      <c r="D128" s="225" t="s">
        <v>354</v>
      </c>
      <c r="E128" s="102"/>
      <c r="F128" s="232"/>
      <c r="G128" s="225"/>
      <c r="H128" s="225"/>
      <c r="I128" s="225"/>
      <c r="J128" s="227"/>
      <c r="K128" s="233"/>
      <c r="L128" s="233"/>
      <c r="M128" s="229"/>
      <c r="N128" s="209"/>
      <c r="O128" s="209"/>
      <c r="P128" s="90"/>
      <c r="Q128" s="90"/>
      <c r="R128" s="90"/>
      <c r="S128" s="90"/>
      <c r="T128" s="215"/>
      <c r="U128" s="90"/>
      <c r="V128" s="174"/>
      <c r="W128" s="90"/>
      <c r="X128" s="174"/>
      <c r="Y128" s="174"/>
      <c r="Z128" s="174"/>
      <c r="AA128" s="174"/>
      <c r="AB128" s="90"/>
      <c r="AC128" s="90"/>
      <c r="AD128" s="90"/>
      <c r="AE128" s="90"/>
      <c r="AF128" s="90"/>
      <c r="AG128" s="90"/>
      <c r="AH128" s="90"/>
      <c r="AI128" s="90"/>
      <c r="AJ128" s="90"/>
    </row>
    <row r="129" ht="15.75" hidden="1" customHeight="1">
      <c r="A129" s="62">
        <f t="shared" si="1"/>
        <v>11</v>
      </c>
      <c r="B129" s="224" t="s">
        <v>490</v>
      </c>
      <c r="C129" s="102"/>
      <c r="D129" s="225" t="s">
        <v>354</v>
      </c>
      <c r="E129" s="102"/>
      <c r="F129" s="232"/>
      <c r="G129" s="225"/>
      <c r="H129" s="225"/>
      <c r="I129" s="225"/>
      <c r="J129" s="227"/>
      <c r="K129" s="233"/>
      <c r="L129" s="233"/>
      <c r="M129" s="229"/>
      <c r="N129" s="209"/>
      <c r="O129" s="209"/>
      <c r="P129" s="90"/>
      <c r="Q129" s="90"/>
      <c r="R129" s="90"/>
      <c r="S129" s="90"/>
      <c r="T129" s="215"/>
      <c r="U129" s="90"/>
      <c r="V129" s="174"/>
      <c r="W129" s="90"/>
      <c r="X129" s="174"/>
      <c r="Y129" s="174"/>
      <c r="Z129" s="174"/>
      <c r="AA129" s="174"/>
      <c r="AB129" s="90"/>
      <c r="AC129" s="90"/>
      <c r="AD129" s="90"/>
      <c r="AE129" s="90"/>
      <c r="AF129" s="90"/>
      <c r="AG129" s="90"/>
      <c r="AH129" s="90"/>
      <c r="AI129" s="90"/>
      <c r="AJ129" s="90"/>
    </row>
    <row r="130" ht="15.75" hidden="1" customHeight="1">
      <c r="A130" s="62">
        <f t="shared" si="1"/>
        <v>11</v>
      </c>
      <c r="B130" s="244" t="s">
        <v>491</v>
      </c>
      <c r="C130" s="102"/>
      <c r="D130" s="225" t="s">
        <v>354</v>
      </c>
      <c r="E130" s="102"/>
      <c r="F130" s="232"/>
      <c r="G130" s="225"/>
      <c r="H130" s="225"/>
      <c r="I130" s="225"/>
      <c r="J130" s="227"/>
      <c r="K130" s="233"/>
      <c r="L130" s="233"/>
      <c r="M130" s="229"/>
      <c r="N130" s="209"/>
      <c r="O130" s="209"/>
      <c r="P130" s="90"/>
      <c r="Q130" s="90"/>
      <c r="R130" s="90"/>
      <c r="S130" s="90"/>
      <c r="T130" s="215"/>
      <c r="U130" s="90"/>
      <c r="V130" s="174"/>
      <c r="W130" s="90"/>
      <c r="X130" s="174"/>
      <c r="Y130" s="174"/>
      <c r="Z130" s="174"/>
      <c r="AA130" s="174"/>
      <c r="AB130" s="90"/>
      <c r="AC130" s="90"/>
      <c r="AD130" s="90"/>
      <c r="AE130" s="90"/>
      <c r="AF130" s="90"/>
      <c r="AG130" s="90"/>
      <c r="AH130" s="90"/>
      <c r="AI130" s="90"/>
      <c r="AJ130" s="90"/>
    </row>
    <row r="131" ht="15.75" hidden="1" customHeight="1">
      <c r="A131" s="62">
        <f t="shared" si="1"/>
        <v>11</v>
      </c>
      <c r="B131" s="224" t="s">
        <v>492</v>
      </c>
      <c r="C131" s="102"/>
      <c r="D131" s="225" t="s">
        <v>354</v>
      </c>
      <c r="E131" s="102"/>
      <c r="F131" s="232"/>
      <c r="G131" s="225"/>
      <c r="H131" s="225"/>
      <c r="I131" s="225"/>
      <c r="J131" s="227"/>
      <c r="K131" s="233"/>
      <c r="L131" s="233"/>
      <c r="M131" s="229"/>
      <c r="N131" s="209"/>
      <c r="O131" s="209"/>
      <c r="P131" s="90"/>
      <c r="Q131" s="90"/>
      <c r="R131" s="90"/>
      <c r="S131" s="90"/>
      <c r="T131" s="215"/>
      <c r="U131" s="90"/>
      <c r="V131" s="174"/>
      <c r="W131" s="90"/>
      <c r="X131" s="174"/>
      <c r="Y131" s="174"/>
      <c r="Z131" s="174"/>
      <c r="AA131" s="174"/>
      <c r="AB131" s="90"/>
      <c r="AC131" s="90"/>
      <c r="AD131" s="90"/>
      <c r="AE131" s="90"/>
      <c r="AF131" s="90"/>
      <c r="AG131" s="90"/>
      <c r="AH131" s="90"/>
      <c r="AI131" s="90"/>
      <c r="AJ131" s="90"/>
    </row>
    <row r="132" ht="15.75" hidden="1" customHeight="1">
      <c r="A132" s="62">
        <f t="shared" si="1"/>
        <v>11</v>
      </c>
      <c r="B132" s="244" t="s">
        <v>493</v>
      </c>
      <c r="C132" s="102"/>
      <c r="D132" s="225" t="s">
        <v>354</v>
      </c>
      <c r="E132" s="102"/>
      <c r="F132" s="232"/>
      <c r="G132" s="225"/>
      <c r="H132" s="225"/>
      <c r="I132" s="225"/>
      <c r="J132" s="227"/>
      <c r="K132" s="233"/>
      <c r="L132" s="233"/>
      <c r="M132" s="229"/>
      <c r="N132" s="209"/>
      <c r="O132" s="209"/>
      <c r="P132" s="90"/>
      <c r="Q132" s="90"/>
      <c r="R132" s="90"/>
      <c r="S132" s="90"/>
      <c r="T132" s="215"/>
      <c r="U132" s="90"/>
      <c r="V132" s="174"/>
      <c r="W132" s="90"/>
      <c r="X132" s="174"/>
      <c r="Y132" s="174"/>
      <c r="Z132" s="174"/>
      <c r="AA132" s="174"/>
      <c r="AB132" s="90"/>
      <c r="AC132" s="90"/>
      <c r="AD132" s="90"/>
      <c r="AE132" s="90"/>
      <c r="AF132" s="90"/>
      <c r="AG132" s="90"/>
      <c r="AH132" s="90"/>
      <c r="AI132" s="90"/>
      <c r="AJ132" s="90"/>
    </row>
    <row r="133" ht="15.75" hidden="1" customHeight="1">
      <c r="A133" s="62">
        <f t="shared" si="1"/>
        <v>11</v>
      </c>
      <c r="B133" s="224" t="s">
        <v>494</v>
      </c>
      <c r="C133" s="102"/>
      <c r="D133" s="225" t="s">
        <v>354</v>
      </c>
      <c r="E133" s="102"/>
      <c r="F133" s="232"/>
      <c r="G133" s="225"/>
      <c r="H133" s="225"/>
      <c r="I133" s="225"/>
      <c r="J133" s="227"/>
      <c r="K133" s="233"/>
      <c r="L133" s="233"/>
      <c r="M133" s="229"/>
      <c r="N133" s="209"/>
      <c r="O133" s="209"/>
      <c r="P133" s="90"/>
      <c r="Q133" s="90"/>
      <c r="R133" s="90"/>
      <c r="S133" s="90"/>
      <c r="U133" s="90"/>
      <c r="V133" s="174"/>
      <c r="W133" s="90"/>
      <c r="X133" s="174"/>
      <c r="Y133" s="174"/>
      <c r="Z133" s="174"/>
      <c r="AA133" s="174"/>
      <c r="AB133" s="90"/>
      <c r="AC133" s="90"/>
      <c r="AD133" s="90"/>
      <c r="AE133" s="90"/>
      <c r="AF133" s="90"/>
      <c r="AG133" s="90"/>
      <c r="AH133" s="90"/>
      <c r="AI133" s="90"/>
      <c r="AJ133" s="90"/>
    </row>
    <row r="134" ht="15.75" hidden="1" customHeight="1">
      <c r="A134" s="62">
        <f t="shared" si="1"/>
        <v>11</v>
      </c>
      <c r="B134" s="244" t="s">
        <v>495</v>
      </c>
      <c r="C134" s="102"/>
      <c r="D134" s="225" t="s">
        <v>354</v>
      </c>
      <c r="E134" s="102"/>
      <c r="F134" s="232"/>
      <c r="G134" s="225"/>
      <c r="H134" s="225"/>
      <c r="I134" s="225"/>
      <c r="J134" s="227"/>
      <c r="K134" s="233"/>
      <c r="L134" s="233"/>
      <c r="M134" s="229"/>
      <c r="N134" s="209"/>
      <c r="O134" s="209"/>
      <c r="P134" s="90"/>
      <c r="Q134" s="90"/>
      <c r="R134" s="90"/>
      <c r="S134" s="90"/>
      <c r="T134" s="215"/>
      <c r="U134" s="90"/>
      <c r="V134" s="174"/>
      <c r="W134" s="90"/>
      <c r="X134" s="174"/>
      <c r="Y134" s="174"/>
      <c r="Z134" s="174"/>
      <c r="AA134" s="174"/>
      <c r="AB134" s="90"/>
      <c r="AC134" s="90"/>
      <c r="AD134" s="90"/>
      <c r="AE134" s="90"/>
      <c r="AF134" s="90"/>
      <c r="AG134" s="90"/>
      <c r="AH134" s="90"/>
      <c r="AI134" s="90"/>
      <c r="AJ134" s="90"/>
    </row>
    <row r="135" ht="15.75" hidden="1" customHeight="1">
      <c r="A135" s="62">
        <f t="shared" si="1"/>
        <v>11</v>
      </c>
      <c r="B135" s="224" t="s">
        <v>496</v>
      </c>
      <c r="C135" s="102"/>
      <c r="D135" s="225" t="s">
        <v>354</v>
      </c>
      <c r="E135" s="102"/>
      <c r="F135" s="232"/>
      <c r="G135" s="225"/>
      <c r="H135" s="225"/>
      <c r="I135" s="225"/>
      <c r="J135" s="227"/>
      <c r="K135" s="233"/>
      <c r="L135" s="233"/>
      <c r="M135" s="229"/>
      <c r="N135" s="209"/>
      <c r="O135" s="209"/>
      <c r="P135" s="90"/>
      <c r="Q135" s="90"/>
      <c r="R135" s="90"/>
      <c r="S135" s="90"/>
      <c r="T135" s="215"/>
      <c r="U135" s="90"/>
      <c r="V135" s="174"/>
      <c r="W135" s="90"/>
      <c r="X135" s="174"/>
      <c r="Y135" s="174"/>
      <c r="Z135" s="174"/>
      <c r="AA135" s="174"/>
      <c r="AB135" s="90"/>
      <c r="AC135" s="90"/>
      <c r="AD135" s="90"/>
      <c r="AE135" s="90"/>
      <c r="AF135" s="90"/>
      <c r="AG135" s="90"/>
      <c r="AH135" s="90"/>
      <c r="AI135" s="90"/>
      <c r="AJ135" s="90"/>
    </row>
    <row r="136" ht="15.75" hidden="1" customHeight="1">
      <c r="A136" s="62">
        <f t="shared" si="1"/>
        <v>11</v>
      </c>
      <c r="B136" s="244" t="s">
        <v>497</v>
      </c>
      <c r="C136" s="102"/>
      <c r="D136" s="225" t="s">
        <v>354</v>
      </c>
      <c r="E136" s="102"/>
      <c r="F136" s="232"/>
      <c r="G136" s="225"/>
      <c r="H136" s="225"/>
      <c r="I136" s="225"/>
      <c r="J136" s="227"/>
      <c r="K136" s="233"/>
      <c r="L136" s="233"/>
      <c r="M136" s="229"/>
      <c r="N136" s="209"/>
      <c r="O136" s="209"/>
      <c r="P136" s="90"/>
      <c r="Q136" s="90"/>
      <c r="R136" s="90"/>
      <c r="S136" s="90"/>
      <c r="T136" s="215"/>
      <c r="U136" s="90"/>
      <c r="V136" s="174"/>
      <c r="W136" s="90"/>
      <c r="X136" s="174"/>
      <c r="Y136" s="174"/>
      <c r="Z136" s="174"/>
      <c r="AA136" s="174"/>
      <c r="AB136" s="90"/>
      <c r="AC136" s="90"/>
      <c r="AD136" s="90"/>
      <c r="AE136" s="90"/>
      <c r="AF136" s="90"/>
      <c r="AG136" s="90"/>
      <c r="AH136" s="90"/>
      <c r="AI136" s="90"/>
      <c r="AJ136" s="90"/>
    </row>
    <row r="137" ht="15.75" hidden="1" customHeight="1">
      <c r="A137" s="62">
        <f t="shared" si="1"/>
        <v>11</v>
      </c>
      <c r="B137" s="224" t="s">
        <v>498</v>
      </c>
      <c r="C137" s="102"/>
      <c r="D137" s="225" t="s">
        <v>354</v>
      </c>
      <c r="E137" s="102"/>
      <c r="F137" s="232"/>
      <c r="G137" s="225"/>
      <c r="H137" s="225"/>
      <c r="I137" s="225"/>
      <c r="J137" s="227"/>
      <c r="K137" s="233"/>
      <c r="L137" s="233"/>
      <c r="M137" s="229"/>
      <c r="N137" s="209"/>
      <c r="O137" s="209"/>
      <c r="P137" s="90"/>
      <c r="Q137" s="90"/>
      <c r="R137" s="90"/>
      <c r="S137" s="90"/>
      <c r="T137" s="215"/>
      <c r="U137" s="90"/>
      <c r="V137" s="174"/>
      <c r="W137" s="90"/>
      <c r="X137" s="174"/>
      <c r="Y137" s="174"/>
      <c r="Z137" s="174"/>
      <c r="AA137" s="174"/>
      <c r="AB137" s="90"/>
      <c r="AC137" s="90"/>
      <c r="AD137" s="90"/>
      <c r="AE137" s="90"/>
      <c r="AF137" s="90"/>
      <c r="AG137" s="90"/>
      <c r="AH137" s="90"/>
      <c r="AI137" s="90"/>
      <c r="AJ137" s="90"/>
    </row>
    <row r="138" ht="15.75" hidden="1" customHeight="1">
      <c r="A138" s="62">
        <f t="shared" si="1"/>
        <v>11</v>
      </c>
      <c r="B138" s="244" t="s">
        <v>499</v>
      </c>
      <c r="C138" s="102"/>
      <c r="D138" s="225" t="s">
        <v>354</v>
      </c>
      <c r="E138" s="102"/>
      <c r="F138" s="232"/>
      <c r="G138" s="225"/>
      <c r="H138" s="225"/>
      <c r="I138" s="225"/>
      <c r="J138" s="227"/>
      <c r="K138" s="233"/>
      <c r="L138" s="233"/>
      <c r="M138" s="229"/>
      <c r="N138" s="209"/>
      <c r="O138" s="209"/>
      <c r="P138" s="90"/>
      <c r="Q138" s="90"/>
      <c r="R138" s="90"/>
      <c r="S138" s="90"/>
      <c r="T138" s="215"/>
      <c r="U138" s="90"/>
      <c r="V138" s="174"/>
      <c r="W138" s="90"/>
      <c r="X138" s="174"/>
      <c r="Y138" s="174"/>
      <c r="Z138" s="174"/>
      <c r="AA138" s="174"/>
      <c r="AB138" s="90"/>
      <c r="AC138" s="90"/>
      <c r="AD138" s="90"/>
      <c r="AE138" s="90"/>
      <c r="AF138" s="90"/>
      <c r="AG138" s="90"/>
      <c r="AH138" s="90"/>
      <c r="AI138" s="90"/>
      <c r="AJ138" s="90"/>
    </row>
    <row r="139" ht="15.75" hidden="1" customHeight="1">
      <c r="A139" s="62">
        <f t="shared" si="1"/>
        <v>11</v>
      </c>
      <c r="B139" s="224" t="s">
        <v>500</v>
      </c>
      <c r="C139" s="102"/>
      <c r="D139" s="225" t="s">
        <v>354</v>
      </c>
      <c r="E139" s="102"/>
      <c r="F139" s="232"/>
      <c r="G139" s="225"/>
      <c r="H139" s="225"/>
      <c r="I139" s="225"/>
      <c r="J139" s="227"/>
      <c r="K139" s="233"/>
      <c r="L139" s="233"/>
      <c r="M139" s="229"/>
      <c r="N139" s="209"/>
      <c r="O139" s="209"/>
      <c r="P139" s="90"/>
      <c r="Q139" s="90"/>
      <c r="R139" s="90"/>
      <c r="S139" s="90"/>
      <c r="T139" s="215"/>
      <c r="U139" s="90"/>
      <c r="V139" s="174"/>
      <c r="W139" s="90"/>
      <c r="X139" s="174"/>
      <c r="Y139" s="174"/>
      <c r="Z139" s="174"/>
      <c r="AA139" s="174"/>
      <c r="AB139" s="90"/>
      <c r="AC139" s="90"/>
      <c r="AD139" s="90"/>
      <c r="AE139" s="90"/>
      <c r="AF139" s="90"/>
      <c r="AG139" s="90"/>
      <c r="AH139" s="90"/>
      <c r="AI139" s="90"/>
      <c r="AJ139" s="90"/>
    </row>
    <row r="140" ht="15.75" hidden="1" customHeight="1">
      <c r="A140" s="62">
        <f t="shared" si="1"/>
        <v>11</v>
      </c>
      <c r="B140" s="244" t="s">
        <v>501</v>
      </c>
      <c r="C140" s="102"/>
      <c r="D140" s="225" t="s">
        <v>354</v>
      </c>
      <c r="E140" s="102"/>
      <c r="F140" s="232"/>
      <c r="G140" s="225"/>
      <c r="H140" s="225"/>
      <c r="I140" s="225"/>
      <c r="J140" s="227"/>
      <c r="K140" s="233"/>
      <c r="L140" s="233"/>
      <c r="M140" s="229"/>
      <c r="N140" s="209"/>
      <c r="O140" s="209"/>
      <c r="P140" s="90"/>
      <c r="Q140" s="90"/>
      <c r="R140" s="90"/>
      <c r="S140" s="90"/>
      <c r="T140" s="215"/>
      <c r="U140" s="90"/>
      <c r="V140" s="174"/>
      <c r="W140" s="90"/>
      <c r="X140" s="174"/>
      <c r="Y140" s="174"/>
      <c r="Z140" s="174"/>
      <c r="AA140" s="174"/>
      <c r="AB140" s="90"/>
      <c r="AC140" s="90"/>
      <c r="AD140" s="90"/>
      <c r="AE140" s="90"/>
      <c r="AF140" s="90"/>
      <c r="AG140" s="90"/>
      <c r="AH140" s="90"/>
      <c r="AI140" s="90"/>
      <c r="AJ140" s="90"/>
    </row>
    <row r="141" ht="15.75" hidden="1" customHeight="1">
      <c r="A141" s="62">
        <f t="shared" si="1"/>
        <v>11</v>
      </c>
      <c r="B141" s="224" t="s">
        <v>502</v>
      </c>
      <c r="C141" s="102"/>
      <c r="D141" s="225" t="s">
        <v>354</v>
      </c>
      <c r="E141" s="102"/>
      <c r="F141" s="232"/>
      <c r="G141" s="225"/>
      <c r="H141" s="225"/>
      <c r="I141" s="225"/>
      <c r="J141" s="227"/>
      <c r="K141" s="233"/>
      <c r="L141" s="233"/>
      <c r="M141" s="229"/>
      <c r="N141" s="209"/>
      <c r="O141" s="209"/>
      <c r="P141" s="90"/>
      <c r="Q141" s="90"/>
      <c r="R141" s="90"/>
      <c r="S141" s="90"/>
      <c r="T141" s="215"/>
      <c r="U141" s="90"/>
      <c r="V141" s="174"/>
      <c r="W141" s="90"/>
      <c r="X141" s="174"/>
      <c r="Y141" s="174"/>
      <c r="Z141" s="174"/>
      <c r="AA141" s="174"/>
      <c r="AB141" s="90"/>
      <c r="AC141" s="90"/>
      <c r="AD141" s="90"/>
      <c r="AE141" s="90"/>
      <c r="AF141" s="90"/>
      <c r="AG141" s="90"/>
      <c r="AH141" s="90"/>
      <c r="AI141" s="90"/>
      <c r="AJ141" s="90"/>
    </row>
    <row r="142" ht="15.75" hidden="1" customHeight="1">
      <c r="A142" s="62">
        <f t="shared" si="1"/>
        <v>11</v>
      </c>
      <c r="B142" s="244" t="s">
        <v>503</v>
      </c>
      <c r="C142" s="102"/>
      <c r="D142" s="225" t="s">
        <v>354</v>
      </c>
      <c r="E142" s="102"/>
      <c r="F142" s="232"/>
      <c r="G142" s="225"/>
      <c r="H142" s="225"/>
      <c r="I142" s="225"/>
      <c r="J142" s="227"/>
      <c r="K142" s="233"/>
      <c r="L142" s="233"/>
      <c r="M142" s="229"/>
      <c r="N142" s="209"/>
      <c r="O142" s="209"/>
      <c r="P142" s="90"/>
      <c r="Q142" s="90"/>
      <c r="R142" s="90"/>
      <c r="S142" s="90"/>
      <c r="T142" s="215"/>
      <c r="U142" s="90"/>
      <c r="V142" s="174"/>
      <c r="W142" s="90"/>
      <c r="X142" s="174"/>
      <c r="Y142" s="174"/>
      <c r="Z142" s="174"/>
      <c r="AA142" s="174"/>
      <c r="AB142" s="90"/>
      <c r="AC142" s="90"/>
      <c r="AD142" s="90"/>
      <c r="AE142" s="90"/>
      <c r="AF142" s="90"/>
      <c r="AG142" s="90"/>
      <c r="AH142" s="90"/>
      <c r="AI142" s="90"/>
      <c r="AJ142" s="90"/>
    </row>
    <row r="143" ht="15.75" hidden="1" customHeight="1">
      <c r="A143" s="62">
        <f t="shared" si="1"/>
        <v>11</v>
      </c>
      <c r="B143" s="224" t="s">
        <v>504</v>
      </c>
      <c r="C143" s="102"/>
      <c r="D143" s="225" t="s">
        <v>354</v>
      </c>
      <c r="E143" s="102"/>
      <c r="F143" s="232"/>
      <c r="G143" s="225"/>
      <c r="H143" s="225"/>
      <c r="I143" s="225"/>
      <c r="J143" s="227"/>
      <c r="K143" s="233"/>
      <c r="L143" s="233"/>
      <c r="M143" s="229"/>
      <c r="N143" s="209"/>
      <c r="O143" s="209"/>
      <c r="P143" s="90"/>
      <c r="Q143" s="90"/>
      <c r="R143" s="90"/>
      <c r="S143" s="90"/>
      <c r="T143" s="215"/>
      <c r="U143" s="90"/>
      <c r="V143" s="174"/>
      <c r="W143" s="90"/>
      <c r="X143" s="174"/>
      <c r="Y143" s="174"/>
      <c r="Z143" s="174"/>
      <c r="AA143" s="174"/>
      <c r="AB143" s="90"/>
      <c r="AC143" s="90"/>
      <c r="AD143" s="90"/>
      <c r="AE143" s="90"/>
      <c r="AF143" s="90"/>
      <c r="AG143" s="90"/>
      <c r="AH143" s="90"/>
      <c r="AI143" s="90"/>
      <c r="AJ143" s="90"/>
    </row>
    <row r="144" ht="15.75" hidden="1" customHeight="1">
      <c r="A144" s="62">
        <f t="shared" si="1"/>
        <v>11</v>
      </c>
      <c r="B144" s="244" t="s">
        <v>505</v>
      </c>
      <c r="C144" s="102"/>
      <c r="D144" s="225" t="s">
        <v>354</v>
      </c>
      <c r="E144" s="102"/>
      <c r="F144" s="232"/>
      <c r="G144" s="225"/>
      <c r="H144" s="225"/>
      <c r="I144" s="225"/>
      <c r="J144" s="227"/>
      <c r="K144" s="233"/>
      <c r="L144" s="233"/>
      <c r="M144" s="229"/>
      <c r="N144" s="209"/>
      <c r="O144" s="209"/>
      <c r="P144" s="90"/>
      <c r="Q144" s="90"/>
      <c r="R144" s="90"/>
      <c r="S144" s="90"/>
      <c r="T144" s="215"/>
      <c r="U144" s="90"/>
      <c r="V144" s="174"/>
      <c r="W144" s="90"/>
      <c r="X144" s="174"/>
      <c r="Y144" s="174"/>
      <c r="Z144" s="174"/>
      <c r="AA144" s="174"/>
      <c r="AB144" s="90"/>
      <c r="AC144" s="90"/>
      <c r="AD144" s="90"/>
      <c r="AE144" s="90"/>
      <c r="AF144" s="90"/>
      <c r="AG144" s="90"/>
      <c r="AH144" s="90"/>
      <c r="AI144" s="90"/>
      <c r="AJ144" s="90"/>
    </row>
    <row r="145" ht="15.75" hidden="1" customHeight="1">
      <c r="A145" s="62">
        <f t="shared" si="1"/>
        <v>11</v>
      </c>
      <c r="B145" s="224" t="s">
        <v>506</v>
      </c>
      <c r="C145" s="102"/>
      <c r="D145" s="225" t="s">
        <v>354</v>
      </c>
      <c r="E145" s="102"/>
      <c r="F145" s="232"/>
      <c r="G145" s="225"/>
      <c r="H145" s="225"/>
      <c r="I145" s="225"/>
      <c r="J145" s="227"/>
      <c r="K145" s="233"/>
      <c r="L145" s="233"/>
      <c r="M145" s="229"/>
      <c r="N145" s="209"/>
      <c r="O145" s="209"/>
      <c r="P145" s="90"/>
      <c r="Q145" s="90"/>
      <c r="R145" s="90"/>
      <c r="S145" s="90"/>
      <c r="T145" s="215"/>
      <c r="U145" s="90"/>
      <c r="V145" s="174"/>
      <c r="W145" s="90"/>
      <c r="X145" s="174"/>
      <c r="Y145" s="174"/>
      <c r="Z145" s="174"/>
      <c r="AA145" s="174"/>
      <c r="AB145" s="90"/>
      <c r="AC145" s="90"/>
      <c r="AD145" s="90"/>
      <c r="AE145" s="90"/>
      <c r="AF145" s="90"/>
      <c r="AG145" s="90"/>
      <c r="AH145" s="90"/>
      <c r="AI145" s="90"/>
      <c r="AJ145" s="90"/>
    </row>
    <row r="146" ht="15.75" hidden="1" customHeight="1">
      <c r="A146" s="62">
        <f t="shared" si="1"/>
        <v>11</v>
      </c>
      <c r="B146" s="244" t="s">
        <v>507</v>
      </c>
      <c r="C146" s="102"/>
      <c r="D146" s="225" t="s">
        <v>354</v>
      </c>
      <c r="E146" s="102"/>
      <c r="F146" s="232"/>
      <c r="G146" s="225"/>
      <c r="H146" s="225"/>
      <c r="I146" s="225"/>
      <c r="J146" s="227"/>
      <c r="K146" s="233"/>
      <c r="L146" s="233"/>
      <c r="M146" s="229"/>
      <c r="N146" s="209"/>
      <c r="O146" s="209"/>
      <c r="P146" s="90"/>
      <c r="Q146" s="90"/>
      <c r="R146" s="90"/>
      <c r="S146" s="90"/>
      <c r="T146" s="215"/>
      <c r="U146" s="90"/>
      <c r="V146" s="174"/>
      <c r="W146" s="90"/>
      <c r="X146" s="174"/>
      <c r="Y146" s="174"/>
      <c r="Z146" s="174"/>
      <c r="AA146" s="174"/>
      <c r="AB146" s="90"/>
      <c r="AC146" s="90"/>
      <c r="AD146" s="90"/>
      <c r="AE146" s="90"/>
      <c r="AF146" s="90"/>
      <c r="AG146" s="90"/>
      <c r="AH146" s="90"/>
      <c r="AI146" s="90"/>
      <c r="AJ146" s="90"/>
    </row>
    <row r="147" ht="15.75" customHeight="1">
      <c r="A147" s="62">
        <f t="shared" si="1"/>
        <v>12</v>
      </c>
      <c r="B147" s="224" t="s">
        <v>508</v>
      </c>
      <c r="C147" s="102"/>
      <c r="D147" s="225" t="s">
        <v>354</v>
      </c>
      <c r="E147" s="102"/>
      <c r="F147" s="232"/>
      <c r="G147" s="225"/>
      <c r="H147" s="225"/>
      <c r="I147" s="225"/>
      <c r="J147" s="227"/>
      <c r="K147" s="233"/>
      <c r="L147" s="233"/>
      <c r="M147" s="229"/>
      <c r="N147" s="209"/>
      <c r="O147" s="209"/>
      <c r="P147" s="90"/>
      <c r="Q147" s="90"/>
      <c r="R147" s="90"/>
      <c r="S147" s="90"/>
      <c r="T147" s="215"/>
      <c r="U147" s="90"/>
      <c r="V147" s="174"/>
      <c r="W147" s="90"/>
      <c r="X147" s="174"/>
      <c r="Y147" s="174"/>
      <c r="Z147" s="174"/>
      <c r="AA147" s="174"/>
      <c r="AB147" s="90"/>
      <c r="AC147" s="90"/>
      <c r="AD147" s="90"/>
      <c r="AE147" s="90"/>
      <c r="AF147" s="90"/>
      <c r="AG147" s="90"/>
      <c r="AH147" s="90"/>
      <c r="AI147" s="90"/>
      <c r="AJ147" s="90"/>
    </row>
    <row r="148" ht="15.75" customHeight="1">
      <c r="A148" s="62">
        <f t="shared" si="1"/>
        <v>13</v>
      </c>
      <c r="B148" s="244" t="s">
        <v>509</v>
      </c>
      <c r="C148" s="102"/>
      <c r="D148" s="225" t="s">
        <v>354</v>
      </c>
      <c r="E148" s="102"/>
      <c r="F148" s="232"/>
      <c r="G148" s="225"/>
      <c r="H148" s="225"/>
      <c r="I148" s="225"/>
      <c r="J148" s="227"/>
      <c r="K148" s="233"/>
      <c r="L148" s="233"/>
      <c r="M148" s="229"/>
      <c r="N148" s="209"/>
      <c r="O148" s="209"/>
      <c r="P148" s="90"/>
      <c r="Q148" s="90"/>
      <c r="R148" s="90"/>
      <c r="S148" s="90"/>
      <c r="T148" s="215"/>
      <c r="U148" s="90"/>
      <c r="V148" s="174"/>
      <c r="W148" s="90"/>
      <c r="X148" s="174"/>
      <c r="Y148" s="174"/>
      <c r="Z148" s="174"/>
      <c r="AA148" s="174"/>
      <c r="AB148" s="90"/>
      <c r="AC148" s="90"/>
      <c r="AD148" s="90"/>
      <c r="AE148" s="90"/>
      <c r="AF148" s="90"/>
      <c r="AG148" s="90"/>
      <c r="AH148" s="90"/>
      <c r="AI148" s="90"/>
      <c r="AJ148" s="90"/>
    </row>
    <row r="149" ht="15.75" customHeight="1">
      <c r="A149" s="62">
        <f t="shared" si="1"/>
        <v>14</v>
      </c>
      <c r="B149" s="224" t="s">
        <v>510</v>
      </c>
      <c r="C149" s="102"/>
      <c r="D149" s="225" t="s">
        <v>354</v>
      </c>
      <c r="E149" s="102"/>
      <c r="F149" s="232"/>
      <c r="G149" s="225"/>
      <c r="H149" s="225"/>
      <c r="I149" s="225"/>
      <c r="J149" s="227"/>
      <c r="K149" s="233"/>
      <c r="L149" s="233"/>
      <c r="M149" s="229"/>
      <c r="N149" s="209"/>
      <c r="O149" s="209"/>
      <c r="P149" s="90"/>
      <c r="Q149" s="90"/>
      <c r="R149" s="90"/>
      <c r="S149" s="90"/>
      <c r="T149" s="215"/>
      <c r="U149" s="90"/>
      <c r="V149" s="174"/>
      <c r="W149" s="90"/>
      <c r="X149" s="174"/>
      <c r="Y149" s="174"/>
      <c r="Z149" s="174"/>
      <c r="AA149" s="174"/>
      <c r="AB149" s="90"/>
      <c r="AC149" s="90"/>
      <c r="AD149" s="90"/>
      <c r="AE149" s="90"/>
      <c r="AF149" s="90"/>
      <c r="AG149" s="90"/>
      <c r="AH149" s="90"/>
      <c r="AI149" s="90"/>
      <c r="AJ149" s="90"/>
    </row>
    <row r="150" ht="15.75" customHeight="1">
      <c r="A150" s="62">
        <f t="shared" si="1"/>
        <v>15</v>
      </c>
      <c r="B150" s="244" t="s">
        <v>511</v>
      </c>
      <c r="C150" s="102"/>
      <c r="D150" s="225" t="s">
        <v>354</v>
      </c>
      <c r="E150" s="102"/>
      <c r="F150" s="232"/>
      <c r="G150" s="225"/>
      <c r="H150" s="225"/>
      <c r="I150" s="225"/>
      <c r="J150" s="227"/>
      <c r="K150" s="233"/>
      <c r="L150" s="233"/>
      <c r="M150" s="229"/>
      <c r="N150" s="209"/>
      <c r="O150" s="209"/>
      <c r="P150" s="90"/>
      <c r="Q150" s="90"/>
      <c r="R150" s="90"/>
      <c r="S150" s="90"/>
      <c r="T150" s="215"/>
      <c r="U150" s="90"/>
      <c r="V150" s="174"/>
      <c r="W150" s="90"/>
      <c r="X150" s="174"/>
      <c r="Y150" s="174"/>
      <c r="Z150" s="174"/>
      <c r="AA150" s="174"/>
      <c r="AB150" s="90"/>
      <c r="AC150" s="90"/>
      <c r="AD150" s="90"/>
      <c r="AE150" s="90"/>
      <c r="AF150" s="90"/>
      <c r="AG150" s="90"/>
      <c r="AH150" s="90"/>
      <c r="AI150" s="90"/>
      <c r="AJ150" s="90"/>
    </row>
    <row r="151" ht="15.75" customHeight="1">
      <c r="A151" s="248"/>
      <c r="B151" s="249"/>
      <c r="C151" s="90"/>
      <c r="D151" s="231"/>
      <c r="E151" s="249"/>
      <c r="F151" s="247"/>
      <c r="G151" s="174"/>
      <c r="H151" s="174"/>
      <c r="I151" s="174"/>
      <c r="J151" s="34"/>
      <c r="K151" s="250"/>
      <c r="L151" s="250"/>
      <c r="M151" s="251"/>
      <c r="N151" s="90"/>
      <c r="O151" s="90"/>
      <c r="P151" s="90"/>
      <c r="Q151" s="90"/>
      <c r="R151" s="90"/>
      <c r="S151" s="90"/>
      <c r="T151" s="215"/>
      <c r="U151" s="90"/>
      <c r="V151" s="174"/>
      <c r="W151" s="90"/>
      <c r="X151" s="174"/>
      <c r="Y151" s="174"/>
      <c r="Z151" s="174"/>
      <c r="AA151" s="174"/>
      <c r="AB151" s="90"/>
      <c r="AC151" s="90"/>
      <c r="AD151" s="90"/>
      <c r="AE151" s="90"/>
      <c r="AF151" s="90"/>
      <c r="AG151" s="90"/>
      <c r="AH151" s="90"/>
      <c r="AI151" s="90"/>
      <c r="AJ151" s="90"/>
    </row>
    <row r="152" ht="15.75" customHeight="1">
      <c r="A152" s="248"/>
      <c r="B152" s="249"/>
      <c r="C152" s="90"/>
      <c r="D152" s="231"/>
      <c r="E152" s="249"/>
      <c r="F152" s="247"/>
      <c r="G152" s="174"/>
      <c r="H152" s="174"/>
      <c r="I152" s="174"/>
      <c r="J152" s="34"/>
      <c r="K152" s="250"/>
      <c r="L152" s="250"/>
      <c r="M152" s="251"/>
      <c r="N152" s="90"/>
      <c r="O152" s="90"/>
      <c r="P152" s="90"/>
      <c r="Q152" s="90"/>
      <c r="R152" s="90"/>
      <c r="S152" s="90"/>
      <c r="T152" s="215"/>
      <c r="U152" s="90"/>
      <c r="V152" s="174"/>
      <c r="W152" s="90"/>
      <c r="X152" s="174"/>
      <c r="Y152" s="174"/>
      <c r="Z152" s="174"/>
      <c r="AA152" s="174"/>
      <c r="AB152" s="90"/>
      <c r="AC152" s="90"/>
      <c r="AD152" s="90"/>
      <c r="AE152" s="90"/>
      <c r="AF152" s="90"/>
      <c r="AG152" s="90"/>
      <c r="AH152" s="90"/>
      <c r="AI152" s="90"/>
      <c r="AJ152" s="90"/>
    </row>
    <row r="153" ht="15.75" customHeight="1">
      <c r="A153" s="248"/>
      <c r="B153" s="249"/>
      <c r="C153" s="90"/>
      <c r="D153" s="248"/>
      <c r="E153" s="249"/>
      <c r="F153" s="247"/>
      <c r="G153" s="174"/>
      <c r="H153" s="174"/>
      <c r="I153" s="174"/>
      <c r="J153" s="34"/>
      <c r="K153" s="250"/>
      <c r="L153" s="250"/>
      <c r="M153" s="251"/>
      <c r="N153" s="90"/>
      <c r="O153" s="90"/>
      <c r="P153" s="90"/>
      <c r="Q153" s="90"/>
      <c r="R153" s="90"/>
      <c r="S153" s="90"/>
      <c r="T153" s="215"/>
      <c r="U153" s="90"/>
      <c r="V153" s="174"/>
      <c r="W153" s="90"/>
      <c r="X153" s="174"/>
      <c r="Y153" s="174"/>
      <c r="Z153" s="174"/>
      <c r="AA153" s="174"/>
      <c r="AB153" s="90"/>
      <c r="AC153" s="90"/>
      <c r="AD153" s="90"/>
      <c r="AE153" s="90"/>
      <c r="AF153" s="90"/>
      <c r="AG153" s="90"/>
      <c r="AH153" s="90"/>
      <c r="AI153" s="90"/>
      <c r="AJ153" s="90"/>
    </row>
    <row r="154" ht="15.75" customHeight="1">
      <c r="A154" s="248"/>
      <c r="B154" s="249"/>
      <c r="C154" s="90"/>
      <c r="D154" s="252"/>
      <c r="E154" s="249"/>
      <c r="F154" s="247"/>
      <c r="G154" s="174"/>
      <c r="H154" s="174"/>
      <c r="I154" s="174"/>
      <c r="J154" s="34"/>
      <c r="K154" s="250"/>
      <c r="L154" s="250"/>
      <c r="M154" s="251"/>
      <c r="N154" s="90"/>
      <c r="O154" s="90"/>
      <c r="P154" s="90"/>
      <c r="Q154" s="90"/>
      <c r="R154" s="90"/>
      <c r="S154" s="90"/>
      <c r="T154" s="215"/>
      <c r="U154" s="90"/>
      <c r="V154" s="174"/>
      <c r="W154" s="90"/>
      <c r="X154" s="174"/>
      <c r="Y154" s="174"/>
      <c r="Z154" s="174"/>
      <c r="AA154" s="174"/>
      <c r="AB154" s="90"/>
      <c r="AC154" s="90"/>
      <c r="AD154" s="90"/>
      <c r="AE154" s="90"/>
      <c r="AF154" s="90"/>
      <c r="AG154" s="90"/>
      <c r="AH154" s="90"/>
      <c r="AI154" s="90"/>
      <c r="AJ154" s="90"/>
    </row>
    <row r="155" ht="15.75" customHeight="1">
      <c r="A155" s="248"/>
      <c r="B155" s="249"/>
      <c r="C155" s="90"/>
      <c r="D155" s="252"/>
      <c r="E155" s="249"/>
      <c r="F155" s="247"/>
      <c r="G155" s="174"/>
      <c r="H155" s="174"/>
      <c r="I155" s="174"/>
      <c r="J155" s="34"/>
      <c r="K155" s="250"/>
      <c r="L155" s="250"/>
      <c r="M155" s="251"/>
      <c r="N155" s="90"/>
      <c r="O155" s="90"/>
      <c r="P155" s="90"/>
      <c r="Q155" s="90"/>
      <c r="R155" s="90"/>
      <c r="S155" s="90"/>
      <c r="T155" s="215"/>
      <c r="U155" s="90"/>
      <c r="V155" s="174"/>
      <c r="W155" s="90"/>
      <c r="X155" s="174"/>
      <c r="Y155" s="174"/>
      <c r="Z155" s="174"/>
      <c r="AA155" s="174"/>
      <c r="AB155" s="90"/>
      <c r="AC155" s="90"/>
      <c r="AD155" s="90"/>
      <c r="AE155" s="90"/>
      <c r="AF155" s="90"/>
      <c r="AG155" s="90"/>
      <c r="AH155" s="90"/>
      <c r="AI155" s="90"/>
      <c r="AJ155" s="90"/>
    </row>
    <row r="156" ht="15.75" customHeight="1">
      <c r="A156" s="248"/>
      <c r="B156" s="249"/>
      <c r="C156" s="90"/>
      <c r="D156" s="252"/>
      <c r="E156" s="249"/>
      <c r="F156" s="247"/>
      <c r="G156" s="174"/>
      <c r="H156" s="174"/>
      <c r="I156" s="174"/>
      <c r="J156" s="34"/>
      <c r="K156" s="250"/>
      <c r="L156" s="250"/>
      <c r="M156" s="251"/>
      <c r="N156" s="90"/>
      <c r="O156" s="90"/>
      <c r="P156" s="90"/>
      <c r="Q156" s="90"/>
      <c r="R156" s="90"/>
      <c r="S156" s="90"/>
      <c r="T156" s="215"/>
      <c r="U156" s="90"/>
      <c r="V156" s="174"/>
      <c r="W156" s="90"/>
      <c r="X156" s="174"/>
      <c r="Y156" s="174"/>
      <c r="Z156" s="174"/>
      <c r="AA156" s="174"/>
      <c r="AB156" s="90"/>
      <c r="AC156" s="90"/>
      <c r="AD156" s="90"/>
      <c r="AE156" s="90"/>
      <c r="AF156" s="90"/>
      <c r="AG156" s="90"/>
      <c r="AH156" s="90"/>
      <c r="AI156" s="90"/>
      <c r="AJ156" s="90"/>
    </row>
    <row r="157" ht="15.75" customHeight="1">
      <c r="A157" s="248"/>
      <c r="B157" s="249"/>
      <c r="C157" s="90"/>
      <c r="D157" s="252"/>
      <c r="E157" s="249"/>
      <c r="F157" s="247"/>
      <c r="G157" s="174"/>
      <c r="H157" s="174"/>
      <c r="I157" s="174"/>
      <c r="J157" s="34"/>
      <c r="K157" s="250"/>
      <c r="L157" s="250"/>
      <c r="M157" s="251"/>
      <c r="N157" s="90"/>
      <c r="O157" s="90"/>
      <c r="P157" s="90"/>
      <c r="Q157" s="90"/>
      <c r="R157" s="90"/>
      <c r="S157" s="90"/>
      <c r="T157" s="215"/>
      <c r="U157" s="90"/>
      <c r="V157" s="174"/>
      <c r="W157" s="90"/>
      <c r="X157" s="174"/>
      <c r="Y157" s="174"/>
      <c r="Z157" s="174"/>
      <c r="AA157" s="174"/>
      <c r="AB157" s="90"/>
      <c r="AC157" s="90"/>
      <c r="AD157" s="90"/>
      <c r="AE157" s="90"/>
      <c r="AF157" s="90"/>
      <c r="AG157" s="90"/>
      <c r="AH157" s="90"/>
      <c r="AI157" s="90"/>
      <c r="AJ157" s="90"/>
    </row>
    <row r="158" ht="15.75" customHeight="1">
      <c r="A158" s="248"/>
      <c r="B158" s="249"/>
      <c r="C158" s="90"/>
      <c r="D158" s="252"/>
      <c r="E158" s="249"/>
      <c r="F158" s="247"/>
      <c r="G158" s="174"/>
      <c r="H158" s="174"/>
      <c r="I158" s="174"/>
      <c r="J158" s="34"/>
      <c r="K158" s="250"/>
      <c r="L158" s="250"/>
      <c r="M158" s="251"/>
      <c r="N158" s="90"/>
      <c r="O158" s="90"/>
      <c r="P158" s="90"/>
      <c r="Q158" s="90"/>
      <c r="R158" s="90"/>
      <c r="S158" s="90"/>
      <c r="T158" s="215"/>
      <c r="U158" s="90"/>
      <c r="V158" s="174"/>
      <c r="W158" s="90"/>
      <c r="X158" s="174"/>
      <c r="Y158" s="174"/>
      <c r="Z158" s="174"/>
      <c r="AA158" s="174"/>
      <c r="AB158" s="90"/>
      <c r="AC158" s="90"/>
      <c r="AD158" s="90"/>
      <c r="AE158" s="90"/>
      <c r="AF158" s="90"/>
      <c r="AG158" s="90"/>
      <c r="AH158" s="90"/>
      <c r="AI158" s="90"/>
      <c r="AJ158" s="90"/>
    </row>
    <row r="159" ht="15.75" customHeight="1">
      <c r="A159" s="248"/>
      <c r="B159" s="249"/>
      <c r="C159" s="90"/>
      <c r="D159" s="252"/>
      <c r="E159" s="249"/>
      <c r="F159" s="247"/>
      <c r="G159" s="174"/>
      <c r="H159" s="174"/>
      <c r="I159" s="174"/>
      <c r="J159" s="34"/>
      <c r="K159" s="250"/>
      <c r="L159" s="250"/>
      <c r="M159" s="251"/>
      <c r="N159" s="90"/>
      <c r="O159" s="90"/>
      <c r="P159" s="90"/>
      <c r="Q159" s="90"/>
      <c r="R159" s="90"/>
      <c r="S159" s="90"/>
      <c r="T159" s="215"/>
      <c r="U159" s="90"/>
      <c r="V159" s="174"/>
      <c r="W159" s="90"/>
      <c r="X159" s="174"/>
      <c r="Y159" s="174"/>
      <c r="Z159" s="174"/>
      <c r="AA159" s="174"/>
      <c r="AB159" s="90"/>
      <c r="AC159" s="90"/>
      <c r="AD159" s="90"/>
      <c r="AE159" s="90"/>
      <c r="AF159" s="90"/>
      <c r="AG159" s="90"/>
      <c r="AH159" s="90"/>
      <c r="AI159" s="90"/>
      <c r="AJ159" s="90"/>
    </row>
    <row r="160" ht="15.75" customHeight="1">
      <c r="A160" s="248"/>
      <c r="B160" s="249"/>
      <c r="C160" s="90"/>
      <c r="D160" s="252"/>
      <c r="E160" s="249"/>
      <c r="F160" s="247"/>
      <c r="G160" s="174"/>
      <c r="H160" s="174"/>
      <c r="I160" s="174"/>
      <c r="J160" s="34"/>
      <c r="K160" s="250"/>
      <c r="L160" s="250"/>
      <c r="M160" s="251"/>
      <c r="N160" s="90"/>
      <c r="O160" s="90"/>
      <c r="P160" s="90"/>
      <c r="Q160" s="90"/>
      <c r="R160" s="90"/>
      <c r="S160" s="90"/>
      <c r="T160" s="215"/>
      <c r="U160" s="90"/>
      <c r="V160" s="174"/>
      <c r="W160" s="90"/>
      <c r="X160" s="174"/>
      <c r="Y160" s="174"/>
      <c r="Z160" s="174"/>
      <c r="AA160" s="174"/>
      <c r="AB160" s="90"/>
      <c r="AC160" s="90"/>
      <c r="AD160" s="90"/>
      <c r="AE160" s="90"/>
      <c r="AF160" s="90"/>
      <c r="AG160" s="90"/>
      <c r="AH160" s="90"/>
      <c r="AI160" s="90"/>
      <c r="AJ160" s="90"/>
    </row>
    <row r="161" ht="15.75" customHeight="1">
      <c r="A161" s="248"/>
      <c r="B161" s="249"/>
      <c r="C161" s="90"/>
      <c r="D161" s="252"/>
      <c r="E161" s="249"/>
      <c r="F161" s="247"/>
      <c r="G161" s="174"/>
      <c r="H161" s="174"/>
      <c r="I161" s="174"/>
      <c r="J161" s="34"/>
      <c r="K161" s="250"/>
      <c r="L161" s="250"/>
      <c r="M161" s="251"/>
      <c r="N161" s="90"/>
      <c r="O161" s="90"/>
      <c r="P161" s="90"/>
      <c r="Q161" s="90"/>
      <c r="R161" s="90"/>
      <c r="S161" s="90"/>
      <c r="T161" s="215"/>
      <c r="U161" s="90"/>
      <c r="V161" s="174"/>
      <c r="W161" s="90"/>
      <c r="X161" s="174"/>
      <c r="Y161" s="174"/>
      <c r="Z161" s="174"/>
      <c r="AA161" s="174"/>
      <c r="AB161" s="90"/>
      <c r="AC161" s="90"/>
      <c r="AD161" s="90"/>
      <c r="AE161" s="90"/>
      <c r="AF161" s="90"/>
      <c r="AG161" s="90"/>
      <c r="AH161" s="90"/>
      <c r="AI161" s="90"/>
      <c r="AJ161" s="90"/>
    </row>
    <row r="162" ht="15.75" customHeight="1">
      <c r="A162" s="248"/>
      <c r="B162" s="249"/>
      <c r="C162" s="90"/>
      <c r="D162" s="252"/>
      <c r="E162" s="249"/>
      <c r="F162" s="247"/>
      <c r="G162" s="174"/>
      <c r="H162" s="174"/>
      <c r="I162" s="174"/>
      <c r="J162" s="34"/>
      <c r="K162" s="250"/>
      <c r="L162" s="250"/>
      <c r="M162" s="251"/>
      <c r="N162" s="90"/>
      <c r="O162" s="90"/>
      <c r="P162" s="90"/>
      <c r="Q162" s="90"/>
      <c r="R162" s="90"/>
      <c r="S162" s="90"/>
      <c r="T162" s="215"/>
      <c r="U162" s="90"/>
      <c r="V162" s="174"/>
      <c r="W162" s="90"/>
      <c r="X162" s="174"/>
      <c r="Y162" s="174"/>
      <c r="Z162" s="174"/>
      <c r="AA162" s="174"/>
      <c r="AB162" s="90"/>
      <c r="AC162" s="90"/>
      <c r="AD162" s="90"/>
      <c r="AE162" s="90"/>
      <c r="AF162" s="90"/>
      <c r="AG162" s="90"/>
      <c r="AH162" s="90"/>
      <c r="AI162" s="90"/>
      <c r="AJ162" s="90"/>
    </row>
    <row r="163" ht="15.75" customHeight="1">
      <c r="A163" s="248"/>
      <c r="B163" s="249"/>
      <c r="C163" s="90"/>
      <c r="D163" s="252"/>
      <c r="E163" s="249"/>
      <c r="F163" s="247"/>
      <c r="G163" s="174"/>
      <c r="H163" s="174"/>
      <c r="I163" s="174"/>
      <c r="J163" s="34"/>
      <c r="K163" s="250"/>
      <c r="L163" s="250"/>
      <c r="M163" s="251"/>
      <c r="N163" s="90"/>
      <c r="O163" s="90"/>
      <c r="P163" s="90"/>
      <c r="Q163" s="90"/>
      <c r="R163" s="90"/>
      <c r="S163" s="90"/>
      <c r="T163" s="215"/>
      <c r="U163" s="90"/>
      <c r="V163" s="174"/>
      <c r="W163" s="90"/>
      <c r="X163" s="174"/>
      <c r="Y163" s="174"/>
      <c r="Z163" s="174"/>
      <c r="AA163" s="174"/>
      <c r="AB163" s="90"/>
      <c r="AC163" s="90"/>
      <c r="AD163" s="90"/>
      <c r="AE163" s="90"/>
      <c r="AF163" s="90"/>
      <c r="AG163" s="90"/>
      <c r="AH163" s="90"/>
      <c r="AI163" s="90"/>
      <c r="AJ163" s="90"/>
    </row>
    <row r="164" ht="15.75" customHeight="1">
      <c r="A164" s="248"/>
      <c r="B164" s="249"/>
      <c r="C164" s="90"/>
      <c r="D164" s="252"/>
      <c r="E164" s="249"/>
      <c r="F164" s="247"/>
      <c r="G164" s="174"/>
      <c r="H164" s="174"/>
      <c r="I164" s="174"/>
      <c r="J164" s="34"/>
      <c r="K164" s="250"/>
      <c r="L164" s="250"/>
      <c r="M164" s="251"/>
      <c r="N164" s="90"/>
      <c r="O164" s="90"/>
      <c r="P164" s="90"/>
      <c r="Q164" s="90"/>
      <c r="R164" s="90"/>
      <c r="S164" s="90"/>
      <c r="T164" s="215"/>
      <c r="U164" s="90"/>
      <c r="V164" s="174"/>
      <c r="W164" s="90"/>
      <c r="X164" s="174"/>
      <c r="Y164" s="174"/>
      <c r="Z164" s="174"/>
      <c r="AA164" s="174"/>
      <c r="AB164" s="90"/>
      <c r="AC164" s="90"/>
      <c r="AD164" s="90"/>
      <c r="AE164" s="90"/>
      <c r="AF164" s="90"/>
      <c r="AG164" s="90"/>
      <c r="AH164" s="90"/>
      <c r="AI164" s="90"/>
      <c r="AJ164" s="90"/>
    </row>
    <row r="165" ht="15.75" customHeight="1">
      <c r="A165" s="248"/>
      <c r="B165" s="249"/>
      <c r="C165" s="90"/>
      <c r="D165" s="252"/>
      <c r="E165" s="249"/>
      <c r="F165" s="247"/>
      <c r="G165" s="174"/>
      <c r="H165" s="174"/>
      <c r="I165" s="174"/>
      <c r="J165" s="34"/>
      <c r="K165" s="250"/>
      <c r="L165" s="250"/>
      <c r="M165" s="251"/>
      <c r="N165" s="90"/>
      <c r="O165" s="90"/>
      <c r="P165" s="90"/>
      <c r="Q165" s="90"/>
      <c r="R165" s="90"/>
      <c r="S165" s="90"/>
      <c r="T165" s="215"/>
      <c r="U165" s="90"/>
      <c r="V165" s="174"/>
      <c r="W165" s="90"/>
      <c r="X165" s="174"/>
      <c r="Y165" s="174"/>
      <c r="Z165" s="174"/>
      <c r="AA165" s="174"/>
      <c r="AB165" s="90"/>
      <c r="AC165" s="90"/>
      <c r="AD165" s="90"/>
      <c r="AE165" s="90"/>
      <c r="AF165" s="90"/>
      <c r="AG165" s="90"/>
      <c r="AH165" s="90"/>
      <c r="AI165" s="90"/>
      <c r="AJ165" s="90"/>
    </row>
    <row r="166" ht="15.75" customHeight="1">
      <c r="A166" s="248"/>
      <c r="B166" s="249"/>
      <c r="C166" s="90"/>
      <c r="D166" s="252"/>
      <c r="E166" s="249"/>
      <c r="F166" s="247"/>
      <c r="G166" s="174"/>
      <c r="H166" s="174"/>
      <c r="I166" s="174"/>
      <c r="J166" s="34"/>
      <c r="K166" s="250"/>
      <c r="L166" s="250"/>
      <c r="M166" s="251"/>
      <c r="N166" s="90"/>
      <c r="O166" s="90"/>
      <c r="P166" s="90"/>
      <c r="Q166" s="90"/>
      <c r="R166" s="90"/>
      <c r="S166" s="90"/>
      <c r="T166" s="215"/>
      <c r="U166" s="90"/>
      <c r="V166" s="174"/>
      <c r="W166" s="90"/>
      <c r="X166" s="174"/>
      <c r="Y166" s="174"/>
      <c r="Z166" s="174"/>
      <c r="AA166" s="174"/>
      <c r="AB166" s="90"/>
      <c r="AC166" s="90"/>
      <c r="AD166" s="90"/>
      <c r="AE166" s="90"/>
      <c r="AF166" s="90"/>
      <c r="AG166" s="90"/>
      <c r="AH166" s="90"/>
      <c r="AI166" s="90"/>
      <c r="AJ166" s="90"/>
    </row>
    <row r="167" ht="15.75" customHeight="1">
      <c r="A167" s="248"/>
      <c r="B167" s="249"/>
      <c r="C167" s="90"/>
      <c r="D167" s="252"/>
      <c r="E167" s="249"/>
      <c r="F167" s="247"/>
      <c r="G167" s="174"/>
      <c r="H167" s="174"/>
      <c r="I167" s="174"/>
      <c r="J167" s="34"/>
      <c r="K167" s="250"/>
      <c r="L167" s="250"/>
      <c r="M167" s="251"/>
      <c r="N167" s="90"/>
      <c r="O167" s="90"/>
      <c r="P167" s="90"/>
      <c r="Q167" s="90"/>
      <c r="R167" s="90"/>
      <c r="S167" s="90"/>
      <c r="T167" s="215"/>
      <c r="U167" s="90"/>
      <c r="V167" s="174"/>
      <c r="W167" s="90"/>
      <c r="X167" s="174"/>
      <c r="Y167" s="174"/>
      <c r="Z167" s="174"/>
      <c r="AA167" s="174"/>
      <c r="AB167" s="90"/>
      <c r="AC167" s="90"/>
      <c r="AD167" s="90"/>
      <c r="AE167" s="90"/>
      <c r="AF167" s="90"/>
      <c r="AG167" s="90"/>
      <c r="AH167" s="90"/>
      <c r="AI167" s="90"/>
      <c r="AJ167" s="90"/>
    </row>
    <row r="168" ht="15.75" customHeight="1">
      <c r="A168" s="248"/>
      <c r="B168" s="249"/>
      <c r="C168" s="90"/>
      <c r="D168" s="252"/>
      <c r="E168" s="249"/>
      <c r="F168" s="247"/>
      <c r="G168" s="174"/>
      <c r="H168" s="174"/>
      <c r="I168" s="174"/>
      <c r="J168" s="34"/>
      <c r="K168" s="250"/>
      <c r="L168" s="250"/>
      <c r="M168" s="251"/>
      <c r="N168" s="90"/>
      <c r="O168" s="90"/>
      <c r="P168" s="90"/>
      <c r="Q168" s="90"/>
      <c r="R168" s="90"/>
      <c r="S168" s="90"/>
      <c r="T168" s="215"/>
      <c r="U168" s="90"/>
      <c r="V168" s="174"/>
      <c r="W168" s="90"/>
      <c r="X168" s="174"/>
      <c r="Y168" s="174"/>
      <c r="Z168" s="174"/>
      <c r="AA168" s="174"/>
      <c r="AB168" s="90"/>
      <c r="AC168" s="90"/>
      <c r="AD168" s="90"/>
      <c r="AE168" s="90"/>
      <c r="AF168" s="90"/>
      <c r="AG168" s="90"/>
      <c r="AH168" s="90"/>
      <c r="AI168" s="90"/>
      <c r="AJ168" s="90"/>
    </row>
    <row r="169" ht="15.75" customHeight="1">
      <c r="A169" s="248"/>
      <c r="B169" s="249"/>
      <c r="C169" s="90"/>
      <c r="D169" s="252"/>
      <c r="E169" s="249"/>
      <c r="F169" s="247"/>
      <c r="G169" s="174"/>
      <c r="H169" s="174"/>
      <c r="I169" s="174"/>
      <c r="J169" s="34"/>
      <c r="K169" s="250"/>
      <c r="L169" s="250"/>
      <c r="M169" s="251"/>
      <c r="N169" s="90"/>
      <c r="O169" s="90"/>
      <c r="P169" s="90"/>
      <c r="Q169" s="90"/>
      <c r="R169" s="90"/>
      <c r="S169" s="90"/>
      <c r="T169" s="215"/>
      <c r="U169" s="90"/>
      <c r="V169" s="174"/>
      <c r="W169" s="90"/>
      <c r="X169" s="174"/>
      <c r="Y169" s="174"/>
      <c r="Z169" s="174"/>
      <c r="AA169" s="174"/>
      <c r="AB169" s="90"/>
      <c r="AC169" s="90"/>
      <c r="AD169" s="90"/>
      <c r="AE169" s="90"/>
      <c r="AF169" s="90"/>
      <c r="AG169" s="90"/>
      <c r="AH169" s="90"/>
      <c r="AI169" s="90"/>
      <c r="AJ169" s="90"/>
    </row>
    <row r="170" ht="15.75" customHeight="1">
      <c r="A170" s="248"/>
      <c r="B170" s="249"/>
      <c r="C170" s="90"/>
      <c r="D170" s="252"/>
      <c r="E170" s="249"/>
      <c r="F170" s="247"/>
      <c r="G170" s="174"/>
      <c r="H170" s="174"/>
      <c r="I170" s="174"/>
      <c r="J170" s="34"/>
      <c r="K170" s="250"/>
      <c r="L170" s="250"/>
      <c r="M170" s="251"/>
      <c r="N170" s="90"/>
      <c r="O170" s="90"/>
      <c r="P170" s="90"/>
      <c r="Q170" s="90"/>
      <c r="R170" s="90"/>
      <c r="S170" s="90"/>
      <c r="T170" s="215"/>
      <c r="U170" s="90"/>
      <c r="V170" s="174"/>
      <c r="W170" s="90"/>
      <c r="X170" s="174"/>
      <c r="Y170" s="174"/>
      <c r="Z170" s="174"/>
      <c r="AA170" s="174"/>
      <c r="AB170" s="90"/>
      <c r="AC170" s="90"/>
      <c r="AD170" s="90"/>
      <c r="AE170" s="90"/>
      <c r="AF170" s="90"/>
      <c r="AG170" s="90"/>
      <c r="AH170" s="90"/>
      <c r="AI170" s="90"/>
      <c r="AJ170" s="90"/>
    </row>
    <row r="171" ht="15.75" customHeight="1">
      <c r="A171" s="248"/>
      <c r="B171" s="249"/>
      <c r="C171" s="90"/>
      <c r="D171" s="252"/>
      <c r="E171" s="249"/>
      <c r="F171" s="247"/>
      <c r="G171" s="174"/>
      <c r="H171" s="174"/>
      <c r="I171" s="174"/>
      <c r="J171" s="34"/>
      <c r="K171" s="250"/>
      <c r="L171" s="250"/>
      <c r="M171" s="251"/>
      <c r="N171" s="90"/>
      <c r="O171" s="90"/>
      <c r="P171" s="90"/>
      <c r="Q171" s="90"/>
      <c r="R171" s="90"/>
      <c r="S171" s="90"/>
      <c r="T171" s="215"/>
      <c r="U171" s="90"/>
      <c r="V171" s="174"/>
      <c r="W171" s="90"/>
      <c r="X171" s="174"/>
      <c r="Y171" s="174"/>
      <c r="Z171" s="174"/>
      <c r="AA171" s="174"/>
      <c r="AB171" s="90"/>
      <c r="AC171" s="90"/>
      <c r="AD171" s="90"/>
      <c r="AE171" s="90"/>
      <c r="AF171" s="90"/>
      <c r="AG171" s="90"/>
      <c r="AH171" s="90"/>
      <c r="AI171" s="90"/>
      <c r="AJ171" s="90"/>
    </row>
    <row r="172" ht="15.75" customHeight="1">
      <c r="A172" s="248"/>
      <c r="B172" s="249"/>
      <c r="C172" s="90"/>
      <c r="D172" s="252"/>
      <c r="E172" s="249"/>
      <c r="F172" s="247"/>
      <c r="G172" s="174"/>
      <c r="H172" s="174"/>
      <c r="I172" s="174"/>
      <c r="J172" s="34"/>
      <c r="K172" s="250"/>
      <c r="L172" s="250"/>
      <c r="M172" s="251"/>
      <c r="N172" s="90"/>
      <c r="O172" s="90"/>
      <c r="P172" s="90"/>
      <c r="Q172" s="90"/>
      <c r="R172" s="90"/>
      <c r="S172" s="90"/>
      <c r="T172" s="215"/>
      <c r="U172" s="90"/>
      <c r="V172" s="174"/>
      <c r="W172" s="90"/>
      <c r="X172" s="174"/>
      <c r="Y172" s="174"/>
      <c r="Z172" s="174"/>
      <c r="AA172" s="174"/>
      <c r="AB172" s="90"/>
      <c r="AC172" s="90"/>
      <c r="AD172" s="90"/>
      <c r="AE172" s="90"/>
      <c r="AF172" s="90"/>
      <c r="AG172" s="90"/>
      <c r="AH172" s="90"/>
      <c r="AI172" s="90"/>
      <c r="AJ172" s="90"/>
    </row>
    <row r="173" ht="15.75" customHeight="1">
      <c r="A173" s="248"/>
      <c r="B173" s="249"/>
      <c r="C173" s="90"/>
      <c r="D173" s="252"/>
      <c r="E173" s="249"/>
      <c r="F173" s="247"/>
      <c r="G173" s="174"/>
      <c r="H173" s="174"/>
      <c r="I173" s="174"/>
      <c r="J173" s="34"/>
      <c r="K173" s="250"/>
      <c r="L173" s="250"/>
      <c r="M173" s="251"/>
      <c r="N173" s="90"/>
      <c r="O173" s="90"/>
      <c r="P173" s="90"/>
      <c r="Q173" s="90"/>
      <c r="R173" s="90"/>
      <c r="S173" s="90"/>
      <c r="T173" s="215"/>
      <c r="U173" s="90"/>
      <c r="V173" s="174"/>
      <c r="W173" s="90"/>
      <c r="X173" s="174"/>
      <c r="Y173" s="174"/>
      <c r="Z173" s="174"/>
      <c r="AA173" s="174"/>
      <c r="AB173" s="90"/>
      <c r="AC173" s="90"/>
      <c r="AD173" s="90"/>
      <c r="AE173" s="90"/>
      <c r="AF173" s="90"/>
      <c r="AG173" s="90"/>
      <c r="AH173" s="90"/>
      <c r="AI173" s="90"/>
      <c r="AJ173" s="90"/>
    </row>
    <row r="174" ht="15.75" customHeight="1">
      <c r="A174" s="248"/>
      <c r="B174" s="249"/>
      <c r="C174" s="90"/>
      <c r="D174" s="252"/>
      <c r="E174" s="249"/>
      <c r="F174" s="247"/>
      <c r="G174" s="174"/>
      <c r="H174" s="174"/>
      <c r="I174" s="174"/>
      <c r="J174" s="34"/>
      <c r="K174" s="250"/>
      <c r="L174" s="250"/>
      <c r="M174" s="251"/>
      <c r="N174" s="90"/>
      <c r="O174" s="90"/>
      <c r="P174" s="90"/>
      <c r="Q174" s="90"/>
      <c r="R174" s="90"/>
      <c r="S174" s="90"/>
      <c r="T174" s="215"/>
      <c r="U174" s="90"/>
      <c r="V174" s="174"/>
      <c r="W174" s="90"/>
      <c r="X174" s="174"/>
      <c r="Y174" s="174"/>
      <c r="Z174" s="174"/>
      <c r="AA174" s="174"/>
      <c r="AB174" s="90"/>
      <c r="AC174" s="90"/>
      <c r="AD174" s="90"/>
      <c r="AE174" s="90"/>
      <c r="AF174" s="90"/>
      <c r="AG174" s="90"/>
      <c r="AH174" s="90"/>
      <c r="AI174" s="90"/>
      <c r="AJ174" s="90"/>
    </row>
    <row r="175" ht="15.75" customHeight="1">
      <c r="A175" s="248"/>
      <c r="B175" s="249"/>
      <c r="C175" s="90"/>
      <c r="D175" s="252"/>
      <c r="E175" s="249"/>
      <c r="F175" s="247"/>
      <c r="G175" s="174"/>
      <c r="H175" s="174"/>
      <c r="I175" s="174"/>
      <c r="J175" s="34"/>
      <c r="K175" s="250"/>
      <c r="L175" s="250"/>
      <c r="M175" s="251"/>
      <c r="N175" s="90"/>
      <c r="O175" s="90"/>
      <c r="P175" s="90"/>
      <c r="Q175" s="90"/>
      <c r="R175" s="90"/>
      <c r="S175" s="90"/>
      <c r="T175" s="215"/>
      <c r="U175" s="90"/>
      <c r="V175" s="174"/>
      <c r="W175" s="90"/>
      <c r="X175" s="174"/>
      <c r="Y175" s="174"/>
      <c r="Z175" s="174"/>
      <c r="AA175" s="174"/>
      <c r="AB175" s="90"/>
      <c r="AC175" s="90"/>
      <c r="AD175" s="90"/>
      <c r="AE175" s="90"/>
      <c r="AF175" s="90"/>
      <c r="AG175" s="90"/>
      <c r="AH175" s="90"/>
      <c r="AI175" s="90"/>
      <c r="AJ175" s="90"/>
    </row>
    <row r="176" ht="15.75" customHeight="1">
      <c r="A176" s="248"/>
      <c r="B176" s="249"/>
      <c r="C176" s="90"/>
      <c r="D176" s="252"/>
      <c r="E176" s="249"/>
      <c r="F176" s="247"/>
      <c r="G176" s="174"/>
      <c r="H176" s="174"/>
      <c r="I176" s="174"/>
      <c r="J176" s="34"/>
      <c r="K176" s="250"/>
      <c r="L176" s="250"/>
      <c r="M176" s="251"/>
      <c r="N176" s="90"/>
      <c r="O176" s="90"/>
      <c r="P176" s="90"/>
      <c r="Q176" s="90"/>
      <c r="R176" s="90"/>
      <c r="S176" s="90"/>
      <c r="T176" s="215"/>
      <c r="U176" s="90"/>
      <c r="V176" s="174"/>
      <c r="W176" s="90"/>
      <c r="X176" s="174"/>
      <c r="Y176" s="174"/>
      <c r="Z176" s="174"/>
      <c r="AA176" s="174"/>
      <c r="AB176" s="90"/>
      <c r="AC176" s="90"/>
      <c r="AD176" s="90"/>
      <c r="AE176" s="90"/>
      <c r="AF176" s="90"/>
      <c r="AG176" s="90"/>
      <c r="AH176" s="90"/>
      <c r="AI176" s="90"/>
      <c r="AJ176" s="90"/>
    </row>
    <row r="177" ht="15.75" customHeight="1">
      <c r="A177" s="248"/>
      <c r="B177" s="249"/>
      <c r="C177" s="90"/>
      <c r="D177" s="252"/>
      <c r="E177" s="249"/>
      <c r="F177" s="247"/>
      <c r="G177" s="174"/>
      <c r="H177" s="174"/>
      <c r="I177" s="174"/>
      <c r="J177" s="34"/>
      <c r="K177" s="250"/>
      <c r="L177" s="250"/>
      <c r="M177" s="251"/>
      <c r="N177" s="90"/>
      <c r="O177" s="90"/>
      <c r="P177" s="90"/>
      <c r="Q177" s="90"/>
      <c r="R177" s="90"/>
      <c r="S177" s="90"/>
      <c r="T177" s="215"/>
      <c r="U177" s="90"/>
      <c r="V177" s="174"/>
      <c r="W177" s="90"/>
      <c r="X177" s="174"/>
      <c r="Y177" s="174"/>
      <c r="Z177" s="174"/>
      <c r="AA177" s="174"/>
      <c r="AB177" s="90"/>
      <c r="AC177" s="90"/>
      <c r="AD177" s="90"/>
      <c r="AE177" s="90"/>
      <c r="AF177" s="90"/>
      <c r="AG177" s="90"/>
      <c r="AH177" s="90"/>
      <c r="AI177" s="90"/>
      <c r="AJ177" s="90"/>
    </row>
    <row r="178" ht="15.75" customHeight="1">
      <c r="A178" s="248"/>
      <c r="B178" s="249"/>
      <c r="C178" s="90"/>
      <c r="D178" s="252"/>
      <c r="E178" s="249"/>
      <c r="F178" s="247"/>
      <c r="G178" s="174"/>
      <c r="H178" s="174"/>
      <c r="I178" s="174"/>
      <c r="J178" s="34"/>
      <c r="K178" s="250"/>
      <c r="L178" s="250"/>
      <c r="M178" s="251"/>
      <c r="N178" s="90"/>
      <c r="O178" s="90"/>
      <c r="P178" s="90"/>
      <c r="Q178" s="90"/>
      <c r="R178" s="90"/>
      <c r="S178" s="90"/>
      <c r="T178" s="215"/>
      <c r="U178" s="90"/>
      <c r="V178" s="174"/>
      <c r="W178" s="90"/>
      <c r="X178" s="174"/>
      <c r="Y178" s="174"/>
      <c r="Z178" s="174"/>
      <c r="AA178" s="174"/>
      <c r="AB178" s="90"/>
      <c r="AC178" s="90"/>
      <c r="AD178" s="90"/>
      <c r="AE178" s="90"/>
      <c r="AF178" s="90"/>
      <c r="AG178" s="90"/>
      <c r="AH178" s="90"/>
      <c r="AI178" s="90"/>
      <c r="AJ178" s="90"/>
    </row>
    <row r="179" ht="15.75" customHeight="1">
      <c r="A179" s="248"/>
      <c r="B179" s="249"/>
      <c r="C179" s="90"/>
      <c r="D179" s="252"/>
      <c r="E179" s="249"/>
      <c r="F179" s="247"/>
      <c r="G179" s="174"/>
      <c r="H179" s="174"/>
      <c r="I179" s="174"/>
      <c r="J179" s="34"/>
      <c r="K179" s="250"/>
      <c r="L179" s="250"/>
      <c r="M179" s="251"/>
      <c r="N179" s="90"/>
      <c r="O179" s="90"/>
      <c r="P179" s="90"/>
      <c r="Q179" s="90"/>
      <c r="R179" s="90"/>
      <c r="S179" s="90"/>
      <c r="T179" s="215"/>
      <c r="U179" s="90"/>
      <c r="V179" s="174"/>
      <c r="W179" s="90"/>
      <c r="X179" s="174"/>
      <c r="Y179" s="174"/>
      <c r="Z179" s="174"/>
      <c r="AA179" s="174"/>
      <c r="AB179" s="90"/>
      <c r="AC179" s="90"/>
      <c r="AD179" s="90"/>
      <c r="AE179" s="90"/>
      <c r="AF179" s="90"/>
      <c r="AG179" s="90"/>
      <c r="AH179" s="90"/>
      <c r="AI179" s="90"/>
      <c r="AJ179" s="90"/>
    </row>
    <row r="180" ht="15.75" customHeight="1">
      <c r="A180" s="248"/>
      <c r="B180" s="249"/>
      <c r="C180" s="90"/>
      <c r="D180" s="252"/>
      <c r="E180" s="249"/>
      <c r="F180" s="247"/>
      <c r="G180" s="174"/>
      <c r="H180" s="174"/>
      <c r="I180" s="174"/>
      <c r="J180" s="34"/>
      <c r="K180" s="250"/>
      <c r="L180" s="250"/>
      <c r="M180" s="251"/>
      <c r="N180" s="90"/>
      <c r="O180" s="90"/>
      <c r="P180" s="90"/>
      <c r="Q180" s="90"/>
      <c r="R180" s="90"/>
      <c r="S180" s="90"/>
      <c r="T180" s="215"/>
      <c r="U180" s="90"/>
      <c r="V180" s="174"/>
      <c r="W180" s="90"/>
      <c r="X180" s="174"/>
      <c r="Y180" s="174"/>
      <c r="Z180" s="174"/>
      <c r="AA180" s="174"/>
      <c r="AB180" s="90"/>
      <c r="AC180" s="90"/>
      <c r="AD180" s="90"/>
      <c r="AE180" s="90"/>
      <c r="AF180" s="90"/>
      <c r="AG180" s="90"/>
      <c r="AH180" s="90"/>
      <c r="AI180" s="90"/>
      <c r="AJ180" s="90"/>
    </row>
    <row r="181" ht="15.75" customHeight="1">
      <c r="A181" s="248"/>
      <c r="B181" s="249"/>
      <c r="C181" s="90"/>
      <c r="D181" s="252"/>
      <c r="E181" s="249"/>
      <c r="F181" s="247"/>
      <c r="G181" s="174"/>
      <c r="H181" s="174"/>
      <c r="I181" s="174"/>
      <c r="J181" s="34"/>
      <c r="K181" s="250"/>
      <c r="L181" s="250"/>
      <c r="M181" s="251"/>
      <c r="N181" s="90"/>
      <c r="O181" s="90"/>
      <c r="P181" s="90"/>
      <c r="Q181" s="90"/>
      <c r="R181" s="90"/>
      <c r="S181" s="90"/>
      <c r="T181" s="215"/>
      <c r="U181" s="90"/>
      <c r="V181" s="174"/>
      <c r="W181" s="90"/>
      <c r="X181" s="174"/>
      <c r="Y181" s="174"/>
      <c r="Z181" s="174"/>
      <c r="AA181" s="174"/>
      <c r="AB181" s="90"/>
      <c r="AC181" s="90"/>
      <c r="AD181" s="90"/>
      <c r="AE181" s="90"/>
      <c r="AF181" s="90"/>
      <c r="AG181" s="90"/>
      <c r="AH181" s="90"/>
      <c r="AI181" s="90"/>
      <c r="AJ181" s="90"/>
    </row>
    <row r="182" ht="15.75" customHeight="1">
      <c r="A182" s="248"/>
      <c r="B182" s="249"/>
      <c r="C182" s="90"/>
      <c r="D182" s="252"/>
      <c r="E182" s="249"/>
      <c r="F182" s="247"/>
      <c r="G182" s="174"/>
      <c r="H182" s="174"/>
      <c r="I182" s="174"/>
      <c r="J182" s="34"/>
      <c r="K182" s="250"/>
      <c r="L182" s="250"/>
      <c r="M182" s="251"/>
      <c r="N182" s="90"/>
      <c r="O182" s="90"/>
      <c r="P182" s="90"/>
      <c r="Q182" s="90"/>
      <c r="R182" s="90"/>
      <c r="S182" s="90"/>
      <c r="T182" s="215"/>
      <c r="U182" s="90"/>
      <c r="V182" s="174"/>
      <c r="W182" s="90"/>
      <c r="X182" s="174"/>
      <c r="Y182" s="174"/>
      <c r="Z182" s="174"/>
      <c r="AA182" s="174"/>
      <c r="AB182" s="90"/>
      <c r="AC182" s="90"/>
      <c r="AD182" s="90"/>
      <c r="AE182" s="90"/>
      <c r="AF182" s="90"/>
      <c r="AG182" s="90"/>
      <c r="AH182" s="90"/>
      <c r="AI182" s="90"/>
      <c r="AJ182" s="90"/>
    </row>
    <row r="183" ht="15.75" customHeight="1">
      <c r="A183" s="248"/>
      <c r="B183" s="249"/>
      <c r="C183" s="90"/>
      <c r="D183" s="252"/>
      <c r="E183" s="249"/>
      <c r="F183" s="247"/>
      <c r="G183" s="174"/>
      <c r="H183" s="174"/>
      <c r="I183" s="174"/>
      <c r="J183" s="34"/>
      <c r="K183" s="250"/>
      <c r="L183" s="250"/>
      <c r="M183" s="251"/>
      <c r="N183" s="90"/>
      <c r="O183" s="90"/>
      <c r="P183" s="90"/>
      <c r="Q183" s="90"/>
      <c r="R183" s="90"/>
      <c r="S183" s="90"/>
      <c r="T183" s="215"/>
      <c r="U183" s="90"/>
      <c r="V183" s="174"/>
      <c r="W183" s="90"/>
      <c r="X183" s="174"/>
      <c r="Y183" s="174"/>
      <c r="Z183" s="174"/>
      <c r="AA183" s="174"/>
      <c r="AB183" s="90"/>
      <c r="AC183" s="90"/>
      <c r="AD183" s="90"/>
      <c r="AE183" s="90"/>
      <c r="AF183" s="90"/>
      <c r="AG183" s="90"/>
      <c r="AH183" s="90"/>
      <c r="AI183" s="90"/>
      <c r="AJ183" s="90"/>
    </row>
    <row r="184" ht="15.75" customHeight="1">
      <c r="A184" s="248"/>
      <c r="B184" s="249"/>
      <c r="C184" s="90"/>
      <c r="D184" s="252"/>
      <c r="E184" s="249"/>
      <c r="F184" s="247"/>
      <c r="G184" s="174"/>
      <c r="H184" s="174"/>
      <c r="I184" s="174"/>
      <c r="J184" s="34"/>
      <c r="K184" s="250"/>
      <c r="L184" s="250"/>
      <c r="M184" s="251"/>
      <c r="N184" s="90"/>
      <c r="O184" s="90"/>
      <c r="P184" s="90"/>
      <c r="Q184" s="90"/>
      <c r="R184" s="90"/>
      <c r="S184" s="90"/>
      <c r="T184" s="215"/>
      <c r="U184" s="90"/>
      <c r="V184" s="174"/>
      <c r="W184" s="90"/>
      <c r="X184" s="174"/>
      <c r="Y184" s="174"/>
      <c r="Z184" s="174"/>
      <c r="AA184" s="174"/>
      <c r="AB184" s="90"/>
      <c r="AC184" s="90"/>
      <c r="AD184" s="90"/>
      <c r="AE184" s="90"/>
      <c r="AF184" s="90"/>
      <c r="AG184" s="90"/>
      <c r="AH184" s="90"/>
      <c r="AI184" s="90"/>
      <c r="AJ184" s="90"/>
    </row>
    <row r="185" ht="15.75" customHeight="1">
      <c r="A185" s="248"/>
      <c r="B185" s="249"/>
      <c r="C185" s="90"/>
      <c r="D185" s="252"/>
      <c r="E185" s="249"/>
      <c r="F185" s="247"/>
      <c r="G185" s="174"/>
      <c r="H185" s="174"/>
      <c r="I185" s="174"/>
      <c r="J185" s="34"/>
      <c r="K185" s="250"/>
      <c r="L185" s="250"/>
      <c r="M185" s="251"/>
      <c r="N185" s="90"/>
      <c r="O185" s="90"/>
      <c r="P185" s="90"/>
      <c r="Q185" s="90"/>
      <c r="R185" s="90"/>
      <c r="S185" s="90"/>
      <c r="T185" s="215"/>
      <c r="U185" s="90"/>
      <c r="V185" s="174"/>
      <c r="W185" s="90"/>
      <c r="X185" s="174"/>
      <c r="Y185" s="174"/>
      <c r="Z185" s="174"/>
      <c r="AA185" s="174"/>
      <c r="AB185" s="90"/>
      <c r="AC185" s="90"/>
      <c r="AD185" s="90"/>
      <c r="AE185" s="90"/>
      <c r="AF185" s="90"/>
      <c r="AG185" s="90"/>
      <c r="AH185" s="90"/>
      <c r="AI185" s="90"/>
      <c r="AJ185" s="90"/>
    </row>
    <row r="186" ht="15.75" customHeight="1">
      <c r="A186" s="248"/>
      <c r="B186" s="249"/>
      <c r="C186" s="90"/>
      <c r="D186" s="252"/>
      <c r="E186" s="249"/>
      <c r="F186" s="247"/>
      <c r="G186" s="174"/>
      <c r="H186" s="174"/>
      <c r="I186" s="174"/>
      <c r="J186" s="34"/>
      <c r="K186" s="250"/>
      <c r="L186" s="250"/>
      <c r="M186" s="251"/>
      <c r="N186" s="90"/>
      <c r="O186" s="90"/>
      <c r="P186" s="90"/>
      <c r="Q186" s="90"/>
      <c r="R186" s="90"/>
      <c r="S186" s="90"/>
      <c r="T186" s="215"/>
      <c r="U186" s="90"/>
      <c r="V186" s="174"/>
      <c r="W186" s="90"/>
      <c r="X186" s="174"/>
      <c r="Y186" s="174"/>
      <c r="Z186" s="174"/>
      <c r="AA186" s="174"/>
      <c r="AB186" s="90"/>
      <c r="AC186" s="90"/>
      <c r="AD186" s="90"/>
      <c r="AE186" s="90"/>
      <c r="AF186" s="90"/>
      <c r="AG186" s="90"/>
      <c r="AH186" s="90"/>
      <c r="AI186" s="90"/>
      <c r="AJ186" s="90"/>
    </row>
    <row r="187" ht="15.75" customHeight="1">
      <c r="A187" s="248"/>
      <c r="B187" s="249"/>
      <c r="C187" s="90"/>
      <c r="D187" s="252"/>
      <c r="E187" s="249"/>
      <c r="F187" s="247"/>
      <c r="G187" s="174"/>
      <c r="H187" s="174"/>
      <c r="I187" s="174"/>
      <c r="J187" s="34"/>
      <c r="K187" s="250"/>
      <c r="L187" s="250"/>
      <c r="M187" s="251"/>
      <c r="N187" s="90"/>
      <c r="O187" s="90"/>
      <c r="P187" s="90"/>
      <c r="Q187" s="90"/>
      <c r="R187" s="90"/>
      <c r="S187" s="90"/>
      <c r="T187" s="215"/>
      <c r="U187" s="90"/>
      <c r="V187" s="174"/>
      <c r="W187" s="90"/>
      <c r="X187" s="174"/>
      <c r="Y187" s="174"/>
      <c r="Z187" s="174"/>
      <c r="AA187" s="174"/>
      <c r="AB187" s="90"/>
      <c r="AC187" s="90"/>
      <c r="AD187" s="90"/>
      <c r="AE187" s="90"/>
      <c r="AF187" s="90"/>
      <c r="AG187" s="90"/>
      <c r="AH187" s="90"/>
      <c r="AI187" s="90"/>
      <c r="AJ187" s="90"/>
    </row>
    <row r="188" ht="15.75" customHeight="1">
      <c r="A188" s="248"/>
      <c r="B188" s="249"/>
      <c r="C188" s="90"/>
      <c r="D188" s="252"/>
      <c r="E188" s="249"/>
      <c r="F188" s="247"/>
      <c r="G188" s="174"/>
      <c r="H188" s="174"/>
      <c r="I188" s="174"/>
      <c r="J188" s="34"/>
      <c r="K188" s="250"/>
      <c r="L188" s="250"/>
      <c r="M188" s="251"/>
      <c r="N188" s="90"/>
      <c r="O188" s="90"/>
      <c r="P188" s="90"/>
      <c r="Q188" s="90"/>
      <c r="R188" s="90"/>
      <c r="S188" s="90"/>
      <c r="T188" s="215"/>
      <c r="U188" s="90"/>
      <c r="V188" s="174"/>
      <c r="W188" s="90"/>
      <c r="X188" s="174"/>
      <c r="Y188" s="174"/>
      <c r="Z188" s="174"/>
      <c r="AA188" s="174"/>
      <c r="AB188" s="90"/>
      <c r="AC188" s="90"/>
      <c r="AD188" s="90"/>
      <c r="AE188" s="90"/>
      <c r="AF188" s="90"/>
      <c r="AG188" s="90"/>
      <c r="AH188" s="90"/>
      <c r="AI188" s="90"/>
      <c r="AJ188" s="90"/>
    </row>
    <row r="189" ht="15.75" customHeight="1">
      <c r="A189" s="248"/>
      <c r="B189" s="249"/>
      <c r="C189" s="90"/>
      <c r="D189" s="252"/>
      <c r="E189" s="249"/>
      <c r="F189" s="247"/>
      <c r="G189" s="174"/>
      <c r="H189" s="174"/>
      <c r="I189" s="174"/>
      <c r="J189" s="34"/>
      <c r="K189" s="250"/>
      <c r="L189" s="250"/>
      <c r="M189" s="251"/>
      <c r="N189" s="90"/>
      <c r="O189" s="90"/>
      <c r="P189" s="90"/>
      <c r="Q189" s="90"/>
      <c r="R189" s="90"/>
      <c r="S189" s="90"/>
      <c r="T189" s="215"/>
      <c r="U189" s="90"/>
      <c r="V189" s="174"/>
      <c r="W189" s="90"/>
      <c r="X189" s="174"/>
      <c r="Y189" s="174"/>
      <c r="Z189" s="174"/>
      <c r="AA189" s="174"/>
      <c r="AB189" s="90"/>
      <c r="AC189" s="90"/>
      <c r="AD189" s="90"/>
      <c r="AE189" s="90"/>
      <c r="AF189" s="90"/>
      <c r="AG189" s="90"/>
      <c r="AH189" s="90"/>
      <c r="AI189" s="90"/>
      <c r="AJ189" s="90"/>
    </row>
    <row r="190" ht="15.75" customHeight="1">
      <c r="A190" s="248"/>
      <c r="B190" s="249"/>
      <c r="C190" s="90"/>
      <c r="D190" s="252"/>
      <c r="E190" s="249"/>
      <c r="F190" s="247"/>
      <c r="G190" s="174"/>
      <c r="H190" s="174"/>
      <c r="I190" s="174"/>
      <c r="J190" s="34"/>
      <c r="K190" s="250"/>
      <c r="L190" s="250"/>
      <c r="M190" s="251"/>
      <c r="N190" s="90"/>
      <c r="O190" s="90"/>
      <c r="P190" s="90"/>
      <c r="Q190" s="90"/>
      <c r="R190" s="90"/>
      <c r="S190" s="90"/>
      <c r="T190" s="215"/>
      <c r="U190" s="90"/>
      <c r="V190" s="174"/>
      <c r="W190" s="90"/>
      <c r="X190" s="174"/>
      <c r="Y190" s="174"/>
      <c r="Z190" s="174"/>
      <c r="AA190" s="174"/>
      <c r="AB190" s="90"/>
      <c r="AC190" s="90"/>
      <c r="AD190" s="90"/>
      <c r="AE190" s="90"/>
      <c r="AF190" s="90"/>
      <c r="AG190" s="90"/>
      <c r="AH190" s="90"/>
      <c r="AI190" s="90"/>
      <c r="AJ190" s="90"/>
    </row>
    <row r="191" ht="15.75" customHeight="1">
      <c r="A191" s="248"/>
      <c r="B191" s="249"/>
      <c r="C191" s="90"/>
      <c r="D191" s="252"/>
      <c r="E191" s="249"/>
      <c r="F191" s="247"/>
      <c r="G191" s="174"/>
      <c r="H191" s="174"/>
      <c r="I191" s="174"/>
      <c r="J191" s="34"/>
      <c r="K191" s="250"/>
      <c r="L191" s="250"/>
      <c r="M191" s="251"/>
      <c r="N191" s="90"/>
      <c r="O191" s="90"/>
      <c r="P191" s="90"/>
      <c r="Q191" s="90"/>
      <c r="R191" s="90"/>
      <c r="S191" s="90"/>
      <c r="T191" s="215"/>
      <c r="U191" s="90"/>
      <c r="V191" s="174"/>
      <c r="W191" s="90"/>
      <c r="X191" s="174"/>
      <c r="Y191" s="174"/>
      <c r="Z191" s="174"/>
      <c r="AA191" s="174"/>
      <c r="AB191" s="90"/>
      <c r="AC191" s="90"/>
      <c r="AD191" s="90"/>
      <c r="AE191" s="90"/>
      <c r="AF191" s="90"/>
      <c r="AG191" s="90"/>
      <c r="AH191" s="90"/>
      <c r="AI191" s="90"/>
      <c r="AJ191" s="90"/>
    </row>
    <row r="192" ht="15.75" customHeight="1">
      <c r="A192" s="248"/>
      <c r="B192" s="249"/>
      <c r="C192" s="90"/>
      <c r="D192" s="252"/>
      <c r="E192" s="249"/>
      <c r="F192" s="247"/>
      <c r="G192" s="174"/>
      <c r="H192" s="174"/>
      <c r="I192" s="174"/>
      <c r="J192" s="34"/>
      <c r="K192" s="250"/>
      <c r="L192" s="250"/>
      <c r="M192" s="251"/>
      <c r="N192" s="90"/>
      <c r="O192" s="90"/>
      <c r="P192" s="90"/>
      <c r="Q192" s="90"/>
      <c r="R192" s="90"/>
      <c r="S192" s="90"/>
      <c r="T192" s="215"/>
      <c r="U192" s="90"/>
      <c r="V192" s="174"/>
      <c r="W192" s="90"/>
      <c r="X192" s="174"/>
      <c r="Y192" s="174"/>
      <c r="Z192" s="174"/>
      <c r="AA192" s="174"/>
      <c r="AB192" s="90"/>
      <c r="AC192" s="90"/>
      <c r="AD192" s="90"/>
      <c r="AE192" s="90"/>
      <c r="AF192" s="90"/>
      <c r="AG192" s="90"/>
      <c r="AH192" s="90"/>
      <c r="AI192" s="90"/>
      <c r="AJ192" s="90"/>
    </row>
    <row r="193" ht="15.75" customHeight="1">
      <c r="A193" s="248"/>
      <c r="B193" s="249"/>
      <c r="C193" s="90"/>
      <c r="D193" s="248"/>
      <c r="E193" s="249"/>
      <c r="F193" s="247"/>
      <c r="G193" s="174"/>
      <c r="H193" s="174"/>
      <c r="I193" s="174"/>
      <c r="J193" s="34"/>
      <c r="K193" s="250"/>
      <c r="L193" s="250"/>
      <c r="M193" s="251"/>
      <c r="N193" s="90"/>
      <c r="O193" s="90"/>
      <c r="P193" s="90"/>
      <c r="Q193" s="90"/>
      <c r="R193" s="90"/>
      <c r="S193" s="90"/>
      <c r="T193" s="215"/>
      <c r="U193" s="90"/>
      <c r="V193" s="174"/>
      <c r="W193" s="90"/>
      <c r="X193" s="174"/>
      <c r="Y193" s="174"/>
      <c r="Z193" s="174"/>
      <c r="AA193" s="174"/>
      <c r="AB193" s="90"/>
      <c r="AC193" s="90"/>
      <c r="AD193" s="90"/>
      <c r="AE193" s="90"/>
      <c r="AF193" s="90"/>
      <c r="AG193" s="90"/>
      <c r="AH193" s="90"/>
      <c r="AI193" s="90"/>
      <c r="AJ193" s="90"/>
    </row>
    <row r="194" ht="15.75" customHeight="1">
      <c r="A194" s="248"/>
      <c r="B194" s="249"/>
      <c r="C194" s="90"/>
      <c r="D194" s="248"/>
      <c r="E194" s="249"/>
      <c r="F194" s="247"/>
      <c r="G194" s="174"/>
      <c r="H194" s="174"/>
      <c r="I194" s="174"/>
      <c r="J194" s="34"/>
      <c r="K194" s="250"/>
      <c r="L194" s="250"/>
      <c r="M194" s="251"/>
      <c r="N194" s="90"/>
      <c r="O194" s="90"/>
      <c r="P194" s="90"/>
      <c r="Q194" s="90"/>
      <c r="R194" s="90"/>
      <c r="S194" s="90"/>
      <c r="T194" s="215"/>
      <c r="U194" s="90"/>
      <c r="V194" s="174"/>
      <c r="W194" s="90"/>
      <c r="X194" s="174"/>
      <c r="Y194" s="174"/>
      <c r="Z194" s="174"/>
      <c r="AA194" s="174"/>
      <c r="AB194" s="90"/>
      <c r="AC194" s="90"/>
      <c r="AD194" s="90"/>
      <c r="AE194" s="90"/>
      <c r="AF194" s="90"/>
      <c r="AG194" s="90"/>
      <c r="AH194" s="90"/>
      <c r="AI194" s="90"/>
      <c r="AJ194" s="90"/>
    </row>
    <row r="195" ht="15.75" customHeight="1">
      <c r="A195" s="248"/>
      <c r="B195" s="249"/>
      <c r="C195" s="90"/>
      <c r="D195" s="248"/>
      <c r="E195" s="249"/>
      <c r="F195" s="247"/>
      <c r="G195" s="174"/>
      <c r="H195" s="174"/>
      <c r="I195" s="174"/>
      <c r="J195" s="34"/>
      <c r="K195" s="250"/>
      <c r="L195" s="250"/>
      <c r="M195" s="251"/>
      <c r="N195" s="90"/>
      <c r="O195" s="90"/>
      <c r="P195" s="90"/>
      <c r="Q195" s="90"/>
      <c r="R195" s="90"/>
      <c r="S195" s="90"/>
      <c r="T195" s="215"/>
      <c r="U195" s="90"/>
      <c r="V195" s="174"/>
      <c r="W195" s="90"/>
      <c r="X195" s="174"/>
      <c r="Y195" s="174"/>
      <c r="Z195" s="174"/>
      <c r="AA195" s="174"/>
      <c r="AB195" s="90"/>
      <c r="AC195" s="90"/>
      <c r="AD195" s="90"/>
      <c r="AE195" s="90"/>
      <c r="AF195" s="90"/>
      <c r="AG195" s="90"/>
      <c r="AH195" s="90"/>
      <c r="AI195" s="90"/>
      <c r="AJ195" s="90"/>
    </row>
    <row r="196" ht="15.75" customHeight="1">
      <c r="A196" s="248"/>
      <c r="B196" s="249"/>
      <c r="C196" s="90"/>
      <c r="D196" s="248"/>
      <c r="E196" s="249"/>
      <c r="F196" s="247"/>
      <c r="G196" s="174"/>
      <c r="H196" s="174"/>
      <c r="I196" s="174"/>
      <c r="J196" s="34"/>
      <c r="K196" s="250"/>
      <c r="L196" s="250"/>
      <c r="M196" s="251"/>
      <c r="N196" s="90"/>
      <c r="O196" s="90"/>
      <c r="P196" s="90"/>
      <c r="Q196" s="90"/>
      <c r="R196" s="90"/>
      <c r="S196" s="90"/>
      <c r="T196" s="215"/>
      <c r="U196" s="90"/>
      <c r="V196" s="174"/>
      <c r="W196" s="90"/>
      <c r="X196" s="174"/>
      <c r="Y196" s="174"/>
      <c r="Z196" s="174"/>
      <c r="AA196" s="174"/>
      <c r="AB196" s="90"/>
      <c r="AC196" s="90"/>
      <c r="AD196" s="90"/>
      <c r="AE196" s="90"/>
      <c r="AF196" s="90"/>
      <c r="AG196" s="90"/>
      <c r="AH196" s="90"/>
      <c r="AI196" s="90"/>
      <c r="AJ196" s="90"/>
    </row>
    <row r="197" ht="15.75" customHeight="1">
      <c r="A197" s="248"/>
      <c r="B197" s="249"/>
      <c r="C197" s="90"/>
      <c r="D197" s="248"/>
      <c r="E197" s="249"/>
      <c r="F197" s="247"/>
      <c r="G197" s="174"/>
      <c r="H197" s="174"/>
      <c r="I197" s="174"/>
      <c r="J197" s="34"/>
      <c r="K197" s="250"/>
      <c r="L197" s="250"/>
      <c r="M197" s="251"/>
      <c r="N197" s="90"/>
      <c r="O197" s="90"/>
      <c r="P197" s="90"/>
      <c r="Q197" s="90"/>
      <c r="R197" s="90"/>
      <c r="S197" s="90"/>
      <c r="T197" s="215"/>
      <c r="U197" s="90"/>
      <c r="V197" s="174"/>
      <c r="W197" s="90"/>
      <c r="X197" s="174"/>
      <c r="Y197" s="174"/>
      <c r="Z197" s="174"/>
      <c r="AA197" s="174"/>
      <c r="AB197" s="90"/>
      <c r="AC197" s="90"/>
      <c r="AD197" s="90"/>
      <c r="AE197" s="90"/>
      <c r="AF197" s="90"/>
      <c r="AG197" s="90"/>
      <c r="AH197" s="90"/>
      <c r="AI197" s="90"/>
      <c r="AJ197" s="90"/>
    </row>
    <row r="198" ht="15.75" customHeight="1">
      <c r="A198" s="248"/>
      <c r="B198" s="249"/>
      <c r="C198" s="90"/>
      <c r="D198" s="231"/>
      <c r="E198" s="249"/>
      <c r="F198" s="247"/>
      <c r="G198" s="174"/>
      <c r="H198" s="174"/>
      <c r="I198" s="174"/>
      <c r="J198" s="34"/>
      <c r="K198" s="250"/>
      <c r="L198" s="250"/>
      <c r="M198" s="251"/>
      <c r="N198" s="90"/>
      <c r="O198" s="90"/>
      <c r="P198" s="90"/>
      <c r="Q198" s="90"/>
      <c r="R198" s="90"/>
      <c r="S198" s="90"/>
      <c r="T198" s="215"/>
      <c r="U198" s="90"/>
      <c r="V198" s="174"/>
      <c r="W198" s="90"/>
      <c r="X198" s="174"/>
      <c r="Y198" s="174"/>
      <c r="Z198" s="174"/>
      <c r="AA198" s="174"/>
      <c r="AB198" s="90"/>
      <c r="AC198" s="90"/>
      <c r="AD198" s="90"/>
      <c r="AE198" s="90"/>
      <c r="AF198" s="90"/>
      <c r="AG198" s="90"/>
      <c r="AH198" s="90"/>
      <c r="AI198" s="90"/>
      <c r="AJ198" s="90"/>
    </row>
    <row r="199" ht="15.75" customHeight="1">
      <c r="A199" s="248"/>
      <c r="B199" s="249"/>
      <c r="C199" s="90"/>
      <c r="D199" s="231"/>
      <c r="E199" s="249"/>
      <c r="F199" s="247"/>
      <c r="G199" s="174"/>
      <c r="H199" s="174"/>
      <c r="I199" s="174"/>
      <c r="J199" s="34"/>
      <c r="K199" s="250"/>
      <c r="L199" s="250"/>
      <c r="M199" s="251"/>
      <c r="N199" s="90"/>
      <c r="O199" s="90"/>
      <c r="P199" s="90"/>
      <c r="Q199" s="90"/>
      <c r="R199" s="90"/>
      <c r="S199" s="90"/>
      <c r="T199" s="215"/>
      <c r="U199" s="90"/>
      <c r="V199" s="174"/>
      <c r="W199" s="90"/>
      <c r="X199" s="174"/>
      <c r="Y199" s="174"/>
      <c r="Z199" s="174"/>
      <c r="AA199" s="174"/>
      <c r="AB199" s="90"/>
      <c r="AC199" s="90"/>
      <c r="AD199" s="90"/>
      <c r="AE199" s="90"/>
      <c r="AF199" s="90"/>
      <c r="AG199" s="90"/>
      <c r="AH199" s="90"/>
      <c r="AI199" s="90"/>
      <c r="AJ199" s="90"/>
    </row>
    <row r="200" ht="15.75" customHeight="1">
      <c r="A200" s="248"/>
      <c r="B200" s="249"/>
      <c r="C200" s="90"/>
      <c r="D200" s="248"/>
      <c r="E200" s="249"/>
      <c r="F200" s="247"/>
      <c r="G200" s="174"/>
      <c r="H200" s="174"/>
      <c r="I200" s="174"/>
      <c r="J200" s="34"/>
      <c r="K200" s="250"/>
      <c r="L200" s="250"/>
      <c r="M200" s="251"/>
      <c r="N200" s="90"/>
      <c r="O200" s="90"/>
      <c r="P200" s="90"/>
      <c r="Q200" s="90"/>
      <c r="R200" s="90"/>
      <c r="S200" s="90"/>
      <c r="T200" s="215"/>
      <c r="U200" s="90"/>
      <c r="V200" s="174"/>
      <c r="W200" s="90"/>
      <c r="X200" s="174"/>
      <c r="Y200" s="174"/>
      <c r="Z200" s="174"/>
      <c r="AA200" s="174"/>
      <c r="AB200" s="90"/>
      <c r="AC200" s="90"/>
      <c r="AD200" s="90"/>
      <c r="AE200" s="90"/>
      <c r="AF200" s="90"/>
      <c r="AG200" s="90"/>
      <c r="AH200" s="90"/>
      <c r="AI200" s="90"/>
      <c r="AJ200" s="90"/>
    </row>
    <row r="201" ht="15.75" customHeight="1">
      <c r="A201" s="248"/>
      <c r="B201" s="249"/>
      <c r="C201" s="90"/>
      <c r="D201" s="252"/>
      <c r="E201" s="249"/>
      <c r="F201" s="247"/>
      <c r="G201" s="174"/>
      <c r="H201" s="174"/>
      <c r="I201" s="174"/>
      <c r="J201" s="34"/>
      <c r="K201" s="250"/>
      <c r="L201" s="250"/>
      <c r="M201" s="251"/>
      <c r="N201" s="90"/>
      <c r="O201" s="90"/>
      <c r="P201" s="90"/>
      <c r="Q201" s="90"/>
      <c r="R201" s="90"/>
      <c r="S201" s="90"/>
      <c r="T201" s="215"/>
      <c r="U201" s="90"/>
      <c r="V201" s="174"/>
      <c r="W201" s="90"/>
      <c r="X201" s="174"/>
      <c r="Y201" s="174"/>
      <c r="Z201" s="174"/>
      <c r="AA201" s="174"/>
      <c r="AB201" s="90"/>
      <c r="AC201" s="90"/>
      <c r="AD201" s="90"/>
      <c r="AE201" s="90"/>
      <c r="AF201" s="90"/>
      <c r="AG201" s="90"/>
      <c r="AH201" s="90"/>
      <c r="AI201" s="90"/>
      <c r="AJ201" s="90"/>
    </row>
    <row r="202" ht="15.75" customHeight="1">
      <c r="A202" s="248"/>
      <c r="B202" s="249"/>
      <c r="C202" s="90"/>
      <c r="D202" s="252"/>
      <c r="E202" s="249"/>
      <c r="F202" s="247"/>
      <c r="G202" s="174"/>
      <c r="H202" s="174"/>
      <c r="I202" s="174"/>
      <c r="J202" s="34"/>
      <c r="K202" s="250"/>
      <c r="L202" s="250"/>
      <c r="M202" s="251"/>
      <c r="N202" s="90"/>
      <c r="O202" s="90"/>
      <c r="P202" s="90"/>
      <c r="Q202" s="90"/>
      <c r="R202" s="90"/>
      <c r="S202" s="90"/>
      <c r="T202" s="215"/>
      <c r="U202" s="90"/>
      <c r="V202" s="174"/>
      <c r="W202" s="90"/>
      <c r="X202" s="174"/>
      <c r="Y202" s="174"/>
      <c r="Z202" s="174"/>
      <c r="AA202" s="174"/>
      <c r="AB202" s="90"/>
      <c r="AC202" s="90"/>
      <c r="AD202" s="90"/>
      <c r="AE202" s="90"/>
      <c r="AF202" s="90"/>
      <c r="AG202" s="90"/>
      <c r="AH202" s="90"/>
      <c r="AI202" s="90"/>
      <c r="AJ202" s="90"/>
    </row>
    <row r="203" ht="15.75" customHeight="1">
      <c r="A203" s="248"/>
      <c r="B203" s="249"/>
      <c r="C203" s="90"/>
      <c r="D203" s="252"/>
      <c r="E203" s="249"/>
      <c r="F203" s="247"/>
      <c r="G203" s="174"/>
      <c r="H203" s="174"/>
      <c r="I203" s="174"/>
      <c r="J203" s="34"/>
      <c r="K203" s="250"/>
      <c r="L203" s="250"/>
      <c r="M203" s="251"/>
      <c r="N203" s="90"/>
      <c r="O203" s="90"/>
      <c r="P203" s="90"/>
      <c r="Q203" s="90"/>
      <c r="R203" s="90"/>
      <c r="S203" s="90"/>
      <c r="T203" s="215"/>
      <c r="U203" s="90"/>
      <c r="V203" s="174"/>
      <c r="W203" s="90"/>
      <c r="X203" s="174"/>
      <c r="Y203" s="174"/>
      <c r="Z203" s="174"/>
      <c r="AA203" s="174"/>
      <c r="AB203" s="90"/>
      <c r="AC203" s="90"/>
      <c r="AD203" s="90"/>
      <c r="AE203" s="90"/>
      <c r="AF203" s="90"/>
      <c r="AG203" s="90"/>
      <c r="AH203" s="90"/>
      <c r="AI203" s="90"/>
      <c r="AJ203" s="90"/>
    </row>
    <row r="204" ht="15.75" customHeight="1">
      <c r="A204" s="248"/>
      <c r="B204" s="249"/>
      <c r="C204" s="90"/>
      <c r="D204" s="252"/>
      <c r="E204" s="249"/>
      <c r="F204" s="247"/>
      <c r="G204" s="174"/>
      <c r="H204" s="174"/>
      <c r="I204" s="174"/>
      <c r="J204" s="34"/>
      <c r="K204" s="250"/>
      <c r="L204" s="250"/>
      <c r="M204" s="251"/>
      <c r="N204" s="90"/>
      <c r="O204" s="90"/>
      <c r="P204" s="90"/>
      <c r="Q204" s="90"/>
      <c r="R204" s="90"/>
      <c r="S204" s="90"/>
      <c r="T204" s="215"/>
      <c r="U204" s="90"/>
      <c r="V204" s="174"/>
      <c r="W204" s="90"/>
      <c r="X204" s="174"/>
      <c r="Y204" s="174"/>
      <c r="Z204" s="174"/>
      <c r="AA204" s="174"/>
      <c r="AB204" s="90"/>
      <c r="AC204" s="90"/>
      <c r="AD204" s="90"/>
      <c r="AE204" s="90"/>
      <c r="AF204" s="90"/>
      <c r="AG204" s="90"/>
      <c r="AH204" s="90"/>
      <c r="AI204" s="90"/>
      <c r="AJ204" s="90"/>
    </row>
    <row r="205" ht="15.75" customHeight="1">
      <c r="A205" s="248"/>
      <c r="B205" s="249"/>
      <c r="C205" s="90"/>
      <c r="D205" s="252"/>
      <c r="E205" s="249"/>
      <c r="F205" s="247"/>
      <c r="G205" s="174"/>
      <c r="H205" s="174"/>
      <c r="I205" s="174"/>
      <c r="J205" s="34"/>
      <c r="K205" s="250"/>
      <c r="L205" s="250"/>
      <c r="M205" s="251"/>
      <c r="N205" s="90"/>
      <c r="O205" s="90"/>
      <c r="P205" s="90"/>
      <c r="Q205" s="90"/>
      <c r="R205" s="90"/>
      <c r="S205" s="90"/>
      <c r="T205" s="215"/>
      <c r="U205" s="90"/>
      <c r="V205" s="174"/>
      <c r="W205" s="90"/>
      <c r="X205" s="174"/>
      <c r="Y205" s="174"/>
      <c r="Z205" s="174"/>
      <c r="AA205" s="174"/>
      <c r="AB205" s="90"/>
      <c r="AC205" s="90"/>
      <c r="AD205" s="90"/>
      <c r="AE205" s="90"/>
      <c r="AF205" s="90"/>
      <c r="AG205" s="90"/>
      <c r="AH205" s="90"/>
      <c r="AI205" s="90"/>
      <c r="AJ205" s="90"/>
    </row>
    <row r="206" ht="15.75" customHeight="1">
      <c r="A206" s="248"/>
      <c r="B206" s="249"/>
      <c r="C206" s="90"/>
      <c r="D206" s="252"/>
      <c r="E206" s="249"/>
      <c r="F206" s="247"/>
      <c r="G206" s="174"/>
      <c r="H206" s="174"/>
      <c r="I206" s="174"/>
      <c r="J206" s="34"/>
      <c r="K206" s="250"/>
      <c r="L206" s="250"/>
      <c r="M206" s="251"/>
      <c r="N206" s="90"/>
      <c r="O206" s="90"/>
      <c r="P206" s="90"/>
      <c r="Q206" s="90"/>
      <c r="R206" s="90"/>
      <c r="S206" s="90"/>
      <c r="T206" s="215"/>
      <c r="U206" s="90"/>
      <c r="V206" s="174"/>
      <c r="W206" s="90"/>
      <c r="X206" s="174"/>
      <c r="Y206" s="174"/>
      <c r="Z206" s="174"/>
      <c r="AA206" s="174"/>
      <c r="AB206" s="90"/>
      <c r="AC206" s="90"/>
      <c r="AD206" s="90"/>
      <c r="AE206" s="90"/>
      <c r="AF206" s="90"/>
      <c r="AG206" s="90"/>
      <c r="AH206" s="90"/>
      <c r="AI206" s="90"/>
      <c r="AJ206" s="90"/>
    </row>
    <row r="207" ht="15.75" customHeight="1">
      <c r="A207" s="248"/>
      <c r="B207" s="249"/>
      <c r="C207" s="90"/>
      <c r="D207" s="252"/>
      <c r="E207" s="249"/>
      <c r="F207" s="247"/>
      <c r="G207" s="174"/>
      <c r="H207" s="174"/>
      <c r="I207" s="174"/>
      <c r="J207" s="34"/>
      <c r="K207" s="250"/>
      <c r="L207" s="250"/>
      <c r="M207" s="251"/>
      <c r="N207" s="90"/>
      <c r="O207" s="90"/>
      <c r="P207" s="90"/>
      <c r="Q207" s="90"/>
      <c r="R207" s="90"/>
      <c r="S207" s="90"/>
      <c r="T207" s="215"/>
      <c r="U207" s="90"/>
      <c r="V207" s="174"/>
      <c r="W207" s="90"/>
      <c r="X207" s="174"/>
      <c r="Y207" s="174"/>
      <c r="Z207" s="174"/>
      <c r="AA207" s="174"/>
      <c r="AB207" s="90"/>
      <c r="AC207" s="90"/>
      <c r="AD207" s="90"/>
      <c r="AE207" s="90"/>
      <c r="AF207" s="90"/>
      <c r="AG207" s="90"/>
      <c r="AH207" s="90"/>
      <c r="AI207" s="90"/>
      <c r="AJ207" s="90"/>
    </row>
    <row r="208" ht="15.75" customHeight="1">
      <c r="A208" s="248"/>
      <c r="B208" s="249"/>
      <c r="C208" s="90"/>
      <c r="D208" s="252"/>
      <c r="E208" s="249"/>
      <c r="F208" s="247"/>
      <c r="G208" s="174"/>
      <c r="H208" s="174"/>
      <c r="I208" s="174"/>
      <c r="J208" s="34"/>
      <c r="K208" s="250"/>
      <c r="L208" s="250"/>
      <c r="M208" s="251"/>
      <c r="N208" s="90"/>
      <c r="O208" s="90"/>
      <c r="P208" s="90"/>
      <c r="Q208" s="90"/>
      <c r="R208" s="90"/>
      <c r="S208" s="90"/>
      <c r="T208" s="215"/>
      <c r="U208" s="90"/>
      <c r="V208" s="174"/>
      <c r="W208" s="90"/>
      <c r="X208" s="174"/>
      <c r="Y208" s="174"/>
      <c r="Z208" s="174"/>
      <c r="AA208" s="174"/>
      <c r="AB208" s="90"/>
      <c r="AC208" s="90"/>
      <c r="AD208" s="90"/>
      <c r="AE208" s="90"/>
      <c r="AF208" s="90"/>
      <c r="AG208" s="90"/>
      <c r="AH208" s="90"/>
      <c r="AI208" s="90"/>
      <c r="AJ208" s="90"/>
    </row>
    <row r="209" ht="15.75" customHeight="1">
      <c r="A209" s="248"/>
      <c r="B209" s="249"/>
      <c r="C209" s="90"/>
      <c r="D209" s="252"/>
      <c r="E209" s="249"/>
      <c r="F209" s="247"/>
      <c r="G209" s="174"/>
      <c r="H209" s="174"/>
      <c r="I209" s="174"/>
      <c r="J209" s="34"/>
      <c r="K209" s="250"/>
      <c r="L209" s="250"/>
      <c r="M209" s="251"/>
      <c r="N209" s="90"/>
      <c r="O209" s="90"/>
      <c r="P209" s="90"/>
      <c r="Q209" s="90"/>
      <c r="R209" s="90"/>
      <c r="S209" s="90"/>
      <c r="T209" s="215"/>
      <c r="U209" s="90"/>
      <c r="V209" s="174"/>
      <c r="W209" s="90"/>
      <c r="X209" s="174"/>
      <c r="Y209" s="174"/>
      <c r="Z209" s="174"/>
      <c r="AA209" s="174"/>
      <c r="AB209" s="90"/>
      <c r="AC209" s="90"/>
      <c r="AD209" s="90"/>
      <c r="AE209" s="90"/>
      <c r="AF209" s="90"/>
      <c r="AG209" s="90"/>
      <c r="AH209" s="90"/>
      <c r="AI209" s="90"/>
      <c r="AJ209" s="90"/>
    </row>
    <row r="210" ht="15.75" customHeight="1">
      <c r="A210" s="248"/>
      <c r="B210" s="249"/>
      <c r="C210" s="90"/>
      <c r="D210" s="252"/>
      <c r="E210" s="249"/>
      <c r="F210" s="247"/>
      <c r="G210" s="174"/>
      <c r="H210" s="174"/>
      <c r="I210" s="174"/>
      <c r="J210" s="34"/>
      <c r="K210" s="250"/>
      <c r="L210" s="250"/>
      <c r="M210" s="251"/>
      <c r="N210" s="90"/>
      <c r="O210" s="90"/>
      <c r="P210" s="90"/>
      <c r="Q210" s="90"/>
      <c r="R210" s="90"/>
      <c r="S210" s="90"/>
      <c r="T210" s="215"/>
      <c r="U210" s="90"/>
      <c r="V210" s="174"/>
      <c r="W210" s="90"/>
      <c r="X210" s="174"/>
      <c r="Y210" s="174"/>
      <c r="Z210" s="174"/>
      <c r="AA210" s="174"/>
      <c r="AB210" s="90"/>
      <c r="AC210" s="90"/>
      <c r="AD210" s="90"/>
      <c r="AE210" s="90"/>
      <c r="AF210" s="90"/>
      <c r="AG210" s="90"/>
      <c r="AH210" s="90"/>
      <c r="AI210" s="90"/>
      <c r="AJ210" s="90"/>
    </row>
    <row r="211" ht="15.75" customHeight="1">
      <c r="A211" s="248"/>
      <c r="B211" s="249"/>
      <c r="C211" s="90"/>
      <c r="D211" s="252"/>
      <c r="E211" s="249"/>
      <c r="F211" s="247"/>
      <c r="G211" s="174"/>
      <c r="H211" s="174"/>
      <c r="I211" s="174"/>
      <c r="J211" s="34"/>
      <c r="K211" s="250"/>
      <c r="L211" s="250"/>
      <c r="M211" s="251"/>
      <c r="N211" s="90"/>
      <c r="O211" s="90"/>
      <c r="P211" s="90"/>
      <c r="Q211" s="90"/>
      <c r="R211" s="90"/>
      <c r="S211" s="90"/>
      <c r="T211" s="215"/>
      <c r="U211" s="90"/>
      <c r="V211" s="174"/>
      <c r="W211" s="90"/>
      <c r="X211" s="174"/>
      <c r="Y211" s="174"/>
      <c r="Z211" s="174"/>
      <c r="AA211" s="174"/>
      <c r="AB211" s="90"/>
      <c r="AC211" s="90"/>
      <c r="AD211" s="90"/>
      <c r="AE211" s="90"/>
      <c r="AF211" s="90"/>
      <c r="AG211" s="90"/>
      <c r="AH211" s="90"/>
      <c r="AI211" s="90"/>
      <c r="AJ211" s="90"/>
    </row>
    <row r="212" ht="15.75" customHeight="1">
      <c r="A212" s="248"/>
      <c r="B212" s="249"/>
      <c r="C212" s="90"/>
      <c r="D212" s="252"/>
      <c r="E212" s="249"/>
      <c r="F212" s="247"/>
      <c r="G212" s="174"/>
      <c r="H212" s="174"/>
      <c r="I212" s="174"/>
      <c r="J212" s="34"/>
      <c r="K212" s="250"/>
      <c r="L212" s="250"/>
      <c r="M212" s="251"/>
      <c r="N212" s="90"/>
      <c r="O212" s="90"/>
      <c r="P212" s="90"/>
      <c r="Q212" s="90"/>
      <c r="R212" s="90"/>
      <c r="S212" s="90"/>
      <c r="T212" s="215"/>
      <c r="U212" s="90"/>
      <c r="V212" s="174"/>
      <c r="W212" s="90"/>
      <c r="X212" s="174"/>
      <c r="Y212" s="174"/>
      <c r="Z212" s="174"/>
      <c r="AA212" s="174"/>
      <c r="AB212" s="90"/>
      <c r="AC212" s="90"/>
      <c r="AD212" s="90"/>
      <c r="AE212" s="90"/>
      <c r="AF212" s="90"/>
      <c r="AG212" s="90"/>
      <c r="AH212" s="90"/>
      <c r="AI212" s="90"/>
      <c r="AJ212" s="90"/>
    </row>
    <row r="213" ht="15.75" customHeight="1">
      <c r="A213" s="248"/>
      <c r="B213" s="249"/>
      <c r="C213" s="90"/>
      <c r="D213" s="252"/>
      <c r="E213" s="249"/>
      <c r="F213" s="247"/>
      <c r="G213" s="174"/>
      <c r="H213" s="174"/>
      <c r="I213" s="174"/>
      <c r="J213" s="34"/>
      <c r="K213" s="250"/>
      <c r="L213" s="250"/>
      <c r="M213" s="251"/>
      <c r="N213" s="90"/>
      <c r="O213" s="90"/>
      <c r="P213" s="90"/>
      <c r="Q213" s="90"/>
      <c r="R213" s="90"/>
      <c r="S213" s="90"/>
      <c r="T213" s="215"/>
      <c r="U213" s="90"/>
      <c r="V213" s="174"/>
      <c r="W213" s="90"/>
      <c r="X213" s="174"/>
      <c r="Y213" s="174"/>
      <c r="Z213" s="174"/>
      <c r="AA213" s="174"/>
      <c r="AB213" s="90"/>
      <c r="AC213" s="90"/>
      <c r="AD213" s="90"/>
      <c r="AE213" s="90"/>
      <c r="AF213" s="90"/>
      <c r="AG213" s="90"/>
      <c r="AH213" s="90"/>
      <c r="AI213" s="90"/>
      <c r="AJ213" s="90"/>
    </row>
    <row r="214" ht="15.75" customHeight="1">
      <c r="A214" s="248"/>
      <c r="B214" s="249"/>
      <c r="C214" s="90"/>
      <c r="D214" s="252"/>
      <c r="E214" s="249"/>
      <c r="F214" s="247"/>
      <c r="G214" s="174"/>
      <c r="H214" s="174"/>
      <c r="I214" s="174"/>
      <c r="J214" s="34"/>
      <c r="K214" s="250"/>
      <c r="L214" s="250"/>
      <c r="M214" s="251"/>
      <c r="N214" s="90"/>
      <c r="O214" s="90"/>
      <c r="P214" s="90"/>
      <c r="Q214" s="90"/>
      <c r="R214" s="90"/>
      <c r="S214" s="90"/>
      <c r="T214" s="215"/>
      <c r="U214" s="90"/>
      <c r="V214" s="174"/>
      <c r="W214" s="90"/>
      <c r="X214" s="174"/>
      <c r="Y214" s="174"/>
      <c r="Z214" s="174"/>
      <c r="AA214" s="174"/>
      <c r="AB214" s="90"/>
      <c r="AC214" s="90"/>
      <c r="AD214" s="90"/>
      <c r="AE214" s="90"/>
      <c r="AF214" s="90"/>
      <c r="AG214" s="90"/>
      <c r="AH214" s="90"/>
      <c r="AI214" s="90"/>
      <c r="AJ214" s="90"/>
    </row>
    <row r="215" ht="15.75" customHeight="1">
      <c r="A215" s="248"/>
      <c r="B215" s="249"/>
      <c r="C215" s="90"/>
      <c r="D215" s="252"/>
      <c r="E215" s="249"/>
      <c r="F215" s="247"/>
      <c r="G215" s="174"/>
      <c r="H215" s="174"/>
      <c r="I215" s="174"/>
      <c r="J215" s="34"/>
      <c r="K215" s="250"/>
      <c r="L215" s="250"/>
      <c r="M215" s="251"/>
      <c r="N215" s="90"/>
      <c r="O215" s="90"/>
      <c r="P215" s="90"/>
      <c r="Q215" s="90"/>
      <c r="R215" s="90"/>
      <c r="S215" s="90"/>
      <c r="T215" s="215"/>
      <c r="U215" s="90"/>
      <c r="V215" s="174"/>
      <c r="W215" s="90"/>
      <c r="X215" s="174"/>
      <c r="Y215" s="174"/>
      <c r="Z215" s="174"/>
      <c r="AA215" s="174"/>
      <c r="AB215" s="90"/>
      <c r="AC215" s="90"/>
      <c r="AD215" s="90"/>
      <c r="AE215" s="90"/>
      <c r="AF215" s="90"/>
      <c r="AG215" s="90"/>
      <c r="AH215" s="90"/>
      <c r="AI215" s="90"/>
      <c r="AJ215" s="90"/>
    </row>
    <row r="216" ht="15.75" customHeight="1">
      <c r="A216" s="248"/>
      <c r="B216" s="249"/>
      <c r="C216" s="90"/>
      <c r="D216" s="252"/>
      <c r="E216" s="249"/>
      <c r="F216" s="247"/>
      <c r="G216" s="174"/>
      <c r="H216" s="174"/>
      <c r="I216" s="174"/>
      <c r="J216" s="34"/>
      <c r="K216" s="250"/>
      <c r="L216" s="250"/>
      <c r="M216" s="251"/>
      <c r="N216" s="90"/>
      <c r="O216" s="90"/>
      <c r="P216" s="90"/>
      <c r="Q216" s="90"/>
      <c r="R216" s="90"/>
      <c r="S216" s="90"/>
      <c r="T216" s="215"/>
      <c r="U216" s="90"/>
      <c r="V216" s="174"/>
      <c r="W216" s="90"/>
      <c r="X216" s="174"/>
      <c r="Y216" s="174"/>
      <c r="Z216" s="174"/>
      <c r="AA216" s="174"/>
      <c r="AB216" s="90"/>
      <c r="AC216" s="90"/>
      <c r="AD216" s="90"/>
      <c r="AE216" s="90"/>
      <c r="AF216" s="90"/>
      <c r="AG216" s="90"/>
      <c r="AH216" s="90"/>
      <c r="AI216" s="90"/>
      <c r="AJ216" s="90"/>
    </row>
    <row r="217" ht="15.75" customHeight="1">
      <c r="A217" s="248"/>
      <c r="B217" s="249"/>
      <c r="C217" s="90"/>
      <c r="D217" s="252"/>
      <c r="E217" s="249"/>
      <c r="F217" s="247"/>
      <c r="G217" s="174"/>
      <c r="H217" s="174"/>
      <c r="I217" s="174"/>
      <c r="J217" s="34"/>
      <c r="K217" s="250"/>
      <c r="L217" s="250"/>
      <c r="M217" s="251"/>
      <c r="N217" s="90"/>
      <c r="O217" s="90"/>
      <c r="P217" s="90"/>
      <c r="Q217" s="90"/>
      <c r="R217" s="90"/>
      <c r="S217" s="90"/>
      <c r="T217" s="215"/>
      <c r="U217" s="90"/>
      <c r="V217" s="174"/>
      <c r="W217" s="90"/>
      <c r="X217" s="174"/>
      <c r="Y217" s="174"/>
      <c r="Z217" s="174"/>
      <c r="AA217" s="174"/>
      <c r="AB217" s="90"/>
      <c r="AC217" s="90"/>
      <c r="AD217" s="90"/>
      <c r="AE217" s="90"/>
      <c r="AF217" s="90"/>
      <c r="AG217" s="90"/>
      <c r="AH217" s="90"/>
      <c r="AI217" s="90"/>
      <c r="AJ217" s="90"/>
    </row>
    <row r="218" ht="15.75" customHeight="1">
      <c r="A218" s="248"/>
      <c r="B218" s="249"/>
      <c r="C218" s="90"/>
      <c r="D218" s="252"/>
      <c r="E218" s="249"/>
      <c r="F218" s="247"/>
      <c r="G218" s="174"/>
      <c r="H218" s="174"/>
      <c r="I218" s="174"/>
      <c r="J218" s="34"/>
      <c r="K218" s="250"/>
      <c r="L218" s="250"/>
      <c r="M218" s="251"/>
      <c r="N218" s="90"/>
      <c r="O218" s="90"/>
      <c r="P218" s="90"/>
      <c r="Q218" s="90"/>
      <c r="R218" s="90"/>
      <c r="S218" s="90"/>
      <c r="T218" s="215"/>
      <c r="U218" s="90"/>
      <c r="V218" s="174"/>
      <c r="W218" s="90"/>
      <c r="X218" s="174"/>
      <c r="Y218" s="174"/>
      <c r="Z218" s="174"/>
      <c r="AA218" s="174"/>
      <c r="AB218" s="90"/>
      <c r="AC218" s="90"/>
      <c r="AD218" s="90"/>
      <c r="AE218" s="90"/>
      <c r="AF218" s="90"/>
      <c r="AG218" s="90"/>
      <c r="AH218" s="90"/>
      <c r="AI218" s="90"/>
      <c r="AJ218" s="90"/>
    </row>
    <row r="219" ht="15.75" customHeight="1">
      <c r="A219" s="248"/>
      <c r="B219" s="249"/>
      <c r="C219" s="90"/>
      <c r="D219" s="252"/>
      <c r="E219" s="249"/>
      <c r="F219" s="247"/>
      <c r="G219" s="174"/>
      <c r="H219" s="174"/>
      <c r="I219" s="174"/>
      <c r="J219" s="34"/>
      <c r="K219" s="250"/>
      <c r="L219" s="250"/>
      <c r="M219" s="251"/>
      <c r="N219" s="90"/>
      <c r="O219" s="90"/>
      <c r="P219" s="90"/>
      <c r="Q219" s="90"/>
      <c r="R219" s="90"/>
      <c r="S219" s="90"/>
      <c r="T219" s="215"/>
      <c r="U219" s="90"/>
      <c r="V219" s="174"/>
      <c r="W219" s="90"/>
      <c r="X219" s="174"/>
      <c r="Y219" s="174"/>
      <c r="Z219" s="174"/>
      <c r="AA219" s="174"/>
      <c r="AB219" s="90"/>
      <c r="AC219" s="90"/>
      <c r="AD219" s="90"/>
      <c r="AE219" s="90"/>
      <c r="AF219" s="90"/>
      <c r="AG219" s="90"/>
      <c r="AH219" s="90"/>
      <c r="AI219" s="90"/>
      <c r="AJ219" s="90"/>
    </row>
    <row r="220" ht="15.75" customHeight="1">
      <c r="A220" s="248"/>
      <c r="B220" s="249"/>
      <c r="C220" s="90"/>
      <c r="D220" s="252"/>
      <c r="E220" s="249"/>
      <c r="F220" s="247"/>
      <c r="G220" s="174"/>
      <c r="H220" s="174"/>
      <c r="I220" s="174"/>
      <c r="J220" s="34"/>
      <c r="K220" s="250"/>
      <c r="L220" s="250"/>
      <c r="M220" s="251"/>
      <c r="N220" s="90"/>
      <c r="O220" s="90"/>
      <c r="P220" s="90"/>
      <c r="Q220" s="90"/>
      <c r="R220" s="90"/>
      <c r="S220" s="90"/>
      <c r="T220" s="215"/>
      <c r="U220" s="90"/>
      <c r="V220" s="174"/>
      <c r="W220" s="90"/>
      <c r="X220" s="174"/>
      <c r="Y220" s="174"/>
      <c r="Z220" s="174"/>
      <c r="AA220" s="174"/>
      <c r="AB220" s="90"/>
      <c r="AC220" s="90"/>
      <c r="AD220" s="90"/>
      <c r="AE220" s="90"/>
      <c r="AF220" s="90"/>
      <c r="AG220" s="90"/>
      <c r="AH220" s="90"/>
      <c r="AI220" s="90"/>
      <c r="AJ220" s="90"/>
    </row>
    <row r="221" ht="15.75" customHeight="1">
      <c r="A221" s="248"/>
      <c r="B221" s="249"/>
      <c r="C221" s="90"/>
      <c r="D221" s="252"/>
      <c r="E221" s="249"/>
      <c r="F221" s="247"/>
      <c r="G221" s="174"/>
      <c r="H221" s="174"/>
      <c r="I221" s="174"/>
      <c r="J221" s="34"/>
      <c r="K221" s="250"/>
      <c r="L221" s="250"/>
      <c r="M221" s="251"/>
      <c r="N221" s="90"/>
      <c r="O221" s="90"/>
      <c r="P221" s="90"/>
      <c r="Q221" s="90"/>
      <c r="R221" s="90"/>
      <c r="S221" s="90"/>
      <c r="T221" s="215"/>
      <c r="U221" s="90"/>
      <c r="V221" s="174"/>
      <c r="W221" s="90"/>
      <c r="X221" s="174"/>
      <c r="Y221" s="174"/>
      <c r="Z221" s="174"/>
      <c r="AA221" s="174"/>
      <c r="AB221" s="90"/>
      <c r="AC221" s="90"/>
      <c r="AD221" s="90"/>
      <c r="AE221" s="90"/>
      <c r="AF221" s="90"/>
      <c r="AG221" s="90"/>
      <c r="AH221" s="90"/>
      <c r="AI221" s="90"/>
      <c r="AJ221" s="90"/>
    </row>
    <row r="222" ht="15.75" customHeight="1">
      <c r="A222" s="248"/>
      <c r="B222" s="249"/>
      <c r="C222" s="90"/>
      <c r="D222" s="252"/>
      <c r="E222" s="249"/>
      <c r="F222" s="247"/>
      <c r="G222" s="174"/>
      <c r="H222" s="174"/>
      <c r="I222" s="174"/>
      <c r="J222" s="34"/>
      <c r="K222" s="250"/>
      <c r="L222" s="250"/>
      <c r="M222" s="251"/>
      <c r="N222" s="90"/>
      <c r="O222" s="90"/>
      <c r="P222" s="90"/>
      <c r="Q222" s="90"/>
      <c r="R222" s="90"/>
      <c r="S222" s="90"/>
      <c r="T222" s="215"/>
      <c r="U222" s="90"/>
      <c r="V222" s="174"/>
      <c r="W222" s="90"/>
      <c r="X222" s="174"/>
      <c r="Y222" s="174"/>
      <c r="Z222" s="174"/>
      <c r="AA222" s="174"/>
      <c r="AB222" s="90"/>
      <c r="AC222" s="90"/>
      <c r="AD222" s="90"/>
      <c r="AE222" s="90"/>
      <c r="AF222" s="90"/>
      <c r="AG222" s="90"/>
      <c r="AH222" s="90"/>
      <c r="AI222" s="90"/>
      <c r="AJ222" s="90"/>
    </row>
    <row r="223" ht="15.75" customHeight="1">
      <c r="A223" s="248"/>
      <c r="B223" s="249"/>
      <c r="C223" s="90"/>
      <c r="D223" s="252"/>
      <c r="E223" s="249"/>
      <c r="F223" s="247"/>
      <c r="G223" s="174"/>
      <c r="H223" s="174"/>
      <c r="I223" s="174"/>
      <c r="J223" s="34"/>
      <c r="K223" s="250"/>
      <c r="L223" s="250"/>
      <c r="M223" s="251"/>
      <c r="N223" s="90"/>
      <c r="O223" s="90"/>
      <c r="P223" s="90"/>
      <c r="Q223" s="90"/>
      <c r="R223" s="90"/>
      <c r="S223" s="90"/>
      <c r="T223" s="215"/>
      <c r="U223" s="90"/>
      <c r="V223" s="174"/>
      <c r="W223" s="90"/>
      <c r="X223" s="174"/>
      <c r="Y223" s="174"/>
      <c r="Z223" s="174"/>
      <c r="AA223" s="174"/>
      <c r="AB223" s="90"/>
      <c r="AC223" s="90"/>
      <c r="AD223" s="90"/>
      <c r="AE223" s="90"/>
      <c r="AF223" s="90"/>
      <c r="AG223" s="90"/>
      <c r="AH223" s="90"/>
      <c r="AI223" s="90"/>
      <c r="AJ223" s="90"/>
    </row>
    <row r="224" ht="15.75" customHeight="1">
      <c r="A224" s="248"/>
      <c r="B224" s="249"/>
      <c r="C224" s="90"/>
      <c r="D224" s="252"/>
      <c r="E224" s="249"/>
      <c r="F224" s="247"/>
      <c r="G224" s="174"/>
      <c r="H224" s="174"/>
      <c r="I224" s="174"/>
      <c r="J224" s="34"/>
      <c r="K224" s="250"/>
      <c r="L224" s="250"/>
      <c r="M224" s="251"/>
      <c r="N224" s="90"/>
      <c r="O224" s="90"/>
      <c r="P224" s="90"/>
      <c r="Q224" s="90"/>
      <c r="R224" s="90"/>
      <c r="S224" s="90"/>
      <c r="T224" s="215"/>
      <c r="U224" s="90"/>
      <c r="V224" s="174"/>
      <c r="W224" s="90"/>
      <c r="X224" s="174"/>
      <c r="Y224" s="174"/>
      <c r="Z224" s="174"/>
      <c r="AA224" s="174"/>
      <c r="AB224" s="90"/>
      <c r="AC224" s="90"/>
      <c r="AD224" s="90"/>
      <c r="AE224" s="90"/>
      <c r="AF224" s="90"/>
      <c r="AG224" s="90"/>
      <c r="AH224" s="90"/>
      <c r="AI224" s="90"/>
      <c r="AJ224" s="90"/>
    </row>
    <row r="225" ht="15.75" customHeight="1">
      <c r="A225" s="248"/>
      <c r="B225" s="249"/>
      <c r="C225" s="90"/>
      <c r="D225" s="252"/>
      <c r="E225" s="249"/>
      <c r="F225" s="247"/>
      <c r="G225" s="174"/>
      <c r="H225" s="174"/>
      <c r="I225" s="174"/>
      <c r="J225" s="34"/>
      <c r="K225" s="250"/>
      <c r="L225" s="250"/>
      <c r="M225" s="251"/>
      <c r="N225" s="90"/>
      <c r="O225" s="90"/>
      <c r="P225" s="90"/>
      <c r="Q225" s="90"/>
      <c r="R225" s="90"/>
      <c r="S225" s="90"/>
      <c r="T225" s="215"/>
      <c r="U225" s="90"/>
      <c r="V225" s="174"/>
      <c r="W225" s="90"/>
      <c r="X225" s="174"/>
      <c r="Y225" s="174"/>
      <c r="Z225" s="174"/>
      <c r="AA225" s="174"/>
      <c r="AB225" s="90"/>
      <c r="AC225" s="90"/>
      <c r="AD225" s="90"/>
      <c r="AE225" s="90"/>
      <c r="AF225" s="90"/>
      <c r="AG225" s="90"/>
      <c r="AH225" s="90"/>
      <c r="AI225" s="90"/>
      <c r="AJ225" s="90"/>
    </row>
    <row r="226" ht="15.75" customHeight="1">
      <c r="A226" s="248"/>
      <c r="B226" s="249"/>
      <c r="C226" s="90"/>
      <c r="D226" s="252"/>
      <c r="E226" s="249"/>
      <c r="F226" s="247"/>
      <c r="G226" s="174"/>
      <c r="H226" s="174"/>
      <c r="I226" s="174"/>
      <c r="J226" s="34"/>
      <c r="K226" s="250"/>
      <c r="L226" s="250"/>
      <c r="M226" s="251"/>
      <c r="N226" s="90"/>
      <c r="O226" s="90"/>
      <c r="P226" s="90"/>
      <c r="Q226" s="90"/>
      <c r="R226" s="90"/>
      <c r="S226" s="90"/>
      <c r="T226" s="215"/>
      <c r="U226" s="90"/>
      <c r="V226" s="174"/>
      <c r="W226" s="90"/>
      <c r="X226" s="174"/>
      <c r="Y226" s="174"/>
      <c r="Z226" s="174"/>
      <c r="AA226" s="174"/>
      <c r="AB226" s="90"/>
      <c r="AC226" s="90"/>
      <c r="AD226" s="90"/>
      <c r="AE226" s="90"/>
      <c r="AF226" s="90"/>
      <c r="AG226" s="90"/>
      <c r="AH226" s="90"/>
      <c r="AI226" s="90"/>
      <c r="AJ226" s="90"/>
    </row>
    <row r="227" ht="15.75" customHeight="1">
      <c r="A227" s="248"/>
      <c r="B227" s="249"/>
      <c r="C227" s="90"/>
      <c r="D227" s="252"/>
      <c r="E227" s="249"/>
      <c r="F227" s="247"/>
      <c r="G227" s="174"/>
      <c r="H227" s="174"/>
      <c r="I227" s="174"/>
      <c r="J227" s="34"/>
      <c r="K227" s="250"/>
      <c r="L227" s="250"/>
      <c r="M227" s="251"/>
      <c r="N227" s="90"/>
      <c r="O227" s="90"/>
      <c r="P227" s="90"/>
      <c r="Q227" s="90"/>
      <c r="R227" s="90"/>
      <c r="S227" s="90"/>
      <c r="T227" s="215"/>
      <c r="U227" s="90"/>
      <c r="V227" s="174"/>
      <c r="W227" s="90"/>
      <c r="X227" s="174"/>
      <c r="Y227" s="174"/>
      <c r="Z227" s="174"/>
      <c r="AA227" s="174"/>
      <c r="AB227" s="90"/>
      <c r="AC227" s="90"/>
      <c r="AD227" s="90"/>
      <c r="AE227" s="90"/>
      <c r="AF227" s="90"/>
      <c r="AG227" s="90"/>
      <c r="AH227" s="90"/>
      <c r="AI227" s="90"/>
      <c r="AJ227" s="90"/>
    </row>
    <row r="228" ht="15.75" customHeight="1">
      <c r="A228" s="248"/>
      <c r="B228" s="249"/>
      <c r="C228" s="90"/>
      <c r="D228" s="252"/>
      <c r="E228" s="249"/>
      <c r="F228" s="247"/>
      <c r="G228" s="174"/>
      <c r="H228" s="174"/>
      <c r="I228" s="174"/>
      <c r="J228" s="34"/>
      <c r="K228" s="250"/>
      <c r="L228" s="250"/>
      <c r="M228" s="251"/>
      <c r="N228" s="90"/>
      <c r="O228" s="90"/>
      <c r="P228" s="90"/>
      <c r="Q228" s="90"/>
      <c r="R228" s="90"/>
      <c r="S228" s="90"/>
      <c r="T228" s="215"/>
      <c r="U228" s="90"/>
      <c r="V228" s="174"/>
      <c r="W228" s="90"/>
      <c r="X228" s="174"/>
      <c r="Y228" s="174"/>
      <c r="Z228" s="174"/>
      <c r="AA228" s="174"/>
      <c r="AB228" s="90"/>
      <c r="AC228" s="90"/>
      <c r="AD228" s="90"/>
      <c r="AE228" s="90"/>
      <c r="AF228" s="90"/>
      <c r="AG228" s="90"/>
      <c r="AH228" s="90"/>
      <c r="AI228" s="90"/>
      <c r="AJ228" s="90"/>
    </row>
    <row r="229" ht="15.75" customHeight="1">
      <c r="A229" s="248"/>
      <c r="B229" s="249"/>
      <c r="C229" s="90"/>
      <c r="D229" s="252"/>
      <c r="E229" s="249"/>
      <c r="F229" s="247"/>
      <c r="G229" s="174"/>
      <c r="H229" s="174"/>
      <c r="I229" s="174"/>
      <c r="J229" s="34"/>
      <c r="K229" s="250"/>
      <c r="L229" s="250"/>
      <c r="M229" s="251"/>
      <c r="N229" s="90"/>
      <c r="O229" s="90"/>
      <c r="P229" s="90"/>
      <c r="Q229" s="90"/>
      <c r="R229" s="90"/>
      <c r="S229" s="90"/>
      <c r="T229" s="215"/>
      <c r="U229" s="90"/>
      <c r="V229" s="174"/>
      <c r="W229" s="90"/>
      <c r="X229" s="174"/>
      <c r="Y229" s="174"/>
      <c r="Z229" s="174"/>
      <c r="AA229" s="174"/>
      <c r="AB229" s="90"/>
      <c r="AC229" s="90"/>
      <c r="AD229" s="90"/>
      <c r="AE229" s="90"/>
      <c r="AF229" s="90"/>
      <c r="AG229" s="90"/>
      <c r="AH229" s="90"/>
      <c r="AI229" s="90"/>
      <c r="AJ229" s="90"/>
    </row>
    <row r="230" ht="15.75" customHeight="1">
      <c r="A230" s="248"/>
      <c r="B230" s="249"/>
      <c r="C230" s="90"/>
      <c r="D230" s="252"/>
      <c r="E230" s="249"/>
      <c r="F230" s="247"/>
      <c r="G230" s="174"/>
      <c r="H230" s="174"/>
      <c r="I230" s="174"/>
      <c r="J230" s="34"/>
      <c r="K230" s="250"/>
      <c r="L230" s="250"/>
      <c r="M230" s="251"/>
      <c r="N230" s="90"/>
      <c r="O230" s="90"/>
      <c r="P230" s="90"/>
      <c r="Q230" s="90"/>
      <c r="R230" s="90"/>
      <c r="S230" s="90"/>
      <c r="T230" s="215"/>
      <c r="U230" s="90"/>
      <c r="V230" s="174"/>
      <c r="W230" s="90"/>
      <c r="X230" s="174"/>
      <c r="Y230" s="174"/>
      <c r="Z230" s="174"/>
      <c r="AA230" s="174"/>
      <c r="AB230" s="90"/>
      <c r="AC230" s="90"/>
      <c r="AD230" s="90"/>
      <c r="AE230" s="90"/>
      <c r="AF230" s="90"/>
      <c r="AG230" s="90"/>
      <c r="AH230" s="90"/>
      <c r="AI230" s="90"/>
      <c r="AJ230" s="90"/>
    </row>
    <row r="231" ht="15.75" customHeight="1">
      <c r="A231" s="248"/>
      <c r="B231" s="249"/>
      <c r="C231" s="90"/>
      <c r="D231" s="252"/>
      <c r="E231" s="249"/>
      <c r="F231" s="247"/>
      <c r="G231" s="174"/>
      <c r="H231" s="174"/>
      <c r="I231" s="174"/>
      <c r="J231" s="34"/>
      <c r="K231" s="250"/>
      <c r="L231" s="250"/>
      <c r="M231" s="251"/>
      <c r="N231" s="90"/>
      <c r="O231" s="90"/>
      <c r="P231" s="90"/>
      <c r="Q231" s="90"/>
      <c r="R231" s="90"/>
      <c r="S231" s="90"/>
      <c r="T231" s="215"/>
      <c r="U231" s="90"/>
      <c r="V231" s="174"/>
      <c r="W231" s="90"/>
      <c r="X231" s="174"/>
      <c r="Y231" s="174"/>
      <c r="Z231" s="174"/>
      <c r="AA231" s="174"/>
      <c r="AB231" s="90"/>
      <c r="AC231" s="90"/>
      <c r="AD231" s="90"/>
      <c r="AE231" s="90"/>
      <c r="AF231" s="90"/>
      <c r="AG231" s="90"/>
      <c r="AH231" s="90"/>
      <c r="AI231" s="90"/>
      <c r="AJ231" s="90"/>
    </row>
    <row r="232" ht="15.75" customHeight="1">
      <c r="A232" s="248"/>
      <c r="B232" s="249"/>
      <c r="C232" s="90"/>
      <c r="D232" s="252"/>
      <c r="E232" s="249"/>
      <c r="F232" s="247"/>
      <c r="G232" s="174"/>
      <c r="H232" s="174"/>
      <c r="I232" s="174"/>
      <c r="J232" s="34"/>
      <c r="K232" s="250"/>
      <c r="L232" s="250"/>
      <c r="M232" s="251"/>
      <c r="N232" s="90"/>
      <c r="O232" s="90"/>
      <c r="P232" s="90"/>
      <c r="Q232" s="90"/>
      <c r="R232" s="90"/>
      <c r="S232" s="90"/>
      <c r="T232" s="215"/>
      <c r="U232" s="90"/>
      <c r="V232" s="174"/>
      <c r="W232" s="90"/>
      <c r="X232" s="174"/>
      <c r="Y232" s="174"/>
      <c r="Z232" s="174"/>
      <c r="AA232" s="174"/>
      <c r="AB232" s="90"/>
      <c r="AC232" s="90"/>
      <c r="AD232" s="90"/>
      <c r="AE232" s="90"/>
      <c r="AF232" s="90"/>
      <c r="AG232" s="90"/>
      <c r="AH232" s="90"/>
      <c r="AI232" s="90"/>
      <c r="AJ232" s="90"/>
    </row>
    <row r="233" ht="15.75" customHeight="1">
      <c r="A233" s="248"/>
      <c r="B233" s="249"/>
      <c r="C233" s="90"/>
      <c r="D233" s="252"/>
      <c r="E233" s="249"/>
      <c r="F233" s="247"/>
      <c r="G233" s="174"/>
      <c r="H233" s="174"/>
      <c r="I233" s="174"/>
      <c r="J233" s="34"/>
      <c r="K233" s="250"/>
      <c r="L233" s="250"/>
      <c r="M233" s="251"/>
      <c r="N233" s="90"/>
      <c r="O233" s="90"/>
      <c r="P233" s="90"/>
      <c r="Q233" s="90"/>
      <c r="R233" s="90"/>
      <c r="S233" s="90"/>
      <c r="T233" s="215"/>
      <c r="U233" s="90"/>
      <c r="V233" s="174"/>
      <c r="W233" s="90"/>
      <c r="X233" s="174"/>
      <c r="Y233" s="174"/>
      <c r="Z233" s="174"/>
      <c r="AA233" s="174"/>
      <c r="AB233" s="90"/>
      <c r="AC233" s="90"/>
      <c r="AD233" s="90"/>
      <c r="AE233" s="90"/>
      <c r="AF233" s="90"/>
      <c r="AG233" s="90"/>
      <c r="AH233" s="90"/>
      <c r="AI233" s="90"/>
      <c r="AJ233" s="90"/>
    </row>
    <row r="234" ht="15.75" customHeight="1">
      <c r="A234" s="248"/>
      <c r="B234" s="249"/>
      <c r="C234" s="90"/>
      <c r="D234" s="252"/>
      <c r="E234" s="249"/>
      <c r="F234" s="247"/>
      <c r="G234" s="174"/>
      <c r="H234" s="174"/>
      <c r="I234" s="174"/>
      <c r="J234" s="34"/>
      <c r="K234" s="250"/>
      <c r="L234" s="250"/>
      <c r="M234" s="251"/>
      <c r="N234" s="90"/>
      <c r="O234" s="90"/>
      <c r="P234" s="90"/>
      <c r="Q234" s="90"/>
      <c r="R234" s="90"/>
      <c r="S234" s="90"/>
      <c r="T234" s="215"/>
      <c r="U234" s="90"/>
      <c r="V234" s="174"/>
      <c r="W234" s="90"/>
      <c r="X234" s="174"/>
      <c r="Y234" s="174"/>
      <c r="Z234" s="174"/>
      <c r="AA234" s="174"/>
      <c r="AB234" s="90"/>
      <c r="AC234" s="90"/>
      <c r="AD234" s="90"/>
      <c r="AE234" s="90"/>
      <c r="AF234" s="90"/>
      <c r="AG234" s="90"/>
      <c r="AH234" s="90"/>
      <c r="AI234" s="90"/>
      <c r="AJ234" s="90"/>
    </row>
    <row r="235" ht="15.75" customHeight="1">
      <c r="A235" s="248"/>
      <c r="B235" s="249"/>
      <c r="C235" s="90"/>
      <c r="D235" s="252"/>
      <c r="E235" s="249"/>
      <c r="F235" s="247"/>
      <c r="G235" s="174"/>
      <c r="H235" s="174"/>
      <c r="I235" s="174"/>
      <c r="J235" s="34"/>
      <c r="K235" s="250"/>
      <c r="L235" s="250"/>
      <c r="M235" s="251"/>
      <c r="N235" s="90"/>
      <c r="O235" s="90"/>
      <c r="P235" s="90"/>
      <c r="Q235" s="90"/>
      <c r="R235" s="90"/>
      <c r="S235" s="90"/>
      <c r="T235" s="215"/>
      <c r="U235" s="90"/>
      <c r="V235" s="174"/>
      <c r="W235" s="90"/>
      <c r="X235" s="174"/>
      <c r="Y235" s="174"/>
      <c r="Z235" s="174"/>
      <c r="AA235" s="174"/>
      <c r="AB235" s="90"/>
      <c r="AC235" s="90"/>
      <c r="AD235" s="90"/>
      <c r="AE235" s="90"/>
      <c r="AF235" s="90"/>
      <c r="AG235" s="90"/>
      <c r="AH235" s="90"/>
      <c r="AI235" s="90"/>
      <c r="AJ235" s="90"/>
    </row>
    <row r="236" ht="15.75" customHeight="1">
      <c r="A236" s="248"/>
      <c r="B236" s="249"/>
      <c r="C236" s="90"/>
      <c r="D236" s="252"/>
      <c r="E236" s="249"/>
      <c r="F236" s="247"/>
      <c r="G236" s="174"/>
      <c r="H236" s="174"/>
      <c r="I236" s="174"/>
      <c r="J236" s="34"/>
      <c r="K236" s="250"/>
      <c r="L236" s="250"/>
      <c r="M236" s="251"/>
      <c r="N236" s="90"/>
      <c r="O236" s="90"/>
      <c r="P236" s="90"/>
      <c r="Q236" s="90"/>
      <c r="R236" s="90"/>
      <c r="S236" s="90"/>
      <c r="T236" s="215"/>
      <c r="U236" s="90"/>
      <c r="V236" s="174"/>
      <c r="W236" s="90"/>
      <c r="X236" s="174"/>
      <c r="Y236" s="174"/>
      <c r="Z236" s="174"/>
      <c r="AA236" s="174"/>
      <c r="AB236" s="90"/>
      <c r="AC236" s="90"/>
      <c r="AD236" s="90"/>
      <c r="AE236" s="90"/>
      <c r="AF236" s="90"/>
      <c r="AG236" s="90"/>
      <c r="AH236" s="90"/>
      <c r="AI236" s="90"/>
      <c r="AJ236" s="90"/>
    </row>
    <row r="237" ht="15.75" customHeight="1">
      <c r="A237" s="248"/>
      <c r="B237" s="249"/>
      <c r="C237" s="90"/>
      <c r="D237" s="252"/>
      <c r="E237" s="249"/>
      <c r="F237" s="247"/>
      <c r="G237" s="174"/>
      <c r="H237" s="174"/>
      <c r="I237" s="174"/>
      <c r="J237" s="34"/>
      <c r="K237" s="250"/>
      <c r="L237" s="250"/>
      <c r="M237" s="251"/>
      <c r="N237" s="90"/>
      <c r="O237" s="90"/>
      <c r="P237" s="90"/>
      <c r="Q237" s="90"/>
      <c r="R237" s="90"/>
      <c r="S237" s="90"/>
      <c r="T237" s="215"/>
      <c r="U237" s="90"/>
      <c r="V237" s="174"/>
      <c r="W237" s="90"/>
      <c r="X237" s="174"/>
      <c r="Y237" s="174"/>
      <c r="Z237" s="174"/>
      <c r="AA237" s="174"/>
      <c r="AB237" s="90"/>
      <c r="AC237" s="90"/>
      <c r="AD237" s="90"/>
      <c r="AE237" s="90"/>
      <c r="AF237" s="90"/>
      <c r="AG237" s="90"/>
      <c r="AH237" s="90"/>
      <c r="AI237" s="90"/>
      <c r="AJ237" s="90"/>
    </row>
    <row r="238" ht="15.75" customHeight="1">
      <c r="A238" s="248"/>
      <c r="B238" s="249"/>
      <c r="C238" s="90"/>
      <c r="D238" s="252"/>
      <c r="E238" s="249"/>
      <c r="F238" s="247"/>
      <c r="G238" s="174"/>
      <c r="H238" s="174"/>
      <c r="I238" s="174"/>
      <c r="J238" s="34"/>
      <c r="K238" s="250"/>
      <c r="L238" s="250"/>
      <c r="M238" s="251"/>
      <c r="N238" s="90"/>
      <c r="O238" s="90"/>
      <c r="P238" s="90"/>
      <c r="Q238" s="90"/>
      <c r="R238" s="90"/>
      <c r="S238" s="90"/>
      <c r="T238" s="215"/>
      <c r="U238" s="90"/>
      <c r="V238" s="174"/>
      <c r="W238" s="90"/>
      <c r="X238" s="174"/>
      <c r="Y238" s="174"/>
      <c r="Z238" s="174"/>
      <c r="AA238" s="174"/>
      <c r="AB238" s="90"/>
      <c r="AC238" s="90"/>
      <c r="AD238" s="90"/>
      <c r="AE238" s="90"/>
      <c r="AF238" s="90"/>
      <c r="AG238" s="90"/>
      <c r="AH238" s="90"/>
      <c r="AI238" s="90"/>
      <c r="AJ238" s="90"/>
    </row>
    <row r="239" ht="15.75" customHeight="1">
      <c r="A239" s="248"/>
      <c r="B239" s="249"/>
      <c r="C239" s="90"/>
      <c r="D239" s="252"/>
      <c r="E239" s="249"/>
      <c r="F239" s="247"/>
      <c r="G239" s="174"/>
      <c r="H239" s="174"/>
      <c r="I239" s="174"/>
      <c r="J239" s="34"/>
      <c r="K239" s="250"/>
      <c r="L239" s="250"/>
      <c r="M239" s="251"/>
      <c r="N239" s="90"/>
      <c r="O239" s="90"/>
      <c r="P239" s="90"/>
      <c r="Q239" s="90"/>
      <c r="R239" s="90"/>
      <c r="S239" s="90"/>
      <c r="T239" s="215"/>
      <c r="U239" s="90"/>
      <c r="V239" s="174"/>
      <c r="W239" s="90"/>
      <c r="X239" s="174"/>
      <c r="Y239" s="174"/>
      <c r="Z239" s="174"/>
      <c r="AA239" s="174"/>
      <c r="AB239" s="90"/>
      <c r="AC239" s="90"/>
      <c r="AD239" s="90"/>
      <c r="AE239" s="90"/>
      <c r="AF239" s="90"/>
      <c r="AG239" s="90"/>
      <c r="AH239" s="90"/>
      <c r="AI239" s="90"/>
      <c r="AJ239" s="90"/>
    </row>
    <row r="240" ht="15.75" customHeight="1">
      <c r="A240" s="248"/>
      <c r="B240" s="249"/>
      <c r="C240" s="90"/>
      <c r="D240" s="248"/>
      <c r="E240" s="249"/>
      <c r="F240" s="247"/>
      <c r="G240" s="174"/>
      <c r="H240" s="174"/>
      <c r="I240" s="174"/>
      <c r="J240" s="34"/>
      <c r="K240" s="250"/>
      <c r="L240" s="250"/>
      <c r="M240" s="251"/>
      <c r="N240" s="90"/>
      <c r="O240" s="90"/>
      <c r="P240" s="90"/>
      <c r="Q240" s="90"/>
      <c r="R240" s="90"/>
      <c r="S240" s="90"/>
      <c r="T240" s="215"/>
      <c r="U240" s="90"/>
      <c r="V240" s="174"/>
      <c r="W240" s="90"/>
      <c r="X240" s="174"/>
      <c r="Y240" s="174"/>
      <c r="Z240" s="174"/>
      <c r="AA240" s="174"/>
      <c r="AB240" s="90"/>
      <c r="AC240" s="90"/>
      <c r="AD240" s="90"/>
      <c r="AE240" s="90"/>
      <c r="AF240" s="90"/>
      <c r="AG240" s="90"/>
      <c r="AH240" s="90"/>
      <c r="AI240" s="90"/>
      <c r="AJ240" s="90"/>
    </row>
    <row r="241" ht="15.75" customHeight="1">
      <c r="A241" s="248"/>
      <c r="B241" s="249"/>
      <c r="C241" s="90"/>
      <c r="D241" s="248"/>
      <c r="E241" s="249"/>
      <c r="F241" s="247"/>
      <c r="G241" s="174"/>
      <c r="H241" s="174"/>
      <c r="I241" s="174"/>
      <c r="J241" s="34"/>
      <c r="K241" s="250"/>
      <c r="L241" s="250"/>
      <c r="M241" s="251"/>
      <c r="N241" s="90"/>
      <c r="O241" s="90"/>
      <c r="P241" s="90"/>
      <c r="Q241" s="90"/>
      <c r="R241" s="90"/>
      <c r="S241" s="90"/>
      <c r="T241" s="215"/>
      <c r="U241" s="90"/>
      <c r="V241" s="174"/>
      <c r="W241" s="90"/>
      <c r="X241" s="174"/>
      <c r="Y241" s="174"/>
      <c r="Z241" s="174"/>
      <c r="AA241" s="174"/>
      <c r="AB241" s="90"/>
      <c r="AC241" s="90"/>
      <c r="AD241" s="90"/>
      <c r="AE241" s="90"/>
      <c r="AF241" s="90"/>
      <c r="AG241" s="90"/>
      <c r="AH241" s="90"/>
      <c r="AI241" s="90"/>
      <c r="AJ241" s="90"/>
    </row>
    <row r="242" ht="15.75" customHeight="1">
      <c r="A242" s="248"/>
      <c r="B242" s="249"/>
      <c r="C242" s="90"/>
      <c r="D242" s="248"/>
      <c r="E242" s="249"/>
      <c r="F242" s="247"/>
      <c r="G242" s="174"/>
      <c r="H242" s="174"/>
      <c r="I242" s="174"/>
      <c r="J242" s="34"/>
      <c r="K242" s="250"/>
      <c r="L242" s="250"/>
      <c r="M242" s="251"/>
      <c r="N242" s="90"/>
      <c r="O242" s="90"/>
      <c r="P242" s="90"/>
      <c r="Q242" s="90"/>
      <c r="R242" s="90"/>
      <c r="S242" s="90"/>
      <c r="T242" s="215"/>
      <c r="U242" s="90"/>
      <c r="V242" s="174"/>
      <c r="W242" s="90"/>
      <c r="X242" s="174"/>
      <c r="Y242" s="174"/>
      <c r="Z242" s="174"/>
      <c r="AA242" s="174"/>
      <c r="AB242" s="90"/>
      <c r="AC242" s="90"/>
      <c r="AD242" s="90"/>
      <c r="AE242" s="90"/>
      <c r="AF242" s="90"/>
      <c r="AG242" s="90"/>
      <c r="AH242" s="90"/>
      <c r="AI242" s="90"/>
      <c r="AJ242" s="90"/>
    </row>
    <row r="243" ht="15.75" customHeight="1">
      <c r="A243" s="248"/>
      <c r="B243" s="249"/>
      <c r="C243" s="90"/>
      <c r="D243" s="248"/>
      <c r="E243" s="249"/>
      <c r="F243" s="247"/>
      <c r="G243" s="174"/>
      <c r="H243" s="174"/>
      <c r="I243" s="174"/>
      <c r="J243" s="34"/>
      <c r="K243" s="250"/>
      <c r="L243" s="250"/>
      <c r="M243" s="251"/>
      <c r="N243" s="90"/>
      <c r="O243" s="90"/>
      <c r="P243" s="90"/>
      <c r="Q243" s="90"/>
      <c r="R243" s="90"/>
      <c r="S243" s="90"/>
      <c r="T243" s="215"/>
      <c r="U243" s="90"/>
      <c r="V243" s="174"/>
      <c r="W243" s="90"/>
      <c r="X243" s="174"/>
      <c r="Y243" s="174"/>
      <c r="Z243" s="174"/>
      <c r="AA243" s="174"/>
      <c r="AB243" s="90"/>
      <c r="AC243" s="90"/>
      <c r="AD243" s="90"/>
      <c r="AE243" s="90"/>
      <c r="AF243" s="90"/>
      <c r="AG243" s="90"/>
      <c r="AH243" s="90"/>
      <c r="AI243" s="90"/>
      <c r="AJ243" s="90"/>
    </row>
    <row r="244" ht="15.75" customHeight="1">
      <c r="A244" s="248"/>
      <c r="B244" s="249"/>
      <c r="C244" s="90"/>
      <c r="D244" s="248"/>
      <c r="E244" s="249"/>
      <c r="F244" s="247"/>
      <c r="G244" s="174"/>
      <c r="H244" s="174"/>
      <c r="I244" s="174"/>
      <c r="J244" s="34"/>
      <c r="K244" s="250"/>
      <c r="L244" s="250"/>
      <c r="M244" s="251"/>
      <c r="N244" s="90"/>
      <c r="O244" s="90"/>
      <c r="P244" s="90"/>
      <c r="Q244" s="90"/>
      <c r="R244" s="90"/>
      <c r="S244" s="90"/>
      <c r="T244" s="215"/>
      <c r="U244" s="90"/>
      <c r="V244" s="174"/>
      <c r="W244" s="90"/>
      <c r="X244" s="174"/>
      <c r="Y244" s="174"/>
      <c r="Z244" s="174"/>
      <c r="AA244" s="174"/>
      <c r="AB244" s="90"/>
      <c r="AC244" s="90"/>
      <c r="AD244" s="90"/>
      <c r="AE244" s="90"/>
      <c r="AF244" s="90"/>
      <c r="AG244" s="90"/>
      <c r="AH244" s="90"/>
      <c r="AI244" s="90"/>
      <c r="AJ244" s="90"/>
    </row>
    <row r="245" ht="15.75" customHeight="1">
      <c r="A245" s="248"/>
      <c r="B245" s="249"/>
      <c r="C245" s="90"/>
      <c r="D245" s="231"/>
      <c r="E245" s="249"/>
      <c r="F245" s="247"/>
      <c r="G245" s="174"/>
      <c r="H245" s="174"/>
      <c r="I245" s="174"/>
      <c r="J245" s="34"/>
      <c r="K245" s="250"/>
      <c r="L245" s="250"/>
      <c r="M245" s="251"/>
      <c r="N245" s="90"/>
      <c r="O245" s="90"/>
      <c r="P245" s="90"/>
      <c r="Q245" s="90"/>
      <c r="R245" s="90"/>
      <c r="S245" s="90"/>
      <c r="T245" s="215"/>
      <c r="U245" s="90"/>
      <c r="V245" s="174"/>
      <c r="W245" s="90"/>
      <c r="X245" s="174"/>
      <c r="Y245" s="174"/>
      <c r="Z245" s="174"/>
      <c r="AA245" s="174"/>
      <c r="AB245" s="90"/>
      <c r="AC245" s="90"/>
      <c r="AD245" s="90"/>
      <c r="AE245" s="90"/>
      <c r="AF245" s="90"/>
      <c r="AG245" s="90"/>
      <c r="AH245" s="90"/>
      <c r="AI245" s="90"/>
      <c r="AJ245" s="90"/>
    </row>
    <row r="246" ht="15.75" customHeight="1">
      <c r="A246" s="248"/>
      <c r="B246" s="249"/>
      <c r="C246" s="90"/>
      <c r="D246" s="231"/>
      <c r="E246" s="249"/>
      <c r="F246" s="247"/>
      <c r="G246" s="174"/>
      <c r="H246" s="174"/>
      <c r="I246" s="174"/>
      <c r="J246" s="34"/>
      <c r="K246" s="250"/>
      <c r="L246" s="250"/>
      <c r="M246" s="251"/>
      <c r="N246" s="90"/>
      <c r="O246" s="90"/>
      <c r="P246" s="90"/>
      <c r="Q246" s="90"/>
      <c r="R246" s="90"/>
      <c r="S246" s="90"/>
      <c r="T246" s="215"/>
      <c r="U246" s="90"/>
      <c r="V246" s="174"/>
      <c r="W246" s="90"/>
      <c r="X246" s="174"/>
      <c r="Y246" s="174"/>
      <c r="Z246" s="174"/>
      <c r="AA246" s="174"/>
      <c r="AB246" s="90"/>
      <c r="AC246" s="90"/>
      <c r="AD246" s="90"/>
      <c r="AE246" s="90"/>
      <c r="AF246" s="90"/>
      <c r="AG246" s="90"/>
      <c r="AH246" s="90"/>
      <c r="AI246" s="90"/>
      <c r="AJ246" s="90"/>
    </row>
    <row r="247" ht="15.75" customHeight="1">
      <c r="A247" s="248"/>
      <c r="B247" s="249"/>
      <c r="C247" s="90"/>
      <c r="D247" s="248"/>
      <c r="E247" s="249"/>
      <c r="F247" s="247"/>
      <c r="G247" s="174"/>
      <c r="H247" s="174"/>
      <c r="I247" s="174"/>
      <c r="J247" s="34"/>
      <c r="K247" s="250"/>
      <c r="L247" s="250"/>
      <c r="M247" s="251"/>
      <c r="N247" s="90"/>
      <c r="O247" s="90"/>
      <c r="P247" s="90"/>
      <c r="Q247" s="90"/>
      <c r="R247" s="90"/>
      <c r="S247" s="90"/>
      <c r="T247" s="215"/>
      <c r="U247" s="90"/>
      <c r="V247" s="174"/>
      <c r="W247" s="90"/>
      <c r="X247" s="174"/>
      <c r="Y247" s="174"/>
      <c r="Z247" s="174"/>
      <c r="AA247" s="174"/>
      <c r="AB247" s="90"/>
      <c r="AC247" s="90"/>
      <c r="AD247" s="90"/>
      <c r="AE247" s="90"/>
      <c r="AF247" s="90"/>
      <c r="AG247" s="90"/>
      <c r="AH247" s="90"/>
      <c r="AI247" s="90"/>
      <c r="AJ247" s="90"/>
    </row>
    <row r="248" ht="15.75" customHeight="1">
      <c r="A248" s="248"/>
      <c r="B248" s="249"/>
      <c r="C248" s="90"/>
      <c r="D248" s="252"/>
      <c r="E248" s="249"/>
      <c r="F248" s="247"/>
      <c r="G248" s="174"/>
      <c r="H248" s="174"/>
      <c r="I248" s="174"/>
      <c r="J248" s="34"/>
      <c r="K248" s="250"/>
      <c r="L248" s="250"/>
      <c r="M248" s="251"/>
      <c r="N248" s="90"/>
      <c r="O248" s="90"/>
      <c r="P248" s="90"/>
      <c r="Q248" s="90"/>
      <c r="R248" s="90"/>
      <c r="S248" s="90"/>
      <c r="T248" s="215"/>
      <c r="U248" s="90"/>
      <c r="V248" s="174"/>
      <c r="W248" s="90"/>
      <c r="X248" s="174"/>
      <c r="Y248" s="174"/>
      <c r="Z248" s="174"/>
      <c r="AA248" s="174"/>
      <c r="AB248" s="90"/>
      <c r="AC248" s="90"/>
      <c r="AD248" s="90"/>
      <c r="AE248" s="90"/>
      <c r="AF248" s="90"/>
      <c r="AG248" s="90"/>
      <c r="AH248" s="90"/>
      <c r="AI248" s="90"/>
      <c r="AJ248" s="90"/>
    </row>
    <row r="249" ht="15.75" customHeight="1">
      <c r="A249" s="248"/>
      <c r="B249" s="249"/>
      <c r="C249" s="90"/>
      <c r="D249" s="252"/>
      <c r="E249" s="249"/>
      <c r="F249" s="247"/>
      <c r="G249" s="174"/>
      <c r="H249" s="174"/>
      <c r="I249" s="174"/>
      <c r="J249" s="34"/>
      <c r="K249" s="250"/>
      <c r="L249" s="250"/>
      <c r="M249" s="251"/>
      <c r="N249" s="90"/>
      <c r="O249" s="90"/>
      <c r="P249" s="90"/>
      <c r="Q249" s="90"/>
      <c r="R249" s="90"/>
      <c r="S249" s="90"/>
      <c r="T249" s="215"/>
      <c r="U249" s="90"/>
      <c r="V249" s="174"/>
      <c r="W249" s="90"/>
      <c r="X249" s="174"/>
      <c r="Y249" s="174"/>
      <c r="Z249" s="174"/>
      <c r="AA249" s="174"/>
      <c r="AB249" s="90"/>
      <c r="AC249" s="90"/>
      <c r="AD249" s="90"/>
      <c r="AE249" s="90"/>
      <c r="AF249" s="90"/>
      <c r="AG249" s="90"/>
      <c r="AH249" s="90"/>
      <c r="AI249" s="90"/>
      <c r="AJ249" s="90"/>
    </row>
    <row r="250" ht="15.75" customHeight="1">
      <c r="A250" s="248"/>
      <c r="B250" s="249"/>
      <c r="C250" s="90"/>
      <c r="D250" s="252"/>
      <c r="E250" s="249"/>
      <c r="F250" s="247"/>
      <c r="G250" s="174"/>
      <c r="H250" s="174"/>
      <c r="I250" s="174"/>
      <c r="J250" s="34"/>
      <c r="K250" s="250"/>
      <c r="L250" s="250"/>
      <c r="M250" s="251"/>
      <c r="N250" s="90"/>
      <c r="O250" s="90"/>
      <c r="P250" s="90"/>
      <c r="Q250" s="90"/>
      <c r="R250" s="90"/>
      <c r="S250" s="90"/>
      <c r="T250" s="215"/>
      <c r="U250" s="90"/>
      <c r="V250" s="174"/>
      <c r="W250" s="90"/>
      <c r="X250" s="174"/>
      <c r="Y250" s="174"/>
      <c r="Z250" s="174"/>
      <c r="AA250" s="174"/>
      <c r="AB250" s="90"/>
      <c r="AC250" s="90"/>
      <c r="AD250" s="90"/>
      <c r="AE250" s="90"/>
      <c r="AF250" s="90"/>
      <c r="AG250" s="90"/>
      <c r="AH250" s="90"/>
      <c r="AI250" s="90"/>
      <c r="AJ250" s="90"/>
    </row>
    <row r="251" ht="15.75" customHeight="1">
      <c r="A251" s="248"/>
      <c r="B251" s="249"/>
      <c r="C251" s="90"/>
      <c r="D251" s="252"/>
      <c r="E251" s="249"/>
      <c r="F251" s="247"/>
      <c r="G251" s="174"/>
      <c r="H251" s="174"/>
      <c r="I251" s="174"/>
      <c r="J251" s="34"/>
      <c r="K251" s="250"/>
      <c r="L251" s="250"/>
      <c r="M251" s="251"/>
      <c r="N251" s="90"/>
      <c r="O251" s="90"/>
      <c r="P251" s="90"/>
      <c r="Q251" s="90"/>
      <c r="R251" s="90"/>
      <c r="S251" s="90"/>
      <c r="T251" s="215"/>
      <c r="U251" s="90"/>
      <c r="V251" s="174"/>
      <c r="W251" s="90"/>
      <c r="X251" s="174"/>
      <c r="Y251" s="174"/>
      <c r="Z251" s="174"/>
      <c r="AA251" s="174"/>
      <c r="AB251" s="90"/>
      <c r="AC251" s="90"/>
      <c r="AD251" s="90"/>
      <c r="AE251" s="90"/>
      <c r="AF251" s="90"/>
      <c r="AG251" s="90"/>
      <c r="AH251" s="90"/>
      <c r="AI251" s="90"/>
      <c r="AJ251" s="90"/>
    </row>
    <row r="252" ht="15.75" customHeight="1">
      <c r="A252" s="248"/>
      <c r="B252" s="249"/>
      <c r="C252" s="90"/>
      <c r="D252" s="252"/>
      <c r="E252" s="249"/>
      <c r="F252" s="247"/>
      <c r="G252" s="174"/>
      <c r="H252" s="174"/>
      <c r="I252" s="174"/>
      <c r="J252" s="34"/>
      <c r="K252" s="250"/>
      <c r="L252" s="250"/>
      <c r="M252" s="251"/>
      <c r="N252" s="90"/>
      <c r="O252" s="90"/>
      <c r="P252" s="90"/>
      <c r="Q252" s="90"/>
      <c r="R252" s="90"/>
      <c r="S252" s="90"/>
      <c r="T252" s="215"/>
      <c r="U252" s="90"/>
      <c r="V252" s="174"/>
      <c r="W252" s="90"/>
      <c r="X252" s="174"/>
      <c r="Y252" s="174"/>
      <c r="Z252" s="174"/>
      <c r="AA252" s="174"/>
      <c r="AB252" s="90"/>
      <c r="AC252" s="90"/>
      <c r="AD252" s="90"/>
      <c r="AE252" s="90"/>
      <c r="AF252" s="90"/>
      <c r="AG252" s="90"/>
      <c r="AH252" s="90"/>
      <c r="AI252" s="90"/>
      <c r="AJ252" s="90"/>
    </row>
    <row r="253" ht="15.75" customHeight="1">
      <c r="A253" s="248"/>
      <c r="B253" s="249"/>
      <c r="C253" s="90"/>
      <c r="D253" s="252"/>
      <c r="E253" s="249"/>
      <c r="F253" s="247"/>
      <c r="G253" s="174"/>
      <c r="H253" s="174"/>
      <c r="I253" s="174"/>
      <c r="J253" s="34"/>
      <c r="K253" s="250"/>
      <c r="L253" s="250"/>
      <c r="M253" s="251"/>
      <c r="N253" s="90"/>
      <c r="O253" s="90"/>
      <c r="P253" s="90"/>
      <c r="Q253" s="90"/>
      <c r="R253" s="90"/>
      <c r="S253" s="90"/>
      <c r="T253" s="215"/>
      <c r="U253" s="90"/>
      <c r="V253" s="174"/>
      <c r="W253" s="90"/>
      <c r="X253" s="174"/>
      <c r="Y253" s="174"/>
      <c r="Z253" s="174"/>
      <c r="AA253" s="174"/>
      <c r="AB253" s="90"/>
      <c r="AC253" s="90"/>
      <c r="AD253" s="90"/>
      <c r="AE253" s="90"/>
      <c r="AF253" s="90"/>
      <c r="AG253" s="90"/>
      <c r="AH253" s="90"/>
      <c r="AI253" s="90"/>
      <c r="AJ253" s="90"/>
    </row>
    <row r="254" ht="15.75" customHeight="1">
      <c r="A254" s="248"/>
      <c r="B254" s="249"/>
      <c r="C254" s="90"/>
      <c r="D254" s="252"/>
      <c r="E254" s="249"/>
      <c r="F254" s="247"/>
      <c r="G254" s="174"/>
      <c r="H254" s="174"/>
      <c r="I254" s="174"/>
      <c r="J254" s="34"/>
      <c r="K254" s="250"/>
      <c r="L254" s="250"/>
      <c r="M254" s="251"/>
      <c r="N254" s="90"/>
      <c r="O254" s="90"/>
      <c r="P254" s="90"/>
      <c r="Q254" s="90"/>
      <c r="R254" s="90"/>
      <c r="S254" s="90"/>
      <c r="T254" s="215"/>
      <c r="U254" s="90"/>
      <c r="V254" s="174"/>
      <c r="W254" s="90"/>
      <c r="X254" s="174"/>
      <c r="Y254" s="174"/>
      <c r="Z254" s="174"/>
      <c r="AA254" s="174"/>
      <c r="AB254" s="90"/>
      <c r="AC254" s="90"/>
      <c r="AD254" s="90"/>
      <c r="AE254" s="90"/>
      <c r="AF254" s="90"/>
      <c r="AG254" s="90"/>
      <c r="AH254" s="90"/>
      <c r="AI254" s="90"/>
      <c r="AJ254" s="90"/>
    </row>
    <row r="255" ht="15.75" customHeight="1">
      <c r="A255" s="248"/>
      <c r="B255" s="249"/>
      <c r="C255" s="90"/>
      <c r="D255" s="252"/>
      <c r="E255" s="249"/>
      <c r="F255" s="247"/>
      <c r="G255" s="174"/>
      <c r="H255" s="174"/>
      <c r="I255" s="174"/>
      <c r="J255" s="34"/>
      <c r="K255" s="250"/>
      <c r="L255" s="250"/>
      <c r="M255" s="251"/>
      <c r="N255" s="90"/>
      <c r="O255" s="90"/>
      <c r="P255" s="90"/>
      <c r="Q255" s="90"/>
      <c r="R255" s="90"/>
      <c r="S255" s="90"/>
      <c r="T255" s="215"/>
      <c r="U255" s="90"/>
      <c r="V255" s="174"/>
      <c r="W255" s="90"/>
      <c r="X255" s="174"/>
      <c r="Y255" s="174"/>
      <c r="Z255" s="174"/>
      <c r="AA255" s="174"/>
      <c r="AB255" s="90"/>
      <c r="AC255" s="90"/>
      <c r="AD255" s="90"/>
      <c r="AE255" s="90"/>
      <c r="AF255" s="90"/>
      <c r="AG255" s="90"/>
      <c r="AH255" s="90"/>
      <c r="AI255" s="90"/>
      <c r="AJ255" s="90"/>
    </row>
    <row r="256" ht="15.75" customHeight="1">
      <c r="A256" s="248"/>
      <c r="B256" s="249"/>
      <c r="C256" s="90"/>
      <c r="D256" s="252"/>
      <c r="E256" s="249"/>
      <c r="F256" s="247"/>
      <c r="G256" s="174"/>
      <c r="H256" s="174"/>
      <c r="I256" s="174"/>
      <c r="J256" s="34"/>
      <c r="K256" s="250"/>
      <c r="L256" s="250"/>
      <c r="M256" s="251"/>
      <c r="N256" s="90"/>
      <c r="O256" s="90"/>
      <c r="P256" s="90"/>
      <c r="Q256" s="90"/>
      <c r="R256" s="90"/>
      <c r="S256" s="90"/>
      <c r="T256" s="215"/>
      <c r="U256" s="90"/>
      <c r="V256" s="174"/>
      <c r="W256" s="90"/>
      <c r="X256" s="174"/>
      <c r="Y256" s="174"/>
      <c r="Z256" s="174"/>
      <c r="AA256" s="174"/>
      <c r="AB256" s="90"/>
      <c r="AC256" s="90"/>
      <c r="AD256" s="90"/>
      <c r="AE256" s="90"/>
      <c r="AF256" s="90"/>
      <c r="AG256" s="90"/>
      <c r="AH256" s="90"/>
      <c r="AI256" s="90"/>
      <c r="AJ256" s="90"/>
    </row>
    <row r="257" ht="15.75" customHeight="1">
      <c r="A257" s="248"/>
      <c r="B257" s="249"/>
      <c r="C257" s="90"/>
      <c r="D257" s="252"/>
      <c r="E257" s="249"/>
      <c r="F257" s="247"/>
      <c r="G257" s="174"/>
      <c r="H257" s="174"/>
      <c r="I257" s="174"/>
      <c r="J257" s="34"/>
      <c r="K257" s="250"/>
      <c r="L257" s="250"/>
      <c r="M257" s="251"/>
      <c r="N257" s="90"/>
      <c r="O257" s="90"/>
      <c r="P257" s="90"/>
      <c r="Q257" s="90"/>
      <c r="R257" s="90"/>
      <c r="S257" s="90"/>
      <c r="T257" s="215"/>
      <c r="U257" s="90"/>
      <c r="V257" s="174"/>
      <c r="W257" s="90"/>
      <c r="X257" s="174"/>
      <c r="Y257" s="174"/>
      <c r="Z257" s="174"/>
      <c r="AA257" s="174"/>
      <c r="AB257" s="90"/>
      <c r="AC257" s="90"/>
      <c r="AD257" s="90"/>
      <c r="AE257" s="90"/>
      <c r="AF257" s="90"/>
      <c r="AG257" s="90"/>
      <c r="AH257" s="90"/>
      <c r="AI257" s="90"/>
      <c r="AJ257" s="90"/>
    </row>
    <row r="258" ht="15.75" customHeight="1">
      <c r="A258" s="248"/>
      <c r="B258" s="249"/>
      <c r="C258" s="90"/>
      <c r="D258" s="252"/>
      <c r="E258" s="249"/>
      <c r="F258" s="247"/>
      <c r="G258" s="174"/>
      <c r="H258" s="174"/>
      <c r="I258" s="174"/>
      <c r="J258" s="34"/>
      <c r="K258" s="250"/>
      <c r="L258" s="250"/>
      <c r="M258" s="251"/>
      <c r="N258" s="90"/>
      <c r="O258" s="90"/>
      <c r="P258" s="90"/>
      <c r="Q258" s="90"/>
      <c r="R258" s="90"/>
      <c r="S258" s="90"/>
      <c r="T258" s="215"/>
      <c r="U258" s="90"/>
      <c r="V258" s="174"/>
      <c r="W258" s="90"/>
      <c r="X258" s="174"/>
      <c r="Y258" s="174"/>
      <c r="Z258" s="174"/>
      <c r="AA258" s="174"/>
      <c r="AB258" s="90"/>
      <c r="AC258" s="90"/>
      <c r="AD258" s="90"/>
      <c r="AE258" s="90"/>
      <c r="AF258" s="90"/>
      <c r="AG258" s="90"/>
      <c r="AH258" s="90"/>
      <c r="AI258" s="90"/>
      <c r="AJ258" s="90"/>
    </row>
    <row r="259" ht="15.75" customHeight="1">
      <c r="A259" s="248"/>
      <c r="B259" s="249"/>
      <c r="C259" s="90"/>
      <c r="D259" s="252"/>
      <c r="E259" s="249"/>
      <c r="F259" s="247"/>
      <c r="G259" s="174"/>
      <c r="H259" s="174"/>
      <c r="I259" s="174"/>
      <c r="J259" s="34"/>
      <c r="K259" s="250"/>
      <c r="L259" s="250"/>
      <c r="M259" s="251"/>
      <c r="N259" s="90"/>
      <c r="O259" s="90"/>
      <c r="P259" s="90"/>
      <c r="Q259" s="90"/>
      <c r="R259" s="90"/>
      <c r="S259" s="90"/>
      <c r="T259" s="215"/>
      <c r="U259" s="90"/>
      <c r="V259" s="174"/>
      <c r="W259" s="90"/>
      <c r="X259" s="174"/>
      <c r="Y259" s="174"/>
      <c r="Z259" s="174"/>
      <c r="AA259" s="174"/>
      <c r="AB259" s="90"/>
      <c r="AC259" s="90"/>
      <c r="AD259" s="90"/>
      <c r="AE259" s="90"/>
      <c r="AF259" s="90"/>
      <c r="AG259" s="90"/>
      <c r="AH259" s="90"/>
      <c r="AI259" s="90"/>
      <c r="AJ259" s="90"/>
    </row>
    <row r="260" ht="15.75" customHeight="1">
      <c r="A260" s="248"/>
      <c r="B260" s="249"/>
      <c r="C260" s="90"/>
      <c r="D260" s="252"/>
      <c r="E260" s="249"/>
      <c r="F260" s="247"/>
      <c r="G260" s="174"/>
      <c r="H260" s="174"/>
      <c r="I260" s="174"/>
      <c r="J260" s="34"/>
      <c r="K260" s="250"/>
      <c r="L260" s="250"/>
      <c r="M260" s="251"/>
      <c r="N260" s="90"/>
      <c r="O260" s="90"/>
      <c r="P260" s="90"/>
      <c r="Q260" s="90"/>
      <c r="R260" s="90"/>
      <c r="S260" s="90"/>
      <c r="T260" s="215"/>
      <c r="U260" s="90"/>
      <c r="V260" s="174"/>
      <c r="W260" s="90"/>
      <c r="X260" s="174"/>
      <c r="Y260" s="174"/>
      <c r="Z260" s="174"/>
      <c r="AA260" s="174"/>
      <c r="AB260" s="90"/>
      <c r="AC260" s="90"/>
      <c r="AD260" s="90"/>
      <c r="AE260" s="90"/>
      <c r="AF260" s="90"/>
      <c r="AG260" s="90"/>
      <c r="AH260" s="90"/>
      <c r="AI260" s="90"/>
      <c r="AJ260" s="90"/>
    </row>
    <row r="261" ht="15.75" customHeight="1">
      <c r="A261" s="248"/>
      <c r="B261" s="249"/>
      <c r="C261" s="90"/>
      <c r="D261" s="252"/>
      <c r="E261" s="249"/>
      <c r="F261" s="247"/>
      <c r="G261" s="174"/>
      <c r="H261" s="174"/>
      <c r="I261" s="174"/>
      <c r="J261" s="34"/>
      <c r="K261" s="250"/>
      <c r="L261" s="250"/>
      <c r="M261" s="251"/>
      <c r="N261" s="90"/>
      <c r="O261" s="90"/>
      <c r="P261" s="90"/>
      <c r="Q261" s="90"/>
      <c r="R261" s="90"/>
      <c r="S261" s="90"/>
      <c r="T261" s="215"/>
      <c r="U261" s="90"/>
      <c r="V261" s="174"/>
      <c r="W261" s="90"/>
      <c r="X261" s="174"/>
      <c r="Y261" s="174"/>
      <c r="Z261" s="174"/>
      <c r="AA261" s="174"/>
      <c r="AB261" s="90"/>
      <c r="AC261" s="90"/>
      <c r="AD261" s="90"/>
      <c r="AE261" s="90"/>
      <c r="AF261" s="90"/>
      <c r="AG261" s="90"/>
      <c r="AH261" s="90"/>
      <c r="AI261" s="90"/>
      <c r="AJ261" s="90"/>
    </row>
    <row r="262" ht="15.75" customHeight="1">
      <c r="A262" s="248"/>
      <c r="B262" s="249"/>
      <c r="C262" s="90"/>
      <c r="D262" s="252"/>
      <c r="E262" s="249"/>
      <c r="F262" s="247"/>
      <c r="G262" s="174"/>
      <c r="H262" s="174"/>
      <c r="I262" s="174"/>
      <c r="J262" s="34"/>
      <c r="K262" s="250"/>
      <c r="L262" s="250"/>
      <c r="M262" s="251"/>
      <c r="N262" s="90"/>
      <c r="O262" s="90"/>
      <c r="P262" s="90"/>
      <c r="Q262" s="90"/>
      <c r="R262" s="90"/>
      <c r="S262" s="90"/>
      <c r="T262" s="215"/>
      <c r="U262" s="90"/>
      <c r="V262" s="174"/>
      <c r="W262" s="90"/>
      <c r="X262" s="174"/>
      <c r="Y262" s="174"/>
      <c r="Z262" s="174"/>
      <c r="AA262" s="174"/>
      <c r="AB262" s="90"/>
      <c r="AC262" s="90"/>
      <c r="AD262" s="90"/>
      <c r="AE262" s="90"/>
      <c r="AF262" s="90"/>
      <c r="AG262" s="90"/>
      <c r="AH262" s="90"/>
      <c r="AI262" s="90"/>
      <c r="AJ262" s="90"/>
    </row>
    <row r="263" ht="15.75" customHeight="1">
      <c r="A263" s="248"/>
      <c r="B263" s="249"/>
      <c r="C263" s="90"/>
      <c r="D263" s="252"/>
      <c r="E263" s="249"/>
      <c r="F263" s="247"/>
      <c r="G263" s="174"/>
      <c r="H263" s="174"/>
      <c r="I263" s="174"/>
      <c r="J263" s="34"/>
      <c r="K263" s="250"/>
      <c r="L263" s="250"/>
      <c r="M263" s="251"/>
      <c r="N263" s="90"/>
      <c r="O263" s="90"/>
      <c r="P263" s="90"/>
      <c r="Q263" s="90"/>
      <c r="R263" s="90"/>
      <c r="S263" s="90"/>
      <c r="T263" s="215"/>
      <c r="U263" s="90"/>
      <c r="V263" s="174"/>
      <c r="W263" s="90"/>
      <c r="X263" s="174"/>
      <c r="Y263" s="174"/>
      <c r="Z263" s="174"/>
      <c r="AA263" s="174"/>
      <c r="AB263" s="90"/>
      <c r="AC263" s="90"/>
      <c r="AD263" s="90"/>
      <c r="AE263" s="90"/>
      <c r="AF263" s="90"/>
      <c r="AG263" s="90"/>
      <c r="AH263" s="90"/>
      <c r="AI263" s="90"/>
      <c r="AJ263" s="90"/>
    </row>
    <row r="264" ht="15.75" customHeight="1">
      <c r="A264" s="248"/>
      <c r="B264" s="249"/>
      <c r="C264" s="90"/>
      <c r="D264" s="252"/>
      <c r="E264" s="249"/>
      <c r="F264" s="247"/>
      <c r="G264" s="174"/>
      <c r="H264" s="174"/>
      <c r="I264" s="174"/>
      <c r="J264" s="34"/>
      <c r="K264" s="250"/>
      <c r="L264" s="250"/>
      <c r="M264" s="251"/>
      <c r="N264" s="90"/>
      <c r="O264" s="90"/>
      <c r="P264" s="90"/>
      <c r="Q264" s="90"/>
      <c r="R264" s="90"/>
      <c r="S264" s="90"/>
      <c r="T264" s="215"/>
      <c r="U264" s="90"/>
      <c r="V264" s="174"/>
      <c r="W264" s="90"/>
      <c r="X264" s="174"/>
      <c r="Y264" s="174"/>
      <c r="Z264" s="174"/>
      <c r="AA264" s="174"/>
      <c r="AB264" s="90"/>
      <c r="AC264" s="90"/>
      <c r="AD264" s="90"/>
      <c r="AE264" s="90"/>
      <c r="AF264" s="90"/>
      <c r="AG264" s="90"/>
      <c r="AH264" s="90"/>
      <c r="AI264" s="90"/>
      <c r="AJ264" s="90"/>
    </row>
    <row r="265" ht="15.75" customHeight="1">
      <c r="A265" s="248"/>
      <c r="B265" s="249"/>
      <c r="C265" s="90"/>
      <c r="D265" s="252"/>
      <c r="E265" s="249"/>
      <c r="F265" s="247"/>
      <c r="G265" s="174"/>
      <c r="H265" s="174"/>
      <c r="I265" s="174"/>
      <c r="J265" s="34"/>
      <c r="K265" s="250"/>
      <c r="L265" s="250"/>
      <c r="M265" s="251"/>
      <c r="N265" s="90"/>
      <c r="O265" s="90"/>
      <c r="P265" s="90"/>
      <c r="Q265" s="90"/>
      <c r="R265" s="90"/>
      <c r="S265" s="90"/>
      <c r="T265" s="215"/>
      <c r="U265" s="90"/>
      <c r="V265" s="174"/>
      <c r="W265" s="90"/>
      <c r="X265" s="174"/>
      <c r="Y265" s="174"/>
      <c r="Z265" s="174"/>
      <c r="AA265" s="174"/>
      <c r="AB265" s="90"/>
      <c r="AC265" s="90"/>
      <c r="AD265" s="90"/>
      <c r="AE265" s="90"/>
      <c r="AF265" s="90"/>
      <c r="AG265" s="90"/>
      <c r="AH265" s="90"/>
      <c r="AI265" s="90"/>
      <c r="AJ265" s="90"/>
    </row>
    <row r="266" ht="15.75" customHeight="1">
      <c r="A266" s="248"/>
      <c r="B266" s="249"/>
      <c r="C266" s="90"/>
      <c r="D266" s="252"/>
      <c r="E266" s="249"/>
      <c r="F266" s="247"/>
      <c r="G266" s="174"/>
      <c r="H266" s="174"/>
      <c r="I266" s="174"/>
      <c r="J266" s="34"/>
      <c r="K266" s="250"/>
      <c r="L266" s="250"/>
      <c r="M266" s="251"/>
      <c r="N266" s="90"/>
      <c r="O266" s="90"/>
      <c r="P266" s="90"/>
      <c r="Q266" s="90"/>
      <c r="R266" s="90"/>
      <c r="S266" s="90"/>
      <c r="T266" s="215"/>
      <c r="U266" s="90"/>
      <c r="V266" s="174"/>
      <c r="W266" s="90"/>
      <c r="X266" s="174"/>
      <c r="Y266" s="174"/>
      <c r="Z266" s="174"/>
      <c r="AA266" s="174"/>
      <c r="AB266" s="90"/>
      <c r="AC266" s="90"/>
      <c r="AD266" s="90"/>
      <c r="AE266" s="90"/>
      <c r="AF266" s="90"/>
      <c r="AG266" s="90"/>
      <c r="AH266" s="90"/>
      <c r="AI266" s="90"/>
      <c r="AJ266" s="90"/>
    </row>
    <row r="267" ht="15.75" customHeight="1">
      <c r="A267" s="248"/>
      <c r="B267" s="249"/>
      <c r="C267" s="90"/>
      <c r="D267" s="252"/>
      <c r="E267" s="249"/>
      <c r="F267" s="247"/>
      <c r="G267" s="174"/>
      <c r="H267" s="174"/>
      <c r="I267" s="174"/>
      <c r="J267" s="34"/>
      <c r="K267" s="250"/>
      <c r="L267" s="250"/>
      <c r="M267" s="251"/>
      <c r="N267" s="90"/>
      <c r="O267" s="90"/>
      <c r="P267" s="90"/>
      <c r="Q267" s="90"/>
      <c r="R267" s="90"/>
      <c r="S267" s="90"/>
      <c r="T267" s="215"/>
      <c r="U267" s="90"/>
      <c r="V267" s="174"/>
      <c r="W267" s="90"/>
      <c r="X267" s="174"/>
      <c r="Y267" s="174"/>
      <c r="Z267" s="174"/>
      <c r="AA267" s="174"/>
      <c r="AB267" s="90"/>
      <c r="AC267" s="90"/>
      <c r="AD267" s="90"/>
      <c r="AE267" s="90"/>
      <c r="AF267" s="90"/>
      <c r="AG267" s="90"/>
      <c r="AH267" s="90"/>
      <c r="AI267" s="90"/>
      <c r="AJ267" s="90"/>
    </row>
    <row r="268" ht="15.75" customHeight="1">
      <c r="A268" s="248"/>
      <c r="B268" s="249"/>
      <c r="C268" s="90"/>
      <c r="D268" s="252"/>
      <c r="E268" s="249"/>
      <c r="F268" s="247"/>
      <c r="G268" s="174"/>
      <c r="H268" s="174"/>
      <c r="I268" s="174"/>
      <c r="J268" s="34"/>
      <c r="K268" s="250"/>
      <c r="L268" s="250"/>
      <c r="M268" s="251"/>
      <c r="N268" s="90"/>
      <c r="O268" s="90"/>
      <c r="P268" s="90"/>
      <c r="Q268" s="90"/>
      <c r="R268" s="90"/>
      <c r="S268" s="90"/>
      <c r="T268" s="215"/>
      <c r="U268" s="90"/>
      <c r="V268" s="174"/>
      <c r="W268" s="90"/>
      <c r="X268" s="174"/>
      <c r="Y268" s="174"/>
      <c r="Z268" s="174"/>
      <c r="AA268" s="174"/>
      <c r="AB268" s="90"/>
      <c r="AC268" s="90"/>
      <c r="AD268" s="90"/>
      <c r="AE268" s="90"/>
      <c r="AF268" s="90"/>
      <c r="AG268" s="90"/>
      <c r="AH268" s="90"/>
      <c r="AI268" s="90"/>
      <c r="AJ268" s="90"/>
    </row>
    <row r="269" ht="15.75" customHeight="1">
      <c r="A269" s="248"/>
      <c r="B269" s="249"/>
      <c r="C269" s="90"/>
      <c r="D269" s="252"/>
      <c r="E269" s="249"/>
      <c r="F269" s="247"/>
      <c r="G269" s="174"/>
      <c r="H269" s="174"/>
      <c r="I269" s="174"/>
      <c r="J269" s="34"/>
      <c r="K269" s="250"/>
      <c r="L269" s="250"/>
      <c r="M269" s="251"/>
      <c r="N269" s="90"/>
      <c r="O269" s="90"/>
      <c r="P269" s="90"/>
      <c r="Q269" s="90"/>
      <c r="R269" s="90"/>
      <c r="S269" s="90"/>
      <c r="T269" s="215"/>
      <c r="U269" s="90"/>
      <c r="V269" s="174"/>
      <c r="W269" s="90"/>
      <c r="X269" s="174"/>
      <c r="Y269" s="174"/>
      <c r="Z269" s="174"/>
      <c r="AA269" s="174"/>
      <c r="AB269" s="90"/>
      <c r="AC269" s="90"/>
      <c r="AD269" s="90"/>
      <c r="AE269" s="90"/>
      <c r="AF269" s="90"/>
      <c r="AG269" s="90"/>
      <c r="AH269" s="90"/>
      <c r="AI269" s="90"/>
      <c r="AJ269" s="90"/>
    </row>
    <row r="270" ht="15.75" customHeight="1">
      <c r="A270" s="248"/>
      <c r="B270" s="249"/>
      <c r="C270" s="90"/>
      <c r="D270" s="252"/>
      <c r="E270" s="249"/>
      <c r="F270" s="247"/>
      <c r="G270" s="174"/>
      <c r="H270" s="174"/>
      <c r="I270" s="174"/>
      <c r="J270" s="34"/>
      <c r="K270" s="250"/>
      <c r="L270" s="250"/>
      <c r="M270" s="251"/>
      <c r="N270" s="90"/>
      <c r="O270" s="90"/>
      <c r="P270" s="90"/>
      <c r="Q270" s="90"/>
      <c r="R270" s="90"/>
      <c r="S270" s="90"/>
      <c r="T270" s="215"/>
      <c r="U270" s="90"/>
      <c r="V270" s="174"/>
      <c r="W270" s="90"/>
      <c r="X270" s="174"/>
      <c r="Y270" s="174"/>
      <c r="Z270" s="174"/>
      <c r="AA270" s="174"/>
      <c r="AB270" s="90"/>
      <c r="AC270" s="90"/>
      <c r="AD270" s="90"/>
      <c r="AE270" s="90"/>
      <c r="AF270" s="90"/>
      <c r="AG270" s="90"/>
      <c r="AH270" s="90"/>
      <c r="AI270" s="90"/>
      <c r="AJ270" s="90"/>
    </row>
    <row r="271" ht="15.75" customHeight="1">
      <c r="A271" s="248"/>
      <c r="B271" s="249"/>
      <c r="C271" s="90"/>
      <c r="D271" s="252"/>
      <c r="E271" s="249"/>
      <c r="F271" s="247"/>
      <c r="G271" s="174"/>
      <c r="H271" s="174"/>
      <c r="I271" s="174"/>
      <c r="J271" s="34"/>
      <c r="K271" s="250"/>
      <c r="L271" s="250"/>
      <c r="M271" s="251"/>
      <c r="N271" s="90"/>
      <c r="O271" s="90"/>
      <c r="P271" s="90"/>
      <c r="Q271" s="90"/>
      <c r="R271" s="90"/>
      <c r="S271" s="90"/>
      <c r="T271" s="215"/>
      <c r="U271" s="90"/>
      <c r="V271" s="174"/>
      <c r="W271" s="90"/>
      <c r="X271" s="174"/>
      <c r="Y271" s="174"/>
      <c r="Z271" s="174"/>
      <c r="AA271" s="174"/>
      <c r="AB271" s="90"/>
      <c r="AC271" s="90"/>
      <c r="AD271" s="90"/>
      <c r="AE271" s="90"/>
      <c r="AF271" s="90"/>
      <c r="AG271" s="90"/>
      <c r="AH271" s="90"/>
      <c r="AI271" s="90"/>
      <c r="AJ271" s="90"/>
    </row>
    <row r="272" ht="15.75" customHeight="1">
      <c r="A272" s="248"/>
      <c r="B272" s="249"/>
      <c r="C272" s="90"/>
      <c r="D272" s="252"/>
      <c r="E272" s="249"/>
      <c r="F272" s="247"/>
      <c r="G272" s="174"/>
      <c r="H272" s="174"/>
      <c r="I272" s="174"/>
      <c r="J272" s="34"/>
      <c r="K272" s="250"/>
      <c r="L272" s="250"/>
      <c r="M272" s="251"/>
      <c r="N272" s="90"/>
      <c r="O272" s="90"/>
      <c r="P272" s="90"/>
      <c r="Q272" s="90"/>
      <c r="R272" s="90"/>
      <c r="S272" s="90"/>
      <c r="T272" s="215"/>
      <c r="U272" s="90"/>
      <c r="V272" s="174"/>
      <c r="W272" s="90"/>
      <c r="X272" s="174"/>
      <c r="Y272" s="174"/>
      <c r="Z272" s="174"/>
      <c r="AA272" s="174"/>
      <c r="AB272" s="90"/>
      <c r="AC272" s="90"/>
      <c r="AD272" s="90"/>
      <c r="AE272" s="90"/>
      <c r="AF272" s="90"/>
      <c r="AG272" s="90"/>
      <c r="AH272" s="90"/>
      <c r="AI272" s="90"/>
      <c r="AJ272" s="90"/>
    </row>
    <row r="273" ht="15.75" customHeight="1">
      <c r="A273" s="248"/>
      <c r="B273" s="249"/>
      <c r="C273" s="90"/>
      <c r="D273" s="252"/>
      <c r="E273" s="249"/>
      <c r="F273" s="247"/>
      <c r="G273" s="174"/>
      <c r="H273" s="174"/>
      <c r="I273" s="174"/>
      <c r="J273" s="34"/>
      <c r="K273" s="250"/>
      <c r="L273" s="250"/>
      <c r="M273" s="251"/>
      <c r="N273" s="90"/>
      <c r="O273" s="90"/>
      <c r="P273" s="90"/>
      <c r="Q273" s="90"/>
      <c r="R273" s="90"/>
      <c r="S273" s="90"/>
      <c r="T273" s="215"/>
      <c r="U273" s="90"/>
      <c r="V273" s="174"/>
      <c r="W273" s="90"/>
      <c r="X273" s="174"/>
      <c r="Y273" s="174"/>
      <c r="Z273" s="174"/>
      <c r="AA273" s="174"/>
      <c r="AB273" s="90"/>
      <c r="AC273" s="90"/>
      <c r="AD273" s="90"/>
      <c r="AE273" s="90"/>
      <c r="AF273" s="90"/>
      <c r="AG273" s="90"/>
      <c r="AH273" s="90"/>
      <c r="AI273" s="90"/>
      <c r="AJ273" s="90"/>
    </row>
    <row r="274" ht="15.75" customHeight="1">
      <c r="A274" s="248"/>
      <c r="B274" s="249"/>
      <c r="C274" s="90"/>
      <c r="D274" s="252"/>
      <c r="E274" s="249"/>
      <c r="F274" s="247"/>
      <c r="G274" s="174"/>
      <c r="H274" s="174"/>
      <c r="I274" s="174"/>
      <c r="J274" s="34"/>
      <c r="K274" s="250"/>
      <c r="L274" s="250"/>
      <c r="M274" s="251"/>
      <c r="N274" s="90"/>
      <c r="O274" s="90"/>
      <c r="P274" s="90"/>
      <c r="Q274" s="90"/>
      <c r="R274" s="90"/>
      <c r="S274" s="90"/>
      <c r="T274" s="215"/>
      <c r="U274" s="90"/>
      <c r="V274" s="174"/>
      <c r="W274" s="90"/>
      <c r="X274" s="174"/>
      <c r="Y274" s="174"/>
      <c r="Z274" s="174"/>
      <c r="AA274" s="174"/>
      <c r="AB274" s="90"/>
      <c r="AC274" s="90"/>
      <c r="AD274" s="90"/>
      <c r="AE274" s="90"/>
      <c r="AF274" s="90"/>
      <c r="AG274" s="90"/>
      <c r="AH274" s="90"/>
      <c r="AI274" s="90"/>
      <c r="AJ274" s="90"/>
    </row>
    <row r="275" ht="15.75" customHeight="1">
      <c r="A275" s="248"/>
      <c r="B275" s="249"/>
      <c r="C275" s="90"/>
      <c r="D275" s="252"/>
      <c r="E275" s="249"/>
      <c r="F275" s="247"/>
      <c r="G275" s="174"/>
      <c r="H275" s="174"/>
      <c r="I275" s="174"/>
      <c r="J275" s="34"/>
      <c r="K275" s="250"/>
      <c r="L275" s="250"/>
      <c r="M275" s="251"/>
      <c r="N275" s="90"/>
      <c r="O275" s="90"/>
      <c r="P275" s="90"/>
      <c r="Q275" s="90"/>
      <c r="R275" s="90"/>
      <c r="S275" s="90"/>
      <c r="T275" s="215"/>
      <c r="U275" s="90"/>
      <c r="V275" s="174"/>
      <c r="W275" s="90"/>
      <c r="X275" s="174"/>
      <c r="Y275" s="174"/>
      <c r="Z275" s="174"/>
      <c r="AA275" s="174"/>
      <c r="AB275" s="90"/>
      <c r="AC275" s="90"/>
      <c r="AD275" s="90"/>
      <c r="AE275" s="90"/>
      <c r="AF275" s="90"/>
      <c r="AG275" s="90"/>
      <c r="AH275" s="90"/>
      <c r="AI275" s="90"/>
      <c r="AJ275" s="90"/>
    </row>
    <row r="276" ht="15.75" customHeight="1">
      <c r="A276" s="248"/>
      <c r="B276" s="249"/>
      <c r="C276" s="90"/>
      <c r="D276" s="252"/>
      <c r="E276" s="249"/>
      <c r="F276" s="247"/>
      <c r="G276" s="174"/>
      <c r="H276" s="174"/>
      <c r="I276" s="174"/>
      <c r="J276" s="34"/>
      <c r="K276" s="250"/>
      <c r="L276" s="250"/>
      <c r="M276" s="251"/>
      <c r="N276" s="90"/>
      <c r="O276" s="90"/>
      <c r="P276" s="90"/>
      <c r="Q276" s="90"/>
      <c r="R276" s="90"/>
      <c r="S276" s="90"/>
      <c r="T276" s="215"/>
      <c r="U276" s="90"/>
      <c r="V276" s="174"/>
      <c r="W276" s="90"/>
      <c r="X276" s="174"/>
      <c r="Y276" s="174"/>
      <c r="Z276" s="174"/>
      <c r="AA276" s="174"/>
      <c r="AB276" s="90"/>
      <c r="AC276" s="90"/>
      <c r="AD276" s="90"/>
      <c r="AE276" s="90"/>
      <c r="AF276" s="90"/>
      <c r="AG276" s="90"/>
      <c r="AH276" s="90"/>
      <c r="AI276" s="90"/>
      <c r="AJ276" s="90"/>
    </row>
    <row r="277" ht="15.75" customHeight="1">
      <c r="A277" s="248"/>
      <c r="B277" s="249"/>
      <c r="C277" s="90"/>
      <c r="D277" s="252"/>
      <c r="E277" s="249"/>
      <c r="F277" s="247"/>
      <c r="G277" s="174"/>
      <c r="H277" s="174"/>
      <c r="I277" s="174"/>
      <c r="J277" s="34"/>
      <c r="K277" s="250"/>
      <c r="L277" s="250"/>
      <c r="M277" s="251"/>
      <c r="N277" s="90"/>
      <c r="O277" s="90"/>
      <c r="P277" s="90"/>
      <c r="Q277" s="90"/>
      <c r="R277" s="90"/>
      <c r="S277" s="90"/>
      <c r="T277" s="215"/>
      <c r="U277" s="90"/>
      <c r="V277" s="174"/>
      <c r="W277" s="90"/>
      <c r="X277" s="174"/>
      <c r="Y277" s="174"/>
      <c r="Z277" s="174"/>
      <c r="AA277" s="174"/>
      <c r="AB277" s="90"/>
      <c r="AC277" s="90"/>
      <c r="AD277" s="90"/>
      <c r="AE277" s="90"/>
      <c r="AF277" s="90"/>
      <c r="AG277" s="90"/>
      <c r="AH277" s="90"/>
      <c r="AI277" s="90"/>
      <c r="AJ277" s="90"/>
    </row>
    <row r="278" ht="15.75" customHeight="1">
      <c r="A278" s="248"/>
      <c r="B278" s="249"/>
      <c r="C278" s="90"/>
      <c r="D278" s="252"/>
      <c r="E278" s="249"/>
      <c r="F278" s="247"/>
      <c r="G278" s="174"/>
      <c r="H278" s="174"/>
      <c r="I278" s="174"/>
      <c r="J278" s="34"/>
      <c r="K278" s="250"/>
      <c r="L278" s="250"/>
      <c r="M278" s="251"/>
      <c r="N278" s="90"/>
      <c r="O278" s="90"/>
      <c r="P278" s="90"/>
      <c r="Q278" s="90"/>
      <c r="R278" s="90"/>
      <c r="S278" s="90"/>
      <c r="T278" s="215"/>
      <c r="U278" s="90"/>
      <c r="V278" s="174"/>
      <c r="W278" s="90"/>
      <c r="X278" s="174"/>
      <c r="Y278" s="174"/>
      <c r="Z278" s="174"/>
      <c r="AA278" s="174"/>
      <c r="AB278" s="90"/>
      <c r="AC278" s="90"/>
      <c r="AD278" s="90"/>
      <c r="AE278" s="90"/>
      <c r="AF278" s="90"/>
      <c r="AG278" s="90"/>
      <c r="AH278" s="90"/>
      <c r="AI278" s="90"/>
      <c r="AJ278" s="90"/>
    </row>
    <row r="279" ht="15.75" customHeight="1">
      <c r="A279" s="248"/>
      <c r="B279" s="249"/>
      <c r="C279" s="90"/>
      <c r="D279" s="252"/>
      <c r="E279" s="249"/>
      <c r="F279" s="247"/>
      <c r="G279" s="174"/>
      <c r="H279" s="174"/>
      <c r="I279" s="174"/>
      <c r="J279" s="34"/>
      <c r="K279" s="250"/>
      <c r="L279" s="250"/>
      <c r="M279" s="251"/>
      <c r="N279" s="90"/>
      <c r="O279" s="90"/>
      <c r="P279" s="90"/>
      <c r="Q279" s="90"/>
      <c r="R279" s="90"/>
      <c r="S279" s="90"/>
      <c r="T279" s="215"/>
      <c r="U279" s="90"/>
      <c r="V279" s="174"/>
      <c r="W279" s="90"/>
      <c r="X279" s="174"/>
      <c r="Y279" s="174"/>
      <c r="Z279" s="174"/>
      <c r="AA279" s="174"/>
      <c r="AB279" s="90"/>
      <c r="AC279" s="90"/>
      <c r="AD279" s="90"/>
      <c r="AE279" s="90"/>
      <c r="AF279" s="90"/>
      <c r="AG279" s="90"/>
      <c r="AH279" s="90"/>
      <c r="AI279" s="90"/>
      <c r="AJ279" s="90"/>
    </row>
    <row r="280" ht="15.75" customHeight="1">
      <c r="A280" s="248"/>
      <c r="B280" s="249"/>
      <c r="C280" s="90"/>
      <c r="D280" s="252"/>
      <c r="E280" s="249"/>
      <c r="F280" s="247"/>
      <c r="G280" s="174"/>
      <c r="H280" s="174"/>
      <c r="I280" s="174"/>
      <c r="J280" s="34"/>
      <c r="K280" s="250"/>
      <c r="L280" s="250"/>
      <c r="M280" s="251"/>
      <c r="N280" s="90"/>
      <c r="O280" s="90"/>
      <c r="P280" s="90"/>
      <c r="Q280" s="90"/>
      <c r="R280" s="90"/>
      <c r="S280" s="90"/>
      <c r="T280" s="215"/>
      <c r="U280" s="90"/>
      <c r="V280" s="174"/>
      <c r="W280" s="90"/>
      <c r="X280" s="174"/>
      <c r="Y280" s="174"/>
      <c r="Z280" s="174"/>
      <c r="AA280" s="174"/>
      <c r="AB280" s="90"/>
      <c r="AC280" s="90"/>
      <c r="AD280" s="90"/>
      <c r="AE280" s="90"/>
      <c r="AF280" s="90"/>
      <c r="AG280" s="90"/>
      <c r="AH280" s="90"/>
      <c r="AI280" s="90"/>
      <c r="AJ280" s="90"/>
    </row>
    <row r="281" ht="15.75" customHeight="1">
      <c r="A281" s="248"/>
      <c r="B281" s="249"/>
      <c r="C281" s="90"/>
      <c r="D281" s="252"/>
      <c r="E281" s="249"/>
      <c r="F281" s="247"/>
      <c r="G281" s="174"/>
      <c r="H281" s="174"/>
      <c r="I281" s="174"/>
      <c r="J281" s="34"/>
      <c r="K281" s="250"/>
      <c r="L281" s="250"/>
      <c r="M281" s="251"/>
      <c r="N281" s="90"/>
      <c r="O281" s="90"/>
      <c r="P281" s="90"/>
      <c r="Q281" s="90"/>
      <c r="R281" s="90"/>
      <c r="S281" s="90"/>
      <c r="T281" s="215"/>
      <c r="U281" s="90"/>
      <c r="V281" s="174"/>
      <c r="W281" s="90"/>
      <c r="X281" s="174"/>
      <c r="Y281" s="174"/>
      <c r="Z281" s="174"/>
      <c r="AA281" s="174"/>
      <c r="AB281" s="90"/>
      <c r="AC281" s="90"/>
      <c r="AD281" s="90"/>
      <c r="AE281" s="90"/>
      <c r="AF281" s="90"/>
      <c r="AG281" s="90"/>
      <c r="AH281" s="90"/>
      <c r="AI281" s="90"/>
      <c r="AJ281" s="90"/>
    </row>
    <row r="282" ht="15.75" customHeight="1">
      <c r="A282" s="248"/>
      <c r="B282" s="249"/>
      <c r="C282" s="90"/>
      <c r="D282" s="252"/>
      <c r="E282" s="249"/>
      <c r="F282" s="247"/>
      <c r="G282" s="174"/>
      <c r="H282" s="174"/>
      <c r="I282" s="174"/>
      <c r="J282" s="34"/>
      <c r="K282" s="250"/>
      <c r="L282" s="250"/>
      <c r="M282" s="251"/>
      <c r="N282" s="90"/>
      <c r="O282" s="90"/>
      <c r="P282" s="90"/>
      <c r="Q282" s="90"/>
      <c r="R282" s="90"/>
      <c r="S282" s="90"/>
      <c r="T282" s="215"/>
      <c r="U282" s="90"/>
      <c r="V282" s="174"/>
      <c r="W282" s="90"/>
      <c r="X282" s="174"/>
      <c r="Y282" s="174"/>
      <c r="Z282" s="174"/>
      <c r="AA282" s="174"/>
      <c r="AB282" s="90"/>
      <c r="AC282" s="90"/>
      <c r="AD282" s="90"/>
      <c r="AE282" s="90"/>
      <c r="AF282" s="90"/>
      <c r="AG282" s="90"/>
      <c r="AH282" s="90"/>
      <c r="AI282" s="90"/>
      <c r="AJ282" s="90"/>
    </row>
    <row r="283" ht="15.75" customHeight="1">
      <c r="A283" s="248"/>
      <c r="B283" s="249"/>
      <c r="C283" s="90"/>
      <c r="D283" s="252"/>
      <c r="E283" s="249"/>
      <c r="F283" s="247"/>
      <c r="G283" s="174"/>
      <c r="H283" s="174"/>
      <c r="I283" s="174"/>
      <c r="J283" s="34"/>
      <c r="K283" s="250"/>
      <c r="L283" s="250"/>
      <c r="M283" s="251"/>
      <c r="N283" s="90"/>
      <c r="O283" s="90"/>
      <c r="P283" s="90"/>
      <c r="Q283" s="90"/>
      <c r="R283" s="90"/>
      <c r="S283" s="90"/>
      <c r="T283" s="215"/>
      <c r="U283" s="90"/>
      <c r="V283" s="174"/>
      <c r="W283" s="90"/>
      <c r="X283" s="174"/>
      <c r="Y283" s="174"/>
      <c r="Z283" s="174"/>
      <c r="AA283" s="174"/>
      <c r="AB283" s="90"/>
      <c r="AC283" s="90"/>
      <c r="AD283" s="90"/>
      <c r="AE283" s="90"/>
      <c r="AF283" s="90"/>
      <c r="AG283" s="90"/>
      <c r="AH283" s="90"/>
      <c r="AI283" s="90"/>
      <c r="AJ283" s="90"/>
    </row>
    <row r="284" ht="15.75" customHeight="1">
      <c r="A284" s="248"/>
      <c r="B284" s="249"/>
      <c r="C284" s="90"/>
      <c r="D284" s="252"/>
      <c r="E284" s="249"/>
      <c r="F284" s="247"/>
      <c r="G284" s="174"/>
      <c r="H284" s="174"/>
      <c r="I284" s="174"/>
      <c r="J284" s="34"/>
      <c r="K284" s="250"/>
      <c r="L284" s="250"/>
      <c r="M284" s="251"/>
      <c r="N284" s="90"/>
      <c r="O284" s="90"/>
      <c r="P284" s="90"/>
      <c r="Q284" s="90"/>
      <c r="R284" s="90"/>
      <c r="S284" s="90"/>
      <c r="T284" s="215"/>
      <c r="U284" s="90"/>
      <c r="V284" s="174"/>
      <c r="W284" s="90"/>
      <c r="X284" s="174"/>
      <c r="Y284" s="174"/>
      <c r="Z284" s="174"/>
      <c r="AA284" s="174"/>
      <c r="AB284" s="90"/>
      <c r="AC284" s="90"/>
      <c r="AD284" s="90"/>
      <c r="AE284" s="90"/>
      <c r="AF284" s="90"/>
      <c r="AG284" s="90"/>
      <c r="AH284" s="90"/>
      <c r="AI284" s="90"/>
      <c r="AJ284" s="90"/>
    </row>
    <row r="285" ht="15.75" customHeight="1">
      <c r="A285" s="248"/>
      <c r="B285" s="249"/>
      <c r="C285" s="90"/>
      <c r="D285" s="252"/>
      <c r="E285" s="249"/>
      <c r="F285" s="247"/>
      <c r="G285" s="174"/>
      <c r="H285" s="174"/>
      <c r="I285" s="174"/>
      <c r="J285" s="34"/>
      <c r="K285" s="250"/>
      <c r="L285" s="250"/>
      <c r="M285" s="251"/>
      <c r="N285" s="90"/>
      <c r="O285" s="90"/>
      <c r="P285" s="90"/>
      <c r="Q285" s="90"/>
      <c r="R285" s="90"/>
      <c r="S285" s="90"/>
      <c r="T285" s="215"/>
      <c r="U285" s="90"/>
      <c r="V285" s="174"/>
      <c r="W285" s="90"/>
      <c r="X285" s="174"/>
      <c r="Y285" s="174"/>
      <c r="Z285" s="174"/>
      <c r="AA285" s="174"/>
      <c r="AB285" s="90"/>
      <c r="AC285" s="90"/>
      <c r="AD285" s="90"/>
      <c r="AE285" s="90"/>
      <c r="AF285" s="90"/>
      <c r="AG285" s="90"/>
      <c r="AH285" s="90"/>
      <c r="AI285" s="90"/>
      <c r="AJ285" s="90"/>
    </row>
    <row r="286" ht="15.75" customHeight="1">
      <c r="A286" s="248"/>
      <c r="B286" s="249"/>
      <c r="C286" s="90"/>
      <c r="D286" s="252"/>
      <c r="E286" s="249"/>
      <c r="F286" s="247"/>
      <c r="G286" s="174"/>
      <c r="H286" s="174"/>
      <c r="I286" s="174"/>
      <c r="J286" s="34"/>
      <c r="K286" s="250"/>
      <c r="L286" s="250"/>
      <c r="M286" s="251"/>
      <c r="N286" s="90"/>
      <c r="O286" s="90"/>
      <c r="P286" s="90"/>
      <c r="Q286" s="90"/>
      <c r="R286" s="90"/>
      <c r="S286" s="90"/>
      <c r="T286" s="215"/>
      <c r="U286" s="90"/>
      <c r="V286" s="174"/>
      <c r="W286" s="90"/>
      <c r="X286" s="174"/>
      <c r="Y286" s="174"/>
      <c r="Z286" s="174"/>
      <c r="AA286" s="174"/>
      <c r="AB286" s="90"/>
      <c r="AC286" s="90"/>
      <c r="AD286" s="90"/>
      <c r="AE286" s="90"/>
      <c r="AF286" s="90"/>
      <c r="AG286" s="90"/>
      <c r="AH286" s="90"/>
      <c r="AI286" s="90"/>
      <c r="AJ286" s="90"/>
    </row>
    <row r="287" ht="15.75" customHeight="1">
      <c r="A287" s="248"/>
      <c r="B287" s="249"/>
      <c r="C287" s="90"/>
      <c r="D287" s="248"/>
      <c r="E287" s="249"/>
      <c r="F287" s="247"/>
      <c r="G287" s="174"/>
      <c r="H287" s="174"/>
      <c r="I287" s="174"/>
      <c r="J287" s="34"/>
      <c r="K287" s="250"/>
      <c r="L287" s="250"/>
      <c r="M287" s="251"/>
      <c r="N287" s="90"/>
      <c r="O287" s="90"/>
      <c r="P287" s="90"/>
      <c r="Q287" s="90"/>
      <c r="R287" s="90"/>
      <c r="S287" s="90"/>
      <c r="T287" s="215"/>
      <c r="U287" s="90"/>
      <c r="V287" s="174"/>
      <c r="W287" s="90"/>
      <c r="X287" s="174"/>
      <c r="Y287" s="174"/>
      <c r="Z287" s="174"/>
      <c r="AA287" s="174"/>
      <c r="AB287" s="90"/>
      <c r="AC287" s="90"/>
      <c r="AD287" s="90"/>
      <c r="AE287" s="90"/>
      <c r="AF287" s="90"/>
      <c r="AG287" s="90"/>
      <c r="AH287" s="90"/>
      <c r="AI287" s="90"/>
      <c r="AJ287" s="90"/>
    </row>
    <row r="288" ht="15.75" customHeight="1">
      <c r="A288" s="248"/>
      <c r="B288" s="249"/>
      <c r="C288" s="90"/>
      <c r="D288" s="248"/>
      <c r="E288" s="249"/>
      <c r="F288" s="247"/>
      <c r="G288" s="174"/>
      <c r="H288" s="174"/>
      <c r="I288" s="174"/>
      <c r="J288" s="34"/>
      <c r="K288" s="250"/>
      <c r="L288" s="250"/>
      <c r="M288" s="251"/>
      <c r="N288" s="90"/>
      <c r="O288" s="90"/>
      <c r="P288" s="90"/>
      <c r="Q288" s="90"/>
      <c r="R288" s="90"/>
      <c r="S288" s="90"/>
      <c r="T288" s="215"/>
      <c r="U288" s="90"/>
      <c r="V288" s="174"/>
      <c r="W288" s="90"/>
      <c r="X288" s="174"/>
      <c r="Y288" s="174"/>
      <c r="Z288" s="174"/>
      <c r="AA288" s="174"/>
      <c r="AB288" s="90"/>
      <c r="AC288" s="90"/>
      <c r="AD288" s="90"/>
      <c r="AE288" s="90"/>
      <c r="AF288" s="90"/>
      <c r="AG288" s="90"/>
      <c r="AH288" s="90"/>
      <c r="AI288" s="90"/>
      <c r="AJ288" s="90"/>
    </row>
    <row r="289" ht="15.75" customHeight="1">
      <c r="A289" s="248"/>
      <c r="B289" s="249"/>
      <c r="C289" s="90"/>
      <c r="D289" s="248"/>
      <c r="E289" s="249"/>
      <c r="F289" s="247"/>
      <c r="G289" s="174"/>
      <c r="H289" s="174"/>
      <c r="I289" s="174"/>
      <c r="J289" s="34"/>
      <c r="K289" s="250"/>
      <c r="L289" s="250"/>
      <c r="M289" s="251"/>
      <c r="N289" s="90"/>
      <c r="O289" s="90"/>
      <c r="P289" s="90"/>
      <c r="Q289" s="90"/>
      <c r="R289" s="90"/>
      <c r="S289" s="90"/>
      <c r="T289" s="215"/>
      <c r="U289" s="90"/>
      <c r="V289" s="174"/>
      <c r="W289" s="90"/>
      <c r="X289" s="174"/>
      <c r="Y289" s="174"/>
      <c r="Z289" s="174"/>
      <c r="AA289" s="174"/>
      <c r="AB289" s="90"/>
      <c r="AC289" s="90"/>
      <c r="AD289" s="90"/>
      <c r="AE289" s="90"/>
      <c r="AF289" s="90"/>
      <c r="AG289" s="90"/>
      <c r="AH289" s="90"/>
      <c r="AI289" s="90"/>
      <c r="AJ289" s="90"/>
    </row>
    <row r="290" ht="15.75" customHeight="1">
      <c r="A290" s="248"/>
      <c r="B290" s="249"/>
      <c r="C290" s="90"/>
      <c r="D290" s="248"/>
      <c r="E290" s="249"/>
      <c r="F290" s="247"/>
      <c r="G290" s="174"/>
      <c r="H290" s="174"/>
      <c r="I290" s="174"/>
      <c r="J290" s="34"/>
      <c r="K290" s="250"/>
      <c r="L290" s="250"/>
      <c r="M290" s="251"/>
      <c r="N290" s="90"/>
      <c r="O290" s="90"/>
      <c r="P290" s="90"/>
      <c r="Q290" s="90"/>
      <c r="R290" s="90"/>
      <c r="S290" s="90"/>
      <c r="T290" s="215"/>
      <c r="U290" s="90"/>
      <c r="V290" s="174"/>
      <c r="W290" s="90"/>
      <c r="X290" s="174"/>
      <c r="Y290" s="174"/>
      <c r="Z290" s="174"/>
      <c r="AA290" s="174"/>
      <c r="AB290" s="90"/>
      <c r="AC290" s="90"/>
      <c r="AD290" s="90"/>
      <c r="AE290" s="90"/>
      <c r="AF290" s="90"/>
      <c r="AG290" s="90"/>
      <c r="AH290" s="90"/>
      <c r="AI290" s="90"/>
      <c r="AJ290" s="90"/>
    </row>
    <row r="291" ht="15.75" customHeight="1">
      <c r="A291" s="248"/>
      <c r="B291" s="249"/>
      <c r="C291" s="90"/>
      <c r="D291" s="248"/>
      <c r="E291" s="249"/>
      <c r="F291" s="247"/>
      <c r="G291" s="174"/>
      <c r="H291" s="174"/>
      <c r="I291" s="174"/>
      <c r="J291" s="34"/>
      <c r="K291" s="250"/>
      <c r="L291" s="250"/>
      <c r="M291" s="251"/>
      <c r="N291" s="90"/>
      <c r="O291" s="90"/>
      <c r="P291" s="90"/>
      <c r="Q291" s="90"/>
      <c r="R291" s="90"/>
      <c r="S291" s="90"/>
      <c r="T291" s="215"/>
      <c r="U291" s="90"/>
      <c r="V291" s="174"/>
      <c r="W291" s="90"/>
      <c r="X291" s="174"/>
      <c r="Y291" s="174"/>
      <c r="Z291" s="174"/>
      <c r="AA291" s="174"/>
      <c r="AB291" s="90"/>
      <c r="AC291" s="90"/>
      <c r="AD291" s="90"/>
      <c r="AE291" s="90"/>
      <c r="AF291" s="90"/>
      <c r="AG291" s="90"/>
      <c r="AH291" s="90"/>
      <c r="AI291" s="90"/>
      <c r="AJ291" s="90"/>
    </row>
    <row r="292" ht="15.75" customHeight="1">
      <c r="A292" s="248"/>
      <c r="B292" s="249"/>
      <c r="C292" s="90"/>
      <c r="D292" s="231"/>
      <c r="E292" s="249"/>
      <c r="F292" s="247"/>
      <c r="G292" s="174"/>
      <c r="H292" s="174"/>
      <c r="I292" s="174"/>
      <c r="J292" s="34"/>
      <c r="K292" s="250"/>
      <c r="L292" s="250"/>
      <c r="M292" s="251"/>
      <c r="N292" s="90"/>
      <c r="O292" s="90"/>
      <c r="P292" s="90"/>
      <c r="Q292" s="90"/>
      <c r="R292" s="90"/>
      <c r="S292" s="90"/>
      <c r="T292" s="215"/>
      <c r="U292" s="90"/>
      <c r="V292" s="174"/>
      <c r="W292" s="90"/>
      <c r="X292" s="174"/>
      <c r="Y292" s="174"/>
      <c r="Z292" s="174"/>
      <c r="AA292" s="174"/>
      <c r="AB292" s="90"/>
      <c r="AC292" s="90"/>
      <c r="AD292" s="90"/>
      <c r="AE292" s="90"/>
      <c r="AF292" s="90"/>
      <c r="AG292" s="90"/>
      <c r="AH292" s="90"/>
      <c r="AI292" s="90"/>
      <c r="AJ292" s="90"/>
    </row>
    <row r="293" ht="15.75" customHeight="1">
      <c r="A293" s="248"/>
      <c r="B293" s="249"/>
      <c r="C293" s="90"/>
      <c r="D293" s="231"/>
      <c r="E293" s="249"/>
      <c r="F293" s="247"/>
      <c r="G293" s="174"/>
      <c r="H293" s="174"/>
      <c r="I293" s="174"/>
      <c r="J293" s="34"/>
      <c r="K293" s="250"/>
      <c r="L293" s="250"/>
      <c r="M293" s="251"/>
      <c r="N293" s="90"/>
      <c r="O293" s="90"/>
      <c r="P293" s="90"/>
      <c r="Q293" s="90"/>
      <c r="R293" s="90"/>
      <c r="S293" s="90"/>
      <c r="T293" s="215"/>
      <c r="U293" s="90"/>
      <c r="V293" s="174"/>
      <c r="W293" s="90"/>
      <c r="X293" s="174"/>
      <c r="Y293" s="174"/>
      <c r="Z293" s="174"/>
      <c r="AA293" s="174"/>
      <c r="AB293" s="90"/>
      <c r="AC293" s="90"/>
      <c r="AD293" s="90"/>
      <c r="AE293" s="90"/>
      <c r="AF293" s="90"/>
      <c r="AG293" s="90"/>
      <c r="AH293" s="90"/>
      <c r="AI293" s="90"/>
      <c r="AJ293" s="90"/>
    </row>
    <row r="294" ht="15.75" customHeight="1">
      <c r="A294" s="248"/>
      <c r="B294" s="249"/>
      <c r="C294" s="90"/>
      <c r="D294" s="248"/>
      <c r="E294" s="249"/>
      <c r="F294" s="247"/>
      <c r="G294" s="174"/>
      <c r="H294" s="174"/>
      <c r="I294" s="174"/>
      <c r="J294" s="34"/>
      <c r="K294" s="250"/>
      <c r="L294" s="250"/>
      <c r="M294" s="251"/>
      <c r="N294" s="90"/>
      <c r="O294" s="90"/>
      <c r="P294" s="90"/>
      <c r="Q294" s="90"/>
      <c r="R294" s="90"/>
      <c r="S294" s="90"/>
      <c r="T294" s="215"/>
      <c r="U294" s="90"/>
      <c r="V294" s="174"/>
      <c r="W294" s="90"/>
      <c r="X294" s="174"/>
      <c r="Y294" s="174"/>
      <c r="Z294" s="174"/>
      <c r="AA294" s="174"/>
      <c r="AB294" s="90"/>
      <c r="AC294" s="90"/>
      <c r="AD294" s="90"/>
      <c r="AE294" s="90"/>
      <c r="AF294" s="90"/>
      <c r="AG294" s="90"/>
      <c r="AH294" s="90"/>
      <c r="AI294" s="90"/>
      <c r="AJ294" s="90"/>
    </row>
    <row r="295" ht="15.75" customHeight="1">
      <c r="A295" s="248"/>
      <c r="B295" s="249"/>
      <c r="C295" s="90"/>
      <c r="D295" s="252"/>
      <c r="E295" s="249"/>
      <c r="F295" s="247"/>
      <c r="G295" s="174"/>
      <c r="H295" s="174"/>
      <c r="I295" s="174"/>
      <c r="J295" s="34"/>
      <c r="K295" s="250"/>
      <c r="L295" s="250"/>
      <c r="M295" s="251"/>
      <c r="N295" s="90"/>
      <c r="O295" s="90"/>
      <c r="P295" s="90"/>
      <c r="Q295" s="90"/>
      <c r="R295" s="90"/>
      <c r="S295" s="90"/>
      <c r="T295" s="215"/>
      <c r="U295" s="90"/>
      <c r="V295" s="174"/>
      <c r="W295" s="90"/>
      <c r="X295" s="174"/>
      <c r="Y295" s="174"/>
      <c r="Z295" s="174"/>
      <c r="AA295" s="174"/>
      <c r="AB295" s="90"/>
      <c r="AC295" s="90"/>
      <c r="AD295" s="90"/>
      <c r="AE295" s="90"/>
      <c r="AF295" s="90"/>
      <c r="AG295" s="90"/>
      <c r="AH295" s="90"/>
      <c r="AI295" s="90"/>
      <c r="AJ295" s="90"/>
    </row>
    <row r="296" ht="15.75" customHeight="1">
      <c r="A296" s="248"/>
      <c r="B296" s="249"/>
      <c r="C296" s="90"/>
      <c r="D296" s="252"/>
      <c r="E296" s="249"/>
      <c r="F296" s="247"/>
      <c r="G296" s="174"/>
      <c r="H296" s="174"/>
      <c r="I296" s="174"/>
      <c r="J296" s="34"/>
      <c r="K296" s="250"/>
      <c r="L296" s="250"/>
      <c r="M296" s="251"/>
      <c r="N296" s="90"/>
      <c r="O296" s="90"/>
      <c r="P296" s="90"/>
      <c r="Q296" s="90"/>
      <c r="R296" s="90"/>
      <c r="S296" s="90"/>
      <c r="T296" s="215"/>
      <c r="U296" s="90"/>
      <c r="V296" s="174"/>
      <c r="W296" s="90"/>
      <c r="X296" s="174"/>
      <c r="Y296" s="174"/>
      <c r="Z296" s="174"/>
      <c r="AA296" s="174"/>
      <c r="AB296" s="90"/>
      <c r="AC296" s="90"/>
      <c r="AD296" s="90"/>
      <c r="AE296" s="90"/>
      <c r="AF296" s="90"/>
      <c r="AG296" s="90"/>
      <c r="AH296" s="90"/>
      <c r="AI296" s="90"/>
      <c r="AJ296" s="90"/>
    </row>
    <row r="297" ht="15.75" customHeight="1">
      <c r="A297" s="248"/>
      <c r="B297" s="249"/>
      <c r="C297" s="90"/>
      <c r="D297" s="252"/>
      <c r="E297" s="249"/>
      <c r="F297" s="247"/>
      <c r="G297" s="174"/>
      <c r="H297" s="174"/>
      <c r="I297" s="174"/>
      <c r="J297" s="34"/>
      <c r="K297" s="250"/>
      <c r="L297" s="250"/>
      <c r="M297" s="251"/>
      <c r="N297" s="90"/>
      <c r="O297" s="90"/>
      <c r="P297" s="90"/>
      <c r="Q297" s="90"/>
      <c r="R297" s="90"/>
      <c r="S297" s="90"/>
      <c r="T297" s="215"/>
      <c r="U297" s="90"/>
      <c r="V297" s="174"/>
      <c r="W297" s="90"/>
      <c r="X297" s="174"/>
      <c r="Y297" s="174"/>
      <c r="Z297" s="174"/>
      <c r="AA297" s="174"/>
      <c r="AB297" s="90"/>
      <c r="AC297" s="90"/>
      <c r="AD297" s="90"/>
      <c r="AE297" s="90"/>
      <c r="AF297" s="90"/>
      <c r="AG297" s="90"/>
      <c r="AH297" s="90"/>
      <c r="AI297" s="90"/>
      <c r="AJ297" s="90"/>
    </row>
    <row r="298" ht="15.75" customHeight="1">
      <c r="A298" s="248"/>
      <c r="B298" s="249"/>
      <c r="C298" s="90"/>
      <c r="D298" s="252"/>
      <c r="E298" s="249"/>
      <c r="F298" s="247"/>
      <c r="G298" s="174"/>
      <c r="H298" s="174"/>
      <c r="I298" s="174"/>
      <c r="J298" s="34"/>
      <c r="K298" s="250"/>
      <c r="L298" s="250"/>
      <c r="M298" s="251"/>
      <c r="N298" s="90"/>
      <c r="O298" s="90"/>
      <c r="P298" s="90"/>
      <c r="Q298" s="90"/>
      <c r="R298" s="90"/>
      <c r="S298" s="90"/>
      <c r="T298" s="215"/>
      <c r="U298" s="90"/>
      <c r="V298" s="174"/>
      <c r="W298" s="90"/>
      <c r="X298" s="174"/>
      <c r="Y298" s="174"/>
      <c r="Z298" s="174"/>
      <c r="AA298" s="174"/>
      <c r="AB298" s="90"/>
      <c r="AC298" s="90"/>
      <c r="AD298" s="90"/>
      <c r="AE298" s="90"/>
      <c r="AF298" s="90"/>
      <c r="AG298" s="90"/>
      <c r="AH298" s="90"/>
      <c r="AI298" s="90"/>
      <c r="AJ298" s="90"/>
    </row>
    <row r="299" ht="15.75" customHeight="1">
      <c r="A299" s="248"/>
      <c r="B299" s="249"/>
      <c r="C299" s="90"/>
      <c r="D299" s="252"/>
      <c r="E299" s="249"/>
      <c r="F299" s="247"/>
      <c r="G299" s="174"/>
      <c r="H299" s="174"/>
      <c r="I299" s="174"/>
      <c r="J299" s="34"/>
      <c r="K299" s="250"/>
      <c r="L299" s="250"/>
      <c r="M299" s="251"/>
      <c r="N299" s="90"/>
      <c r="O299" s="90"/>
      <c r="P299" s="90"/>
      <c r="Q299" s="90"/>
      <c r="R299" s="90"/>
      <c r="S299" s="90"/>
      <c r="T299" s="215"/>
      <c r="U299" s="90"/>
      <c r="V299" s="174"/>
      <c r="W299" s="90"/>
      <c r="X299" s="174"/>
      <c r="Y299" s="174"/>
      <c r="Z299" s="174"/>
      <c r="AA299" s="174"/>
      <c r="AB299" s="90"/>
      <c r="AC299" s="90"/>
      <c r="AD299" s="90"/>
      <c r="AE299" s="90"/>
      <c r="AF299" s="90"/>
      <c r="AG299" s="90"/>
      <c r="AH299" s="90"/>
      <c r="AI299" s="90"/>
      <c r="AJ299" s="90"/>
    </row>
    <row r="300" ht="15.75" customHeight="1">
      <c r="A300" s="248"/>
      <c r="B300" s="249"/>
      <c r="C300" s="90"/>
      <c r="D300" s="252"/>
      <c r="E300" s="249"/>
      <c r="F300" s="247"/>
      <c r="G300" s="174"/>
      <c r="H300" s="174"/>
      <c r="I300" s="174"/>
      <c r="J300" s="34"/>
      <c r="K300" s="250"/>
      <c r="L300" s="250"/>
      <c r="M300" s="251"/>
      <c r="N300" s="90"/>
      <c r="O300" s="90"/>
      <c r="P300" s="90"/>
      <c r="Q300" s="90"/>
      <c r="R300" s="90"/>
      <c r="S300" s="90"/>
      <c r="T300" s="215"/>
      <c r="U300" s="90"/>
      <c r="V300" s="174"/>
      <c r="W300" s="90"/>
      <c r="X300" s="174"/>
      <c r="Y300" s="174"/>
      <c r="Z300" s="174"/>
      <c r="AA300" s="174"/>
      <c r="AB300" s="90"/>
      <c r="AC300" s="90"/>
      <c r="AD300" s="90"/>
      <c r="AE300" s="90"/>
      <c r="AF300" s="90"/>
      <c r="AG300" s="90"/>
      <c r="AH300" s="90"/>
      <c r="AI300" s="90"/>
      <c r="AJ300" s="90"/>
    </row>
    <row r="301" ht="15.75" customHeight="1">
      <c r="A301" s="248"/>
      <c r="B301" s="249"/>
      <c r="C301" s="90"/>
      <c r="D301" s="252"/>
      <c r="E301" s="249"/>
      <c r="F301" s="247"/>
      <c r="G301" s="174"/>
      <c r="H301" s="174"/>
      <c r="I301" s="174"/>
      <c r="J301" s="34"/>
      <c r="K301" s="250"/>
      <c r="L301" s="250"/>
      <c r="M301" s="251"/>
      <c r="N301" s="90"/>
      <c r="O301" s="90"/>
      <c r="P301" s="90"/>
      <c r="Q301" s="90"/>
      <c r="R301" s="90"/>
      <c r="S301" s="90"/>
      <c r="T301" s="215"/>
      <c r="U301" s="90"/>
      <c r="V301" s="174"/>
      <c r="W301" s="90"/>
      <c r="X301" s="174"/>
      <c r="Y301" s="174"/>
      <c r="Z301" s="174"/>
      <c r="AA301" s="174"/>
      <c r="AB301" s="90"/>
      <c r="AC301" s="90"/>
      <c r="AD301" s="90"/>
      <c r="AE301" s="90"/>
      <c r="AF301" s="90"/>
      <c r="AG301" s="90"/>
      <c r="AH301" s="90"/>
      <c r="AI301" s="90"/>
      <c r="AJ301" s="90"/>
    </row>
    <row r="302" ht="15.75" customHeight="1">
      <c r="A302" s="248"/>
      <c r="B302" s="249"/>
      <c r="C302" s="90"/>
      <c r="D302" s="252"/>
      <c r="E302" s="249"/>
      <c r="F302" s="247"/>
      <c r="G302" s="174"/>
      <c r="H302" s="174"/>
      <c r="I302" s="174"/>
      <c r="J302" s="34"/>
      <c r="K302" s="250"/>
      <c r="L302" s="250"/>
      <c r="M302" s="251"/>
      <c r="N302" s="90"/>
      <c r="O302" s="90"/>
      <c r="P302" s="90"/>
      <c r="Q302" s="90"/>
      <c r="R302" s="90"/>
      <c r="S302" s="90"/>
      <c r="T302" s="215"/>
      <c r="U302" s="90"/>
      <c r="V302" s="174"/>
      <c r="W302" s="90"/>
      <c r="X302" s="174"/>
      <c r="Y302" s="174"/>
      <c r="Z302" s="174"/>
      <c r="AA302" s="174"/>
      <c r="AB302" s="90"/>
      <c r="AC302" s="90"/>
      <c r="AD302" s="90"/>
      <c r="AE302" s="90"/>
      <c r="AF302" s="90"/>
      <c r="AG302" s="90"/>
      <c r="AH302" s="90"/>
      <c r="AI302" s="90"/>
      <c r="AJ302" s="90"/>
    </row>
    <row r="303" ht="15.75" customHeight="1">
      <c r="A303" s="248"/>
      <c r="B303" s="249"/>
      <c r="C303" s="90"/>
      <c r="D303" s="252"/>
      <c r="E303" s="249"/>
      <c r="F303" s="247"/>
      <c r="G303" s="174"/>
      <c r="H303" s="174"/>
      <c r="I303" s="174"/>
      <c r="J303" s="34"/>
      <c r="K303" s="250"/>
      <c r="L303" s="250"/>
      <c r="M303" s="251"/>
      <c r="N303" s="90"/>
      <c r="O303" s="90"/>
      <c r="P303" s="90"/>
      <c r="Q303" s="90"/>
      <c r="R303" s="90"/>
      <c r="S303" s="90"/>
      <c r="T303" s="215"/>
      <c r="U303" s="90"/>
      <c r="V303" s="174"/>
      <c r="W303" s="90"/>
      <c r="X303" s="174"/>
      <c r="Y303" s="174"/>
      <c r="Z303" s="174"/>
      <c r="AA303" s="174"/>
      <c r="AB303" s="90"/>
      <c r="AC303" s="90"/>
      <c r="AD303" s="90"/>
      <c r="AE303" s="90"/>
      <c r="AF303" s="90"/>
      <c r="AG303" s="90"/>
      <c r="AH303" s="90"/>
      <c r="AI303" s="90"/>
      <c r="AJ303" s="90"/>
    </row>
    <row r="304" ht="15.75" customHeight="1">
      <c r="A304" s="248"/>
      <c r="B304" s="249"/>
      <c r="C304" s="90"/>
      <c r="D304" s="252"/>
      <c r="E304" s="249"/>
      <c r="F304" s="247"/>
      <c r="G304" s="174"/>
      <c r="H304" s="174"/>
      <c r="I304" s="174"/>
      <c r="J304" s="34"/>
      <c r="K304" s="250"/>
      <c r="L304" s="250"/>
      <c r="M304" s="251"/>
      <c r="N304" s="90"/>
      <c r="O304" s="90"/>
      <c r="P304" s="90"/>
      <c r="Q304" s="90"/>
      <c r="R304" s="90"/>
      <c r="S304" s="90"/>
      <c r="T304" s="215"/>
      <c r="U304" s="90"/>
      <c r="V304" s="174"/>
      <c r="W304" s="90"/>
      <c r="X304" s="174"/>
      <c r="Y304" s="174"/>
      <c r="Z304" s="174"/>
      <c r="AA304" s="174"/>
      <c r="AB304" s="90"/>
      <c r="AC304" s="90"/>
      <c r="AD304" s="90"/>
      <c r="AE304" s="90"/>
      <c r="AF304" s="90"/>
      <c r="AG304" s="90"/>
      <c r="AH304" s="90"/>
      <c r="AI304" s="90"/>
      <c r="AJ304" s="90"/>
    </row>
    <row r="305" ht="15.75" customHeight="1">
      <c r="A305" s="248"/>
      <c r="B305" s="249"/>
      <c r="C305" s="90"/>
      <c r="D305" s="252"/>
      <c r="E305" s="249"/>
      <c r="F305" s="247"/>
      <c r="G305" s="174"/>
      <c r="H305" s="174"/>
      <c r="I305" s="174"/>
      <c r="J305" s="34"/>
      <c r="K305" s="250"/>
      <c r="L305" s="250"/>
      <c r="M305" s="251"/>
      <c r="N305" s="90"/>
      <c r="O305" s="90"/>
      <c r="P305" s="90"/>
      <c r="Q305" s="90"/>
      <c r="R305" s="90"/>
      <c r="S305" s="90"/>
      <c r="T305" s="215"/>
      <c r="U305" s="90"/>
      <c r="V305" s="174"/>
      <c r="W305" s="90"/>
      <c r="X305" s="174"/>
      <c r="Y305" s="174"/>
      <c r="Z305" s="174"/>
      <c r="AA305" s="174"/>
      <c r="AB305" s="90"/>
      <c r="AC305" s="90"/>
      <c r="AD305" s="90"/>
      <c r="AE305" s="90"/>
      <c r="AF305" s="90"/>
      <c r="AG305" s="90"/>
      <c r="AH305" s="90"/>
      <c r="AI305" s="90"/>
      <c r="AJ305" s="90"/>
    </row>
    <row r="306" ht="15.75" customHeight="1">
      <c r="A306" s="248"/>
      <c r="B306" s="249"/>
      <c r="C306" s="90"/>
      <c r="D306" s="252"/>
      <c r="E306" s="249"/>
      <c r="F306" s="247"/>
      <c r="G306" s="174"/>
      <c r="H306" s="174"/>
      <c r="I306" s="174"/>
      <c r="J306" s="34"/>
      <c r="K306" s="250"/>
      <c r="L306" s="250"/>
      <c r="M306" s="251"/>
      <c r="N306" s="90"/>
      <c r="O306" s="90"/>
      <c r="P306" s="90"/>
      <c r="Q306" s="90"/>
      <c r="R306" s="90"/>
      <c r="S306" s="90"/>
      <c r="T306" s="215"/>
      <c r="U306" s="90"/>
      <c r="V306" s="174"/>
      <c r="W306" s="90"/>
      <c r="X306" s="174"/>
      <c r="Y306" s="174"/>
      <c r="Z306" s="174"/>
      <c r="AA306" s="174"/>
      <c r="AB306" s="90"/>
      <c r="AC306" s="90"/>
      <c r="AD306" s="90"/>
      <c r="AE306" s="90"/>
      <c r="AF306" s="90"/>
      <c r="AG306" s="90"/>
      <c r="AH306" s="90"/>
      <c r="AI306" s="90"/>
      <c r="AJ306" s="90"/>
    </row>
    <row r="307" ht="15.75" customHeight="1">
      <c r="A307" s="248"/>
      <c r="B307" s="249"/>
      <c r="C307" s="90"/>
      <c r="D307" s="252"/>
      <c r="E307" s="249"/>
      <c r="F307" s="247"/>
      <c r="G307" s="174"/>
      <c r="H307" s="174"/>
      <c r="I307" s="174"/>
      <c r="J307" s="34"/>
      <c r="K307" s="250"/>
      <c r="L307" s="250"/>
      <c r="M307" s="251"/>
      <c r="N307" s="90"/>
      <c r="O307" s="90"/>
      <c r="P307" s="90"/>
      <c r="Q307" s="90"/>
      <c r="R307" s="90"/>
      <c r="S307" s="90"/>
      <c r="T307" s="215"/>
      <c r="U307" s="90"/>
      <c r="V307" s="174"/>
      <c r="W307" s="90"/>
      <c r="X307" s="174"/>
      <c r="Y307" s="174"/>
      <c r="Z307" s="174"/>
      <c r="AA307" s="174"/>
      <c r="AB307" s="90"/>
      <c r="AC307" s="90"/>
      <c r="AD307" s="90"/>
      <c r="AE307" s="90"/>
      <c r="AF307" s="90"/>
      <c r="AG307" s="90"/>
      <c r="AH307" s="90"/>
      <c r="AI307" s="90"/>
      <c r="AJ307" s="90"/>
    </row>
    <row r="308" ht="15.75" customHeight="1">
      <c r="A308" s="248"/>
      <c r="B308" s="249"/>
      <c r="C308" s="90"/>
      <c r="D308" s="252"/>
      <c r="E308" s="249"/>
      <c r="F308" s="247"/>
      <c r="G308" s="174"/>
      <c r="H308" s="174"/>
      <c r="I308" s="174"/>
      <c r="J308" s="34"/>
      <c r="K308" s="250"/>
      <c r="L308" s="250"/>
      <c r="M308" s="251"/>
      <c r="N308" s="90"/>
      <c r="O308" s="90"/>
      <c r="P308" s="90"/>
      <c r="Q308" s="90"/>
      <c r="R308" s="90"/>
      <c r="S308" s="90"/>
      <c r="T308" s="215"/>
      <c r="U308" s="90"/>
      <c r="V308" s="174"/>
      <c r="W308" s="90"/>
      <c r="X308" s="174"/>
      <c r="Y308" s="174"/>
      <c r="Z308" s="174"/>
      <c r="AA308" s="174"/>
      <c r="AB308" s="90"/>
      <c r="AC308" s="90"/>
      <c r="AD308" s="90"/>
      <c r="AE308" s="90"/>
      <c r="AF308" s="90"/>
      <c r="AG308" s="90"/>
      <c r="AH308" s="90"/>
      <c r="AI308" s="90"/>
      <c r="AJ308" s="90"/>
    </row>
    <row r="309" ht="15.75" customHeight="1">
      <c r="A309" s="248"/>
      <c r="B309" s="249"/>
      <c r="C309" s="90"/>
      <c r="D309" s="252"/>
      <c r="E309" s="249"/>
      <c r="F309" s="247"/>
      <c r="G309" s="174"/>
      <c r="H309" s="174"/>
      <c r="I309" s="174"/>
      <c r="J309" s="34"/>
      <c r="K309" s="250"/>
      <c r="L309" s="250"/>
      <c r="M309" s="251"/>
      <c r="N309" s="90"/>
      <c r="O309" s="90"/>
      <c r="P309" s="90"/>
      <c r="Q309" s="90"/>
      <c r="R309" s="90"/>
      <c r="S309" s="90"/>
      <c r="T309" s="215"/>
      <c r="U309" s="90"/>
      <c r="V309" s="174"/>
      <c r="W309" s="90"/>
      <c r="X309" s="174"/>
      <c r="Y309" s="174"/>
      <c r="Z309" s="174"/>
      <c r="AA309" s="174"/>
      <c r="AB309" s="90"/>
      <c r="AC309" s="90"/>
      <c r="AD309" s="90"/>
      <c r="AE309" s="90"/>
      <c r="AF309" s="90"/>
      <c r="AG309" s="90"/>
      <c r="AH309" s="90"/>
      <c r="AI309" s="90"/>
      <c r="AJ309" s="90"/>
    </row>
    <row r="310" ht="15.75" customHeight="1">
      <c r="A310" s="248"/>
      <c r="B310" s="249"/>
      <c r="C310" s="90"/>
      <c r="D310" s="252"/>
      <c r="E310" s="249"/>
      <c r="F310" s="247"/>
      <c r="G310" s="174"/>
      <c r="H310" s="174"/>
      <c r="I310" s="174"/>
      <c r="J310" s="34"/>
      <c r="K310" s="250"/>
      <c r="L310" s="250"/>
      <c r="M310" s="251"/>
      <c r="N310" s="90"/>
      <c r="O310" s="90"/>
      <c r="P310" s="90"/>
      <c r="Q310" s="90"/>
      <c r="R310" s="90"/>
      <c r="S310" s="90"/>
      <c r="T310" s="215"/>
      <c r="U310" s="90"/>
      <c r="V310" s="174"/>
      <c r="W310" s="90"/>
      <c r="X310" s="174"/>
      <c r="Y310" s="174"/>
      <c r="Z310" s="174"/>
      <c r="AA310" s="174"/>
      <c r="AB310" s="90"/>
      <c r="AC310" s="90"/>
      <c r="AD310" s="90"/>
      <c r="AE310" s="90"/>
      <c r="AF310" s="90"/>
      <c r="AG310" s="90"/>
      <c r="AH310" s="90"/>
      <c r="AI310" s="90"/>
      <c r="AJ310" s="90"/>
    </row>
    <row r="311" ht="15.75" customHeight="1">
      <c r="A311" s="248"/>
      <c r="B311" s="249"/>
      <c r="C311" s="90"/>
      <c r="D311" s="252"/>
      <c r="E311" s="249"/>
      <c r="F311" s="247"/>
      <c r="G311" s="174"/>
      <c r="H311" s="174"/>
      <c r="I311" s="174"/>
      <c r="J311" s="34"/>
      <c r="K311" s="250"/>
      <c r="L311" s="250"/>
      <c r="M311" s="251"/>
      <c r="N311" s="90"/>
      <c r="O311" s="90"/>
      <c r="P311" s="90"/>
      <c r="Q311" s="90"/>
      <c r="R311" s="90"/>
      <c r="S311" s="90"/>
      <c r="T311" s="215"/>
      <c r="U311" s="90"/>
      <c r="V311" s="174"/>
      <c r="W311" s="90"/>
      <c r="X311" s="174"/>
      <c r="Y311" s="174"/>
      <c r="Z311" s="174"/>
      <c r="AA311" s="174"/>
      <c r="AB311" s="90"/>
      <c r="AC311" s="90"/>
      <c r="AD311" s="90"/>
      <c r="AE311" s="90"/>
      <c r="AF311" s="90"/>
      <c r="AG311" s="90"/>
      <c r="AH311" s="90"/>
      <c r="AI311" s="90"/>
      <c r="AJ311" s="90"/>
    </row>
    <row r="312" ht="15.75" customHeight="1">
      <c r="A312" s="248"/>
      <c r="B312" s="249"/>
      <c r="C312" s="90"/>
      <c r="D312" s="252"/>
      <c r="E312" s="249"/>
      <c r="F312" s="247"/>
      <c r="G312" s="174"/>
      <c r="H312" s="174"/>
      <c r="I312" s="174"/>
      <c r="J312" s="34"/>
      <c r="K312" s="250"/>
      <c r="L312" s="250"/>
      <c r="M312" s="251"/>
      <c r="N312" s="90"/>
      <c r="O312" s="90"/>
      <c r="P312" s="90"/>
      <c r="Q312" s="90"/>
      <c r="R312" s="90"/>
      <c r="S312" s="90"/>
      <c r="T312" s="215"/>
      <c r="U312" s="90"/>
      <c r="V312" s="174"/>
      <c r="W312" s="90"/>
      <c r="X312" s="174"/>
      <c r="Y312" s="174"/>
      <c r="Z312" s="174"/>
      <c r="AA312" s="174"/>
      <c r="AB312" s="90"/>
      <c r="AC312" s="90"/>
      <c r="AD312" s="90"/>
      <c r="AE312" s="90"/>
      <c r="AF312" s="90"/>
      <c r="AG312" s="90"/>
      <c r="AH312" s="90"/>
      <c r="AI312" s="90"/>
      <c r="AJ312" s="90"/>
    </row>
    <row r="313" ht="15.75" customHeight="1">
      <c r="A313" s="248"/>
      <c r="B313" s="249"/>
      <c r="C313" s="90"/>
      <c r="D313" s="252"/>
      <c r="E313" s="249"/>
      <c r="F313" s="247"/>
      <c r="G313" s="174"/>
      <c r="H313" s="174"/>
      <c r="I313" s="174"/>
      <c r="J313" s="34"/>
      <c r="K313" s="250"/>
      <c r="L313" s="250"/>
      <c r="M313" s="251"/>
      <c r="N313" s="90"/>
      <c r="O313" s="90"/>
      <c r="P313" s="90"/>
      <c r="Q313" s="90"/>
      <c r="R313" s="90"/>
      <c r="S313" s="90"/>
      <c r="T313" s="215"/>
      <c r="U313" s="90"/>
      <c r="V313" s="174"/>
      <c r="W313" s="90"/>
      <c r="X313" s="174"/>
      <c r="Y313" s="174"/>
      <c r="Z313" s="174"/>
      <c r="AA313" s="174"/>
      <c r="AB313" s="90"/>
      <c r="AC313" s="90"/>
      <c r="AD313" s="90"/>
      <c r="AE313" s="90"/>
      <c r="AF313" s="90"/>
      <c r="AG313" s="90"/>
      <c r="AH313" s="90"/>
      <c r="AI313" s="90"/>
      <c r="AJ313" s="90"/>
    </row>
    <row r="314" ht="15.75" customHeight="1">
      <c r="A314" s="248"/>
      <c r="B314" s="249"/>
      <c r="C314" s="90"/>
      <c r="D314" s="252"/>
      <c r="E314" s="249"/>
      <c r="F314" s="247"/>
      <c r="G314" s="174"/>
      <c r="H314" s="174"/>
      <c r="I314" s="174"/>
      <c r="J314" s="34"/>
      <c r="K314" s="250"/>
      <c r="L314" s="250"/>
      <c r="M314" s="251"/>
      <c r="N314" s="90"/>
      <c r="O314" s="90"/>
      <c r="P314" s="90"/>
      <c r="Q314" s="90"/>
      <c r="R314" s="90"/>
      <c r="S314" s="90"/>
      <c r="T314" s="215"/>
      <c r="U314" s="90"/>
      <c r="V314" s="174"/>
      <c r="W314" s="90"/>
      <c r="X314" s="174"/>
      <c r="Y314" s="174"/>
      <c r="Z314" s="174"/>
      <c r="AA314" s="174"/>
      <c r="AB314" s="90"/>
      <c r="AC314" s="90"/>
      <c r="AD314" s="90"/>
      <c r="AE314" s="90"/>
      <c r="AF314" s="90"/>
      <c r="AG314" s="90"/>
      <c r="AH314" s="90"/>
      <c r="AI314" s="90"/>
      <c r="AJ314" s="90"/>
    </row>
    <row r="315" ht="15.75" customHeight="1">
      <c r="A315" s="248"/>
      <c r="B315" s="249"/>
      <c r="C315" s="90"/>
      <c r="D315" s="252"/>
      <c r="E315" s="249"/>
      <c r="F315" s="247"/>
      <c r="G315" s="174"/>
      <c r="H315" s="174"/>
      <c r="I315" s="174"/>
      <c r="J315" s="34"/>
      <c r="K315" s="250"/>
      <c r="L315" s="250"/>
      <c r="M315" s="251"/>
      <c r="N315" s="90"/>
      <c r="O315" s="90"/>
      <c r="P315" s="90"/>
      <c r="Q315" s="90"/>
      <c r="R315" s="90"/>
      <c r="S315" s="90"/>
      <c r="T315" s="215"/>
      <c r="U315" s="90"/>
      <c r="V315" s="174"/>
      <c r="W315" s="90"/>
      <c r="X315" s="174"/>
      <c r="Y315" s="174"/>
      <c r="Z315" s="174"/>
      <c r="AA315" s="174"/>
      <c r="AB315" s="90"/>
      <c r="AC315" s="90"/>
      <c r="AD315" s="90"/>
      <c r="AE315" s="90"/>
      <c r="AF315" s="90"/>
      <c r="AG315" s="90"/>
      <c r="AH315" s="90"/>
      <c r="AI315" s="90"/>
      <c r="AJ315" s="90"/>
    </row>
    <row r="316" ht="15.75" customHeight="1">
      <c r="A316" s="248"/>
      <c r="B316" s="249"/>
      <c r="C316" s="90"/>
      <c r="D316" s="252"/>
      <c r="E316" s="249"/>
      <c r="F316" s="247"/>
      <c r="G316" s="174"/>
      <c r="H316" s="174"/>
      <c r="I316" s="174"/>
      <c r="J316" s="34"/>
      <c r="K316" s="250"/>
      <c r="L316" s="250"/>
      <c r="M316" s="251"/>
      <c r="N316" s="90"/>
      <c r="O316" s="90"/>
      <c r="P316" s="90"/>
      <c r="Q316" s="90"/>
      <c r="R316" s="90"/>
      <c r="S316" s="90"/>
      <c r="T316" s="215"/>
      <c r="U316" s="90"/>
      <c r="V316" s="174"/>
      <c r="W316" s="90"/>
      <c r="X316" s="174"/>
      <c r="Y316" s="174"/>
      <c r="Z316" s="174"/>
      <c r="AA316" s="174"/>
      <c r="AB316" s="90"/>
      <c r="AC316" s="90"/>
      <c r="AD316" s="90"/>
      <c r="AE316" s="90"/>
      <c r="AF316" s="90"/>
      <c r="AG316" s="90"/>
      <c r="AH316" s="90"/>
      <c r="AI316" s="90"/>
      <c r="AJ316" s="90"/>
    </row>
    <row r="317" ht="15.75" customHeight="1">
      <c r="A317" s="248"/>
      <c r="B317" s="249"/>
      <c r="C317" s="90"/>
      <c r="D317" s="252"/>
      <c r="E317" s="249"/>
      <c r="F317" s="247"/>
      <c r="G317" s="174"/>
      <c r="H317" s="174"/>
      <c r="I317" s="174"/>
      <c r="J317" s="34"/>
      <c r="K317" s="250"/>
      <c r="L317" s="250"/>
      <c r="M317" s="251"/>
      <c r="N317" s="90"/>
      <c r="O317" s="90"/>
      <c r="P317" s="90"/>
      <c r="Q317" s="90"/>
      <c r="R317" s="90"/>
      <c r="S317" s="90"/>
      <c r="T317" s="215"/>
      <c r="U317" s="90"/>
      <c r="V317" s="174"/>
      <c r="W317" s="90"/>
      <c r="X317" s="174"/>
      <c r="Y317" s="174"/>
      <c r="Z317" s="174"/>
      <c r="AA317" s="174"/>
      <c r="AB317" s="90"/>
      <c r="AC317" s="90"/>
      <c r="AD317" s="90"/>
      <c r="AE317" s="90"/>
      <c r="AF317" s="90"/>
      <c r="AG317" s="90"/>
      <c r="AH317" s="90"/>
      <c r="AI317" s="90"/>
      <c r="AJ317" s="90"/>
    </row>
    <row r="318" ht="15.75" customHeight="1">
      <c r="G318" s="253"/>
      <c r="T318" s="254"/>
      <c r="V318" s="253"/>
    </row>
    <row r="319" ht="15.75" customHeight="1">
      <c r="G319" s="253"/>
      <c r="T319" s="254"/>
      <c r="V319" s="253"/>
    </row>
    <row r="320" ht="15.75" customHeight="1">
      <c r="G320" s="253"/>
      <c r="T320" s="254"/>
      <c r="V320" s="253"/>
    </row>
    <row r="321" ht="15.75" customHeight="1">
      <c r="G321" s="253"/>
      <c r="T321" s="254"/>
      <c r="V321" s="253"/>
    </row>
    <row r="322" ht="15.75" customHeight="1">
      <c r="G322" s="253"/>
      <c r="T322" s="254"/>
      <c r="V322" s="253"/>
    </row>
    <row r="323" ht="15.75" customHeight="1">
      <c r="G323" s="253"/>
      <c r="T323" s="254"/>
      <c r="V323" s="253"/>
    </row>
    <row r="324" ht="15.75" customHeight="1">
      <c r="G324" s="253"/>
      <c r="T324" s="254"/>
      <c r="V324" s="253"/>
    </row>
    <row r="325" ht="15.75" customHeight="1">
      <c r="G325" s="253"/>
      <c r="T325" s="254"/>
      <c r="V325" s="253"/>
    </row>
    <row r="326" ht="15.75" customHeight="1">
      <c r="G326" s="253"/>
      <c r="T326" s="254"/>
      <c r="V326" s="253"/>
    </row>
    <row r="327" ht="15.75" customHeight="1">
      <c r="G327" s="253"/>
      <c r="T327" s="254"/>
      <c r="V327" s="253"/>
    </row>
    <row r="328" ht="15.75" customHeight="1">
      <c r="G328" s="253"/>
      <c r="T328" s="254"/>
      <c r="V328" s="253"/>
    </row>
    <row r="329" ht="15.75" customHeight="1">
      <c r="G329" s="253"/>
      <c r="T329" s="254"/>
      <c r="V329" s="253"/>
    </row>
    <row r="330" ht="15.75" customHeight="1">
      <c r="G330" s="253"/>
      <c r="T330" s="254"/>
      <c r="V330" s="253"/>
    </row>
    <row r="331" ht="15.75" customHeight="1">
      <c r="G331" s="253"/>
      <c r="T331" s="254"/>
      <c r="V331" s="253"/>
    </row>
    <row r="332" ht="15.75" customHeight="1">
      <c r="G332" s="253"/>
      <c r="T332" s="254"/>
      <c r="V332" s="253"/>
    </row>
    <row r="333" ht="15.75" customHeight="1">
      <c r="G333" s="253"/>
      <c r="T333" s="254"/>
      <c r="V333" s="253"/>
    </row>
    <row r="334" ht="15.75" customHeight="1">
      <c r="G334" s="253"/>
      <c r="T334" s="254"/>
      <c r="V334" s="253"/>
    </row>
    <row r="335" ht="15.75" customHeight="1">
      <c r="G335" s="253"/>
      <c r="T335" s="254"/>
      <c r="V335" s="253"/>
    </row>
    <row r="336" ht="15.75" customHeight="1">
      <c r="G336" s="253"/>
      <c r="T336" s="254"/>
      <c r="V336" s="253"/>
    </row>
    <row r="337" ht="15.75" customHeight="1">
      <c r="G337" s="253"/>
      <c r="T337" s="254"/>
      <c r="V337" s="253"/>
    </row>
    <row r="338" ht="15.75" customHeight="1">
      <c r="G338" s="253"/>
      <c r="T338" s="254"/>
      <c r="V338" s="253"/>
    </row>
    <row r="339" ht="15.75" customHeight="1">
      <c r="G339" s="253"/>
      <c r="T339" s="254"/>
      <c r="V339" s="253"/>
    </row>
    <row r="340" ht="15.75" customHeight="1">
      <c r="G340" s="253"/>
      <c r="T340" s="254"/>
      <c r="V340" s="253"/>
    </row>
    <row r="341" ht="15.75" customHeight="1">
      <c r="G341" s="253"/>
      <c r="T341" s="254"/>
      <c r="V341" s="253"/>
    </row>
    <row r="342" ht="15.75" customHeight="1">
      <c r="G342" s="253"/>
      <c r="T342" s="254"/>
      <c r="V342" s="253"/>
    </row>
    <row r="343" ht="15.75" customHeight="1">
      <c r="G343" s="253"/>
      <c r="T343" s="254"/>
      <c r="V343" s="253"/>
    </row>
    <row r="344" ht="15.75" customHeight="1">
      <c r="G344" s="253"/>
      <c r="T344" s="254"/>
      <c r="V344" s="253"/>
    </row>
    <row r="345" ht="15.75" customHeight="1">
      <c r="G345" s="253"/>
      <c r="T345" s="254"/>
      <c r="V345" s="253"/>
    </row>
    <row r="346" ht="15.75" customHeight="1">
      <c r="G346" s="253"/>
      <c r="T346" s="254"/>
      <c r="V346" s="253"/>
    </row>
    <row r="347" ht="15.75" customHeight="1">
      <c r="G347" s="253"/>
      <c r="T347" s="254"/>
      <c r="V347" s="253"/>
    </row>
    <row r="348" ht="15.75" customHeight="1">
      <c r="G348" s="253"/>
      <c r="T348" s="254"/>
      <c r="V348" s="253"/>
    </row>
    <row r="349" ht="15.75" customHeight="1">
      <c r="G349" s="253"/>
      <c r="T349" s="254"/>
      <c r="V349" s="253"/>
    </row>
    <row r="350" ht="15.75" customHeight="1">
      <c r="G350" s="253"/>
      <c r="T350" s="254"/>
      <c r="V350" s="253"/>
    </row>
    <row r="351" ht="15.75" customHeight="1">
      <c r="G351" s="253"/>
      <c r="T351" s="254"/>
      <c r="V351" s="253"/>
    </row>
    <row r="352" ht="15.75" customHeight="1">
      <c r="G352" s="253"/>
      <c r="T352" s="254"/>
      <c r="V352" s="253"/>
    </row>
    <row r="353" ht="15.75" customHeight="1">
      <c r="G353" s="253"/>
      <c r="T353" s="254"/>
      <c r="V353" s="253"/>
    </row>
    <row r="354" ht="15.75" customHeight="1">
      <c r="G354" s="253"/>
      <c r="T354" s="254"/>
      <c r="V354" s="253"/>
    </row>
    <row r="355" ht="15.75" customHeight="1">
      <c r="G355" s="253"/>
      <c r="T355" s="254"/>
      <c r="V355" s="253"/>
    </row>
    <row r="356" ht="15.75" customHeight="1">
      <c r="G356" s="253"/>
      <c r="T356" s="254"/>
      <c r="V356" s="253"/>
    </row>
    <row r="357" ht="15.75" customHeight="1">
      <c r="G357" s="253"/>
      <c r="T357" s="254"/>
      <c r="V357" s="253"/>
    </row>
    <row r="358" ht="15.75" customHeight="1">
      <c r="G358" s="253"/>
      <c r="T358" s="254"/>
      <c r="V358" s="253"/>
    </row>
    <row r="359" ht="15.75" customHeight="1">
      <c r="G359" s="253"/>
      <c r="T359" s="254"/>
      <c r="V359" s="253"/>
    </row>
    <row r="360" ht="15.75" customHeight="1">
      <c r="G360" s="253"/>
      <c r="T360" s="254"/>
      <c r="V360" s="253"/>
    </row>
    <row r="361" ht="15.75" customHeight="1">
      <c r="G361" s="253"/>
      <c r="T361" s="254"/>
      <c r="V361" s="253"/>
    </row>
    <row r="362" ht="15.75" customHeight="1">
      <c r="G362" s="253"/>
      <c r="T362" s="254"/>
      <c r="V362" s="253"/>
    </row>
    <row r="363" ht="15.75" customHeight="1">
      <c r="G363" s="253"/>
      <c r="T363" s="254"/>
      <c r="V363" s="253"/>
    </row>
    <row r="364" ht="15.75" customHeight="1">
      <c r="G364" s="253"/>
      <c r="T364" s="254"/>
      <c r="V364" s="253"/>
    </row>
    <row r="365" ht="15.75" customHeight="1">
      <c r="G365" s="253"/>
      <c r="T365" s="254"/>
      <c r="V365" s="253"/>
    </row>
    <row r="366" ht="15.75" customHeight="1">
      <c r="G366" s="253"/>
      <c r="T366" s="254"/>
      <c r="V366" s="253"/>
    </row>
    <row r="367" ht="15.75" customHeight="1">
      <c r="G367" s="253"/>
      <c r="T367" s="254"/>
      <c r="V367" s="253"/>
    </row>
    <row r="368" ht="15.75" customHeight="1">
      <c r="G368" s="253"/>
      <c r="T368" s="254"/>
      <c r="V368" s="253"/>
    </row>
    <row r="369" ht="15.75" customHeight="1">
      <c r="G369" s="253"/>
      <c r="T369" s="254"/>
      <c r="V369" s="253"/>
    </row>
    <row r="370" ht="15.75" customHeight="1">
      <c r="G370" s="253"/>
      <c r="T370" s="254"/>
      <c r="V370" s="253"/>
    </row>
    <row r="371" ht="15.75" customHeight="1">
      <c r="G371" s="253"/>
      <c r="T371" s="254"/>
      <c r="V371" s="253"/>
    </row>
    <row r="372" ht="15.75" customHeight="1">
      <c r="G372" s="253"/>
      <c r="T372" s="254"/>
      <c r="V372" s="253"/>
    </row>
    <row r="373" ht="15.75" customHeight="1">
      <c r="G373" s="253"/>
      <c r="T373" s="254"/>
      <c r="V373" s="253"/>
    </row>
    <row r="374" ht="15.75" customHeight="1">
      <c r="G374" s="253"/>
      <c r="T374" s="254"/>
      <c r="V374" s="253"/>
    </row>
    <row r="375" ht="15.75" customHeight="1">
      <c r="G375" s="253"/>
      <c r="T375" s="254"/>
      <c r="V375" s="253"/>
    </row>
    <row r="376" ht="15.75" customHeight="1">
      <c r="G376" s="253"/>
      <c r="T376" s="254"/>
      <c r="V376" s="253"/>
    </row>
    <row r="377" ht="15.75" customHeight="1">
      <c r="G377" s="253"/>
      <c r="T377" s="254"/>
      <c r="V377" s="253"/>
    </row>
    <row r="378" ht="15.75" customHeight="1">
      <c r="G378" s="253"/>
      <c r="T378" s="254"/>
      <c r="V378" s="253"/>
    </row>
    <row r="379" ht="15.75" customHeight="1">
      <c r="G379" s="253"/>
      <c r="T379" s="254"/>
      <c r="V379" s="253"/>
    </row>
    <row r="380" ht="15.75" customHeight="1">
      <c r="G380" s="253"/>
      <c r="T380" s="254"/>
      <c r="V380" s="253"/>
    </row>
    <row r="381" ht="15.75" customHeight="1">
      <c r="G381" s="253"/>
      <c r="T381" s="254"/>
      <c r="V381" s="253"/>
    </row>
    <row r="382" ht="15.75" customHeight="1">
      <c r="G382" s="253"/>
      <c r="T382" s="254"/>
      <c r="V382" s="253"/>
    </row>
    <row r="383" ht="15.75" customHeight="1">
      <c r="G383" s="253"/>
      <c r="T383" s="254"/>
      <c r="V383" s="253"/>
    </row>
    <row r="384" ht="15.75" customHeight="1">
      <c r="G384" s="253"/>
      <c r="T384" s="254"/>
      <c r="V384" s="253"/>
    </row>
    <row r="385" ht="15.75" customHeight="1">
      <c r="G385" s="253"/>
      <c r="T385" s="254"/>
      <c r="V385" s="253"/>
    </row>
    <row r="386" ht="15.75" customHeight="1">
      <c r="G386" s="253"/>
      <c r="T386" s="254"/>
      <c r="V386" s="253"/>
    </row>
    <row r="387" ht="15.75" customHeight="1">
      <c r="G387" s="253"/>
      <c r="T387" s="254"/>
      <c r="V387" s="253"/>
    </row>
    <row r="388" ht="15.75" customHeight="1">
      <c r="G388" s="253"/>
      <c r="T388" s="254"/>
      <c r="V388" s="253"/>
    </row>
    <row r="389" ht="15.75" customHeight="1">
      <c r="G389" s="253"/>
      <c r="T389" s="254"/>
      <c r="V389" s="253"/>
    </row>
    <row r="390" ht="15.75" customHeight="1">
      <c r="G390" s="253"/>
      <c r="T390" s="254"/>
      <c r="V390" s="253"/>
    </row>
    <row r="391" ht="15.75" customHeight="1">
      <c r="G391" s="253"/>
      <c r="T391" s="254"/>
      <c r="V391" s="253"/>
    </row>
    <row r="392" ht="15.75" customHeight="1">
      <c r="G392" s="253"/>
      <c r="T392" s="254"/>
      <c r="V392" s="253"/>
    </row>
    <row r="393" ht="15.75" customHeight="1">
      <c r="G393" s="253"/>
      <c r="T393" s="254"/>
      <c r="V393" s="253"/>
    </row>
    <row r="394" ht="15.75" customHeight="1">
      <c r="G394" s="253"/>
      <c r="T394" s="254"/>
      <c r="V394" s="253"/>
    </row>
    <row r="395" ht="15.75" customHeight="1">
      <c r="G395" s="253"/>
      <c r="T395" s="254"/>
      <c r="V395" s="253"/>
    </row>
    <row r="396" ht="15.75" customHeight="1">
      <c r="G396" s="253"/>
      <c r="T396" s="254"/>
      <c r="V396" s="253"/>
    </row>
    <row r="397" ht="15.75" customHeight="1">
      <c r="G397" s="253"/>
      <c r="T397" s="254"/>
      <c r="V397" s="253"/>
    </row>
    <row r="398" ht="15.75" customHeight="1">
      <c r="G398" s="253"/>
      <c r="T398" s="254"/>
      <c r="V398" s="253"/>
    </row>
    <row r="399" ht="15.75" customHeight="1">
      <c r="G399" s="253"/>
      <c r="T399" s="254"/>
      <c r="V399" s="253"/>
    </row>
    <row r="400" ht="15.75" customHeight="1">
      <c r="G400" s="253"/>
      <c r="T400" s="254"/>
      <c r="V400" s="253"/>
    </row>
    <row r="401" ht="15.75" customHeight="1">
      <c r="G401" s="253"/>
      <c r="T401" s="254"/>
      <c r="V401" s="253"/>
    </row>
    <row r="402" ht="15.75" customHeight="1">
      <c r="G402" s="253"/>
      <c r="T402" s="254"/>
      <c r="V402" s="253"/>
    </row>
    <row r="403" ht="15.75" customHeight="1">
      <c r="G403" s="253"/>
      <c r="T403" s="254"/>
      <c r="V403" s="253"/>
    </row>
    <row r="404" ht="15.75" customHeight="1">
      <c r="G404" s="253"/>
      <c r="T404" s="254"/>
      <c r="V404" s="253"/>
    </row>
    <row r="405" ht="15.75" customHeight="1">
      <c r="G405" s="253"/>
      <c r="T405" s="254"/>
      <c r="V405" s="253"/>
    </row>
    <row r="406" ht="15.75" customHeight="1">
      <c r="G406" s="253"/>
      <c r="T406" s="254"/>
      <c r="V406" s="253"/>
    </row>
    <row r="407" ht="15.75" customHeight="1">
      <c r="G407" s="253"/>
      <c r="T407" s="254"/>
      <c r="V407" s="253"/>
    </row>
    <row r="408" ht="15.75" customHeight="1">
      <c r="G408" s="253"/>
      <c r="T408" s="254"/>
      <c r="V408" s="253"/>
    </row>
    <row r="409" ht="15.75" customHeight="1">
      <c r="G409" s="253"/>
      <c r="T409" s="254"/>
      <c r="V409" s="253"/>
    </row>
    <row r="410" ht="15.75" customHeight="1">
      <c r="G410" s="253"/>
      <c r="T410" s="254"/>
      <c r="V410" s="253"/>
    </row>
    <row r="411" ht="15.75" customHeight="1">
      <c r="G411" s="253"/>
      <c r="T411" s="254"/>
      <c r="V411" s="253"/>
    </row>
    <row r="412" ht="15.75" customHeight="1">
      <c r="G412" s="253"/>
      <c r="T412" s="254"/>
      <c r="V412" s="253"/>
    </row>
    <row r="413" ht="15.75" customHeight="1">
      <c r="G413" s="253"/>
      <c r="T413" s="254"/>
      <c r="V413" s="253"/>
    </row>
    <row r="414" ht="15.75" customHeight="1">
      <c r="G414" s="253"/>
      <c r="T414" s="254"/>
      <c r="V414" s="253"/>
    </row>
    <row r="415" ht="15.75" customHeight="1">
      <c r="G415" s="253"/>
      <c r="T415" s="254"/>
      <c r="V415" s="253"/>
    </row>
    <row r="416" ht="15.75" customHeight="1">
      <c r="G416" s="253"/>
      <c r="T416" s="254"/>
      <c r="V416" s="253"/>
    </row>
    <row r="417" ht="15.75" customHeight="1">
      <c r="G417" s="253"/>
      <c r="T417" s="254"/>
      <c r="V417" s="253"/>
    </row>
    <row r="418" ht="15.75" customHeight="1">
      <c r="G418" s="253"/>
      <c r="T418" s="254"/>
      <c r="V418" s="253"/>
    </row>
    <row r="419" ht="15.75" customHeight="1">
      <c r="G419" s="253"/>
      <c r="T419" s="254"/>
      <c r="V419" s="253"/>
    </row>
    <row r="420" ht="15.75" customHeight="1">
      <c r="G420" s="253"/>
      <c r="T420" s="254"/>
      <c r="V420" s="253"/>
    </row>
    <row r="421" ht="15.75" customHeight="1">
      <c r="G421" s="253"/>
      <c r="T421" s="254"/>
      <c r="V421" s="253"/>
    </row>
    <row r="422" ht="15.75" customHeight="1">
      <c r="G422" s="253"/>
      <c r="T422" s="254"/>
      <c r="V422" s="253"/>
    </row>
    <row r="423" ht="15.75" customHeight="1">
      <c r="G423" s="253"/>
      <c r="T423" s="254"/>
      <c r="V423" s="253"/>
    </row>
    <row r="424" ht="15.75" customHeight="1">
      <c r="G424" s="253"/>
      <c r="T424" s="254"/>
      <c r="V424" s="253"/>
    </row>
    <row r="425" ht="15.75" customHeight="1">
      <c r="G425" s="253"/>
      <c r="T425" s="254"/>
      <c r="V425" s="253"/>
    </row>
    <row r="426" ht="15.75" customHeight="1">
      <c r="G426" s="253"/>
      <c r="T426" s="254"/>
      <c r="V426" s="253"/>
    </row>
    <row r="427" ht="15.75" customHeight="1">
      <c r="G427" s="253"/>
      <c r="T427" s="254"/>
      <c r="V427" s="253"/>
    </row>
    <row r="428" ht="15.75" customHeight="1">
      <c r="G428" s="253"/>
      <c r="T428" s="254"/>
      <c r="V428" s="253"/>
    </row>
    <row r="429" ht="15.75" customHeight="1">
      <c r="G429" s="253"/>
      <c r="T429" s="254"/>
      <c r="V429" s="253"/>
    </row>
    <row r="430" ht="15.75" customHeight="1">
      <c r="G430" s="253"/>
      <c r="T430" s="254"/>
      <c r="V430" s="253"/>
    </row>
    <row r="431" ht="15.75" customHeight="1">
      <c r="G431" s="253"/>
      <c r="T431" s="254"/>
      <c r="V431" s="253"/>
    </row>
    <row r="432" ht="15.75" customHeight="1">
      <c r="G432" s="253"/>
      <c r="T432" s="254"/>
      <c r="V432" s="253"/>
    </row>
    <row r="433" ht="15.75" customHeight="1">
      <c r="G433" s="253"/>
      <c r="T433" s="254"/>
      <c r="V433" s="253"/>
    </row>
    <row r="434" ht="15.75" customHeight="1">
      <c r="G434" s="253"/>
      <c r="T434" s="254"/>
      <c r="V434" s="253"/>
    </row>
    <row r="435" ht="15.75" customHeight="1">
      <c r="G435" s="253"/>
      <c r="T435" s="254"/>
      <c r="V435" s="253"/>
    </row>
    <row r="436" ht="15.75" customHeight="1">
      <c r="G436" s="253"/>
      <c r="T436" s="254"/>
      <c r="V436" s="253"/>
    </row>
    <row r="437" ht="15.75" customHeight="1">
      <c r="G437" s="253"/>
      <c r="T437" s="254"/>
      <c r="V437" s="253"/>
    </row>
    <row r="438" ht="15.75" customHeight="1">
      <c r="G438" s="253"/>
      <c r="T438" s="254"/>
      <c r="V438" s="253"/>
    </row>
    <row r="439" ht="15.75" customHeight="1">
      <c r="G439" s="253"/>
      <c r="T439" s="254"/>
      <c r="V439" s="253"/>
    </row>
    <row r="440" ht="15.75" customHeight="1">
      <c r="G440" s="253"/>
      <c r="T440" s="254"/>
      <c r="V440" s="253"/>
    </row>
    <row r="441" ht="15.75" customHeight="1">
      <c r="G441" s="253"/>
      <c r="T441" s="254"/>
      <c r="V441" s="253"/>
    </row>
    <row r="442" ht="15.75" customHeight="1">
      <c r="G442" s="253"/>
      <c r="T442" s="254"/>
      <c r="V442" s="253"/>
    </row>
    <row r="443" ht="15.75" customHeight="1">
      <c r="G443" s="253"/>
      <c r="T443" s="254"/>
      <c r="V443" s="253"/>
    </row>
    <row r="444" ht="15.75" customHeight="1">
      <c r="G444" s="253"/>
      <c r="T444" s="254"/>
      <c r="V444" s="253"/>
    </row>
    <row r="445" ht="15.75" customHeight="1">
      <c r="G445" s="253"/>
      <c r="T445" s="254"/>
      <c r="V445" s="253"/>
    </row>
    <row r="446" ht="15.75" customHeight="1">
      <c r="G446" s="253"/>
      <c r="T446" s="254"/>
      <c r="V446" s="253"/>
    </row>
    <row r="447" ht="15.75" customHeight="1">
      <c r="G447" s="253"/>
      <c r="T447" s="254"/>
      <c r="V447" s="253"/>
    </row>
    <row r="448" ht="15.75" customHeight="1">
      <c r="G448" s="253"/>
      <c r="T448" s="254"/>
      <c r="V448" s="253"/>
    </row>
    <row r="449" ht="15.75" customHeight="1">
      <c r="G449" s="253"/>
      <c r="T449" s="254"/>
      <c r="V449" s="253"/>
    </row>
    <row r="450" ht="15.75" customHeight="1">
      <c r="G450" s="253"/>
      <c r="T450" s="254"/>
      <c r="V450" s="253"/>
    </row>
    <row r="451" ht="15.75" customHeight="1">
      <c r="G451" s="253"/>
      <c r="T451" s="254"/>
      <c r="V451" s="253"/>
    </row>
    <row r="452" ht="15.75" customHeight="1">
      <c r="G452" s="253"/>
      <c r="T452" s="254"/>
      <c r="V452" s="253"/>
    </row>
    <row r="453" ht="15.75" customHeight="1">
      <c r="G453" s="253"/>
      <c r="T453" s="254"/>
      <c r="V453" s="253"/>
    </row>
    <row r="454" ht="15.75" customHeight="1">
      <c r="G454" s="253"/>
      <c r="T454" s="254"/>
      <c r="V454" s="253"/>
    </row>
    <row r="455" ht="15.75" customHeight="1">
      <c r="G455" s="253"/>
      <c r="T455" s="254"/>
      <c r="V455" s="253"/>
    </row>
    <row r="456" ht="15.75" customHeight="1">
      <c r="G456" s="253"/>
      <c r="T456" s="254"/>
      <c r="V456" s="253"/>
    </row>
    <row r="457" ht="15.75" customHeight="1">
      <c r="G457" s="253"/>
      <c r="T457" s="254"/>
      <c r="V457" s="253"/>
    </row>
    <row r="458" ht="15.75" customHeight="1">
      <c r="G458" s="253"/>
      <c r="T458" s="254"/>
      <c r="V458" s="253"/>
    </row>
    <row r="459" ht="15.75" customHeight="1">
      <c r="G459" s="253"/>
      <c r="T459" s="254"/>
      <c r="V459" s="253"/>
    </row>
    <row r="460" ht="15.75" customHeight="1">
      <c r="G460" s="253"/>
      <c r="T460" s="254"/>
      <c r="V460" s="253"/>
    </row>
    <row r="461" ht="15.75" customHeight="1">
      <c r="G461" s="253"/>
      <c r="T461" s="254"/>
      <c r="V461" s="253"/>
    </row>
    <row r="462" ht="15.75" customHeight="1">
      <c r="G462" s="253"/>
      <c r="T462" s="254"/>
      <c r="V462" s="253"/>
    </row>
    <row r="463" ht="15.75" customHeight="1">
      <c r="G463" s="253"/>
      <c r="T463" s="254"/>
      <c r="V463" s="253"/>
    </row>
    <row r="464" ht="15.75" customHeight="1">
      <c r="G464" s="253"/>
      <c r="T464" s="254"/>
      <c r="V464" s="253"/>
    </row>
    <row r="465" ht="15.75" customHeight="1">
      <c r="G465" s="253"/>
      <c r="T465" s="254"/>
      <c r="V465" s="253"/>
    </row>
    <row r="466" ht="15.75" customHeight="1">
      <c r="G466" s="253"/>
      <c r="T466" s="254"/>
      <c r="V466" s="253"/>
    </row>
    <row r="467" ht="15.75" customHeight="1">
      <c r="G467" s="253"/>
      <c r="T467" s="254"/>
      <c r="V467" s="253"/>
    </row>
    <row r="468" ht="15.75" customHeight="1">
      <c r="G468" s="253"/>
      <c r="T468" s="254"/>
      <c r="V468" s="253"/>
    </row>
    <row r="469" ht="15.75" customHeight="1">
      <c r="G469" s="253"/>
      <c r="T469" s="254"/>
      <c r="V469" s="253"/>
    </row>
    <row r="470" ht="15.75" customHeight="1">
      <c r="G470" s="253"/>
      <c r="T470" s="254"/>
      <c r="V470" s="253"/>
    </row>
    <row r="471" ht="15.75" customHeight="1">
      <c r="G471" s="253"/>
      <c r="T471" s="254"/>
      <c r="V471" s="253"/>
    </row>
    <row r="472" ht="15.75" customHeight="1">
      <c r="G472" s="253"/>
      <c r="T472" s="254"/>
      <c r="V472" s="253"/>
    </row>
    <row r="473" ht="15.75" customHeight="1">
      <c r="G473" s="253"/>
      <c r="T473" s="254"/>
      <c r="V473" s="253"/>
    </row>
    <row r="474" ht="15.75" customHeight="1">
      <c r="G474" s="253"/>
      <c r="T474" s="254"/>
      <c r="V474" s="253"/>
    </row>
    <row r="475" ht="15.75" customHeight="1">
      <c r="G475" s="253"/>
      <c r="T475" s="254"/>
      <c r="V475" s="253"/>
    </row>
    <row r="476" ht="15.75" customHeight="1">
      <c r="G476" s="253"/>
      <c r="T476" s="254"/>
      <c r="V476" s="253"/>
    </row>
    <row r="477" ht="15.75" customHeight="1">
      <c r="G477" s="253"/>
      <c r="T477" s="254"/>
      <c r="V477" s="253"/>
    </row>
    <row r="478" ht="15.75" customHeight="1">
      <c r="G478" s="253"/>
      <c r="T478" s="254"/>
      <c r="V478" s="253"/>
    </row>
    <row r="479" ht="15.75" customHeight="1">
      <c r="G479" s="253"/>
      <c r="T479" s="254"/>
      <c r="V479" s="253"/>
    </row>
    <row r="480" ht="15.75" customHeight="1">
      <c r="G480" s="253"/>
      <c r="T480" s="254"/>
      <c r="V480" s="253"/>
    </row>
    <row r="481" ht="15.75" customHeight="1">
      <c r="G481" s="253"/>
      <c r="T481" s="254"/>
      <c r="V481" s="253"/>
    </row>
    <row r="482" ht="15.75" customHeight="1">
      <c r="G482" s="253"/>
      <c r="T482" s="254"/>
      <c r="V482" s="253"/>
    </row>
    <row r="483" ht="15.75" customHeight="1">
      <c r="G483" s="253"/>
      <c r="T483" s="254"/>
      <c r="V483" s="253"/>
    </row>
    <row r="484" ht="15.75" customHeight="1">
      <c r="G484" s="253"/>
      <c r="T484" s="254"/>
      <c r="V484" s="253"/>
    </row>
    <row r="485" ht="15.75" customHeight="1">
      <c r="G485" s="253"/>
      <c r="T485" s="254"/>
      <c r="V485" s="253"/>
    </row>
    <row r="486" ht="15.75" customHeight="1">
      <c r="G486" s="253"/>
      <c r="T486" s="254"/>
      <c r="V486" s="253"/>
    </row>
    <row r="487" ht="15.75" customHeight="1">
      <c r="G487" s="253"/>
      <c r="T487" s="254"/>
      <c r="V487" s="253"/>
    </row>
    <row r="488" ht="15.75" customHeight="1">
      <c r="G488" s="253"/>
      <c r="T488" s="254"/>
      <c r="V488" s="253"/>
    </row>
    <row r="489" ht="15.75" customHeight="1">
      <c r="G489" s="253"/>
      <c r="T489" s="254"/>
      <c r="V489" s="253"/>
    </row>
    <row r="490" ht="15.75" customHeight="1">
      <c r="G490" s="253"/>
      <c r="T490" s="254"/>
      <c r="V490" s="253"/>
    </row>
    <row r="491" ht="15.75" customHeight="1">
      <c r="G491" s="253"/>
      <c r="T491" s="254"/>
      <c r="V491" s="253"/>
    </row>
    <row r="492" ht="15.75" customHeight="1">
      <c r="G492" s="253"/>
      <c r="T492" s="254"/>
      <c r="V492" s="253"/>
    </row>
    <row r="493" ht="15.75" customHeight="1">
      <c r="G493" s="253"/>
      <c r="T493" s="254"/>
      <c r="V493" s="253"/>
    </row>
    <row r="494" ht="15.75" customHeight="1">
      <c r="G494" s="253"/>
      <c r="T494" s="254"/>
      <c r="V494" s="253"/>
    </row>
    <row r="495" ht="15.75" customHeight="1">
      <c r="G495" s="253"/>
      <c r="T495" s="254"/>
      <c r="V495" s="253"/>
    </row>
    <row r="496" ht="15.75" customHeight="1">
      <c r="G496" s="253"/>
      <c r="T496" s="254"/>
      <c r="V496" s="253"/>
    </row>
    <row r="497" ht="15.75" customHeight="1">
      <c r="G497" s="253"/>
      <c r="T497" s="254"/>
      <c r="V497" s="253"/>
    </row>
    <row r="498" ht="15.75" customHeight="1">
      <c r="G498" s="253"/>
      <c r="T498" s="254"/>
      <c r="V498" s="253"/>
    </row>
    <row r="499" ht="15.75" customHeight="1">
      <c r="G499" s="253"/>
      <c r="T499" s="254"/>
      <c r="V499" s="253"/>
    </row>
    <row r="500" ht="15.75" customHeight="1">
      <c r="G500" s="253"/>
      <c r="T500" s="254"/>
      <c r="V500" s="253"/>
    </row>
    <row r="501" ht="15.75" customHeight="1">
      <c r="G501" s="253"/>
      <c r="T501" s="254"/>
      <c r="V501" s="253"/>
    </row>
    <row r="502" ht="15.75" customHeight="1">
      <c r="G502" s="253"/>
      <c r="T502" s="254"/>
      <c r="V502" s="253"/>
    </row>
    <row r="503" ht="15.75" customHeight="1">
      <c r="G503" s="253"/>
      <c r="T503" s="254"/>
      <c r="V503" s="253"/>
    </row>
    <row r="504" ht="15.75" customHeight="1">
      <c r="G504" s="253"/>
      <c r="T504" s="254"/>
      <c r="V504" s="253"/>
    </row>
    <row r="505" ht="15.75" customHeight="1">
      <c r="G505" s="253"/>
      <c r="T505" s="254"/>
      <c r="V505" s="253"/>
    </row>
    <row r="506" ht="15.75" customHeight="1">
      <c r="G506" s="253"/>
      <c r="T506" s="254"/>
      <c r="V506" s="253"/>
    </row>
    <row r="507" ht="15.75" customHeight="1">
      <c r="G507" s="253"/>
      <c r="T507" s="254"/>
      <c r="V507" s="253"/>
    </row>
    <row r="508" ht="15.75" customHeight="1">
      <c r="G508" s="253"/>
      <c r="T508" s="254"/>
      <c r="V508" s="253"/>
    </row>
    <row r="509" ht="15.75" customHeight="1">
      <c r="G509" s="253"/>
      <c r="T509" s="254"/>
      <c r="V509" s="253"/>
    </row>
    <row r="510" ht="15.75" customHeight="1">
      <c r="G510" s="253"/>
      <c r="T510" s="254"/>
      <c r="V510" s="253"/>
    </row>
    <row r="511" ht="15.75" customHeight="1">
      <c r="G511" s="253"/>
      <c r="T511" s="254"/>
      <c r="V511" s="253"/>
    </row>
    <row r="512" ht="15.75" customHeight="1">
      <c r="G512" s="253"/>
      <c r="T512" s="254"/>
      <c r="V512" s="253"/>
    </row>
    <row r="513" ht="15.75" customHeight="1">
      <c r="G513" s="253"/>
      <c r="T513" s="254"/>
      <c r="V513" s="253"/>
    </row>
    <row r="514" ht="15.75" customHeight="1">
      <c r="G514" s="253"/>
      <c r="T514" s="254"/>
      <c r="V514" s="253"/>
    </row>
    <row r="515" ht="15.75" customHeight="1">
      <c r="G515" s="253"/>
      <c r="T515" s="254"/>
      <c r="V515" s="253"/>
    </row>
    <row r="516" ht="15.75" customHeight="1">
      <c r="G516" s="253"/>
      <c r="T516" s="254"/>
      <c r="V516" s="253"/>
    </row>
    <row r="517" ht="15.75" customHeight="1">
      <c r="G517" s="253"/>
      <c r="T517" s="254"/>
      <c r="V517" s="253"/>
    </row>
    <row r="518" ht="15.75" customHeight="1">
      <c r="G518" s="253"/>
      <c r="T518" s="254"/>
      <c r="V518" s="253"/>
    </row>
    <row r="519" ht="15.75" customHeight="1">
      <c r="G519" s="253"/>
      <c r="T519" s="254"/>
      <c r="V519" s="253"/>
    </row>
    <row r="520" ht="15.75" customHeight="1">
      <c r="G520" s="253"/>
      <c r="T520" s="254"/>
      <c r="V520" s="253"/>
    </row>
    <row r="521" ht="15.75" customHeight="1">
      <c r="G521" s="253"/>
      <c r="T521" s="254"/>
      <c r="V521" s="253"/>
    </row>
    <row r="522" ht="15.75" customHeight="1">
      <c r="G522" s="253"/>
      <c r="T522" s="254"/>
      <c r="V522" s="253"/>
    </row>
    <row r="523" ht="15.75" customHeight="1">
      <c r="G523" s="253"/>
      <c r="T523" s="254"/>
      <c r="V523" s="253"/>
    </row>
    <row r="524" ht="15.75" customHeight="1">
      <c r="G524" s="253"/>
      <c r="T524" s="254"/>
      <c r="V524" s="253"/>
    </row>
    <row r="525" ht="15.75" customHeight="1">
      <c r="G525" s="253"/>
      <c r="T525" s="254"/>
      <c r="V525" s="253"/>
    </row>
    <row r="526" ht="15.75" customHeight="1">
      <c r="G526" s="253"/>
      <c r="T526" s="254"/>
      <c r="V526" s="253"/>
    </row>
    <row r="527" ht="15.75" customHeight="1">
      <c r="G527" s="253"/>
      <c r="T527" s="254"/>
      <c r="V527" s="253"/>
    </row>
    <row r="528" ht="15.75" customHeight="1">
      <c r="G528" s="253"/>
      <c r="T528" s="254"/>
      <c r="V528" s="253"/>
    </row>
    <row r="529" ht="15.75" customHeight="1">
      <c r="G529" s="253"/>
      <c r="T529" s="254"/>
      <c r="V529" s="253"/>
    </row>
    <row r="530" ht="15.75" customHeight="1">
      <c r="G530" s="253"/>
      <c r="T530" s="254"/>
      <c r="V530" s="253"/>
    </row>
    <row r="531" ht="15.75" customHeight="1">
      <c r="G531" s="253"/>
      <c r="T531" s="254"/>
      <c r="V531" s="253"/>
    </row>
    <row r="532" ht="15.75" customHeight="1">
      <c r="G532" s="253"/>
      <c r="T532" s="254"/>
      <c r="V532" s="253"/>
    </row>
    <row r="533" ht="15.75" customHeight="1">
      <c r="G533" s="253"/>
      <c r="T533" s="254"/>
      <c r="V533" s="253"/>
    </row>
    <row r="534" ht="15.75" customHeight="1">
      <c r="G534" s="253"/>
      <c r="T534" s="254"/>
      <c r="V534" s="253"/>
    </row>
    <row r="535" ht="15.75" customHeight="1">
      <c r="G535" s="253"/>
      <c r="T535" s="254"/>
      <c r="V535" s="253"/>
    </row>
    <row r="536" ht="15.75" customHeight="1">
      <c r="G536" s="253"/>
      <c r="T536" s="254"/>
      <c r="V536" s="253"/>
    </row>
    <row r="537" ht="15.75" customHeight="1">
      <c r="G537" s="253"/>
      <c r="T537" s="254"/>
      <c r="V537" s="253"/>
    </row>
    <row r="538" ht="15.75" customHeight="1">
      <c r="G538" s="253"/>
      <c r="T538" s="254"/>
      <c r="V538" s="253"/>
    </row>
    <row r="539" ht="15.75" customHeight="1">
      <c r="G539" s="253"/>
      <c r="T539" s="254"/>
      <c r="V539" s="253"/>
    </row>
    <row r="540" ht="15.75" customHeight="1">
      <c r="G540" s="253"/>
      <c r="T540" s="254"/>
      <c r="V540" s="253"/>
    </row>
    <row r="541" ht="15.75" customHeight="1">
      <c r="G541" s="253"/>
      <c r="T541" s="254"/>
      <c r="V541" s="253"/>
    </row>
    <row r="542" ht="15.75" customHeight="1">
      <c r="G542" s="253"/>
      <c r="T542" s="254"/>
      <c r="V542" s="253"/>
    </row>
    <row r="543" ht="15.75" customHeight="1">
      <c r="G543" s="253"/>
      <c r="T543" s="254"/>
      <c r="V543" s="253"/>
    </row>
    <row r="544" ht="15.75" customHeight="1">
      <c r="G544" s="253"/>
      <c r="T544" s="254"/>
      <c r="V544" s="253"/>
    </row>
    <row r="545" ht="15.75" customHeight="1">
      <c r="G545" s="253"/>
      <c r="T545" s="254"/>
      <c r="V545" s="253"/>
    </row>
    <row r="546" ht="15.75" customHeight="1">
      <c r="G546" s="253"/>
      <c r="T546" s="254"/>
      <c r="V546" s="253"/>
    </row>
    <row r="547" ht="15.75" customHeight="1">
      <c r="G547" s="253"/>
      <c r="T547" s="254"/>
      <c r="V547" s="253"/>
    </row>
    <row r="548" ht="15.75" customHeight="1">
      <c r="G548" s="253"/>
      <c r="T548" s="254"/>
      <c r="V548" s="253"/>
    </row>
    <row r="549" ht="15.75" customHeight="1">
      <c r="G549" s="253"/>
      <c r="T549" s="254"/>
      <c r="V549" s="253"/>
    </row>
    <row r="550" ht="15.75" customHeight="1">
      <c r="G550" s="253"/>
      <c r="T550" s="254"/>
      <c r="V550" s="253"/>
    </row>
    <row r="551" ht="15.75" customHeight="1">
      <c r="G551" s="253"/>
      <c r="T551" s="254"/>
      <c r="V551" s="253"/>
    </row>
    <row r="552" ht="15.75" customHeight="1">
      <c r="G552" s="253"/>
      <c r="T552" s="254"/>
      <c r="V552" s="253"/>
    </row>
    <row r="553" ht="15.75" customHeight="1">
      <c r="G553" s="253"/>
      <c r="T553" s="254"/>
      <c r="V553" s="253"/>
    </row>
    <row r="554" ht="15.75" customHeight="1">
      <c r="G554" s="253"/>
      <c r="T554" s="254"/>
      <c r="V554" s="253"/>
    </row>
    <row r="555" ht="15.75" customHeight="1">
      <c r="G555" s="253"/>
      <c r="T555" s="254"/>
      <c r="V555" s="253"/>
    </row>
    <row r="556" ht="15.75" customHeight="1">
      <c r="G556" s="253"/>
      <c r="T556" s="254"/>
      <c r="V556" s="253"/>
    </row>
    <row r="557" ht="15.75" customHeight="1">
      <c r="G557" s="253"/>
      <c r="T557" s="254"/>
      <c r="V557" s="253"/>
    </row>
    <row r="558" ht="15.75" customHeight="1">
      <c r="G558" s="253"/>
      <c r="T558" s="254"/>
      <c r="V558" s="253"/>
    </row>
    <row r="559" ht="15.75" customHeight="1">
      <c r="G559" s="253"/>
      <c r="T559" s="254"/>
      <c r="V559" s="253"/>
    </row>
    <row r="560" ht="15.75" customHeight="1">
      <c r="G560" s="253"/>
      <c r="T560" s="254"/>
      <c r="V560" s="253"/>
    </row>
    <row r="561" ht="15.75" customHeight="1">
      <c r="G561" s="253"/>
      <c r="T561" s="254"/>
      <c r="V561" s="253"/>
    </row>
    <row r="562" ht="15.75" customHeight="1">
      <c r="G562" s="253"/>
      <c r="T562" s="254"/>
      <c r="V562" s="253"/>
    </row>
    <row r="563" ht="15.75" customHeight="1">
      <c r="G563" s="253"/>
      <c r="T563" s="254"/>
      <c r="V563" s="253"/>
    </row>
    <row r="564" ht="15.75" customHeight="1">
      <c r="G564" s="253"/>
      <c r="T564" s="254"/>
      <c r="V564" s="253"/>
    </row>
    <row r="565" ht="15.75" customHeight="1">
      <c r="G565" s="253"/>
      <c r="T565" s="254"/>
      <c r="V565" s="253"/>
    </row>
    <row r="566" ht="15.75" customHeight="1">
      <c r="G566" s="253"/>
      <c r="T566" s="254"/>
      <c r="V566" s="253"/>
    </row>
    <row r="567" ht="15.75" customHeight="1">
      <c r="G567" s="253"/>
      <c r="T567" s="254"/>
      <c r="V567" s="253"/>
    </row>
    <row r="568" ht="15.75" customHeight="1">
      <c r="G568" s="253"/>
      <c r="T568" s="254"/>
      <c r="V568" s="253"/>
    </row>
    <row r="569" ht="15.75" customHeight="1">
      <c r="G569" s="253"/>
      <c r="T569" s="254"/>
      <c r="V569" s="253"/>
    </row>
    <row r="570" ht="15.75" customHeight="1">
      <c r="G570" s="253"/>
      <c r="T570" s="254"/>
      <c r="V570" s="253"/>
    </row>
    <row r="571" ht="15.75" customHeight="1">
      <c r="G571" s="253"/>
      <c r="T571" s="254"/>
      <c r="V571" s="253"/>
    </row>
    <row r="572" ht="15.75" customHeight="1">
      <c r="G572" s="253"/>
      <c r="T572" s="254"/>
      <c r="V572" s="253"/>
    </row>
    <row r="573" ht="15.75" customHeight="1">
      <c r="G573" s="253"/>
      <c r="T573" s="254"/>
      <c r="V573" s="253"/>
    </row>
    <row r="574" ht="15.75" customHeight="1">
      <c r="G574" s="253"/>
      <c r="T574" s="254"/>
      <c r="V574" s="253"/>
    </row>
    <row r="575" ht="15.75" customHeight="1">
      <c r="G575" s="253"/>
      <c r="T575" s="254"/>
      <c r="V575" s="253"/>
    </row>
    <row r="576" ht="15.75" customHeight="1">
      <c r="G576" s="253"/>
      <c r="T576" s="254"/>
      <c r="V576" s="253"/>
    </row>
    <row r="577" ht="15.75" customHeight="1">
      <c r="G577" s="253"/>
      <c r="T577" s="254"/>
      <c r="V577" s="253"/>
    </row>
    <row r="578" ht="15.75" customHeight="1">
      <c r="G578" s="253"/>
      <c r="T578" s="254"/>
      <c r="V578" s="253"/>
    </row>
    <row r="579" ht="15.75" customHeight="1">
      <c r="G579" s="253"/>
      <c r="T579" s="254"/>
      <c r="V579" s="253"/>
    </row>
    <row r="580" ht="15.75" customHeight="1">
      <c r="G580" s="253"/>
      <c r="T580" s="254"/>
      <c r="V580" s="253"/>
    </row>
    <row r="581" ht="15.75" customHeight="1">
      <c r="G581" s="253"/>
      <c r="T581" s="254"/>
      <c r="V581" s="253"/>
    </row>
    <row r="582" ht="15.75" customHeight="1">
      <c r="G582" s="253"/>
      <c r="T582" s="254"/>
      <c r="V582" s="253"/>
    </row>
    <row r="583" ht="15.75" customHeight="1">
      <c r="G583" s="253"/>
      <c r="T583" s="254"/>
      <c r="V583" s="253"/>
    </row>
    <row r="584" ht="15.75" customHeight="1">
      <c r="G584" s="253"/>
      <c r="T584" s="254"/>
      <c r="V584" s="253"/>
    </row>
    <row r="585" ht="15.75" customHeight="1">
      <c r="G585" s="253"/>
      <c r="T585" s="254"/>
      <c r="V585" s="253"/>
    </row>
    <row r="586" ht="15.75" customHeight="1">
      <c r="G586" s="253"/>
      <c r="T586" s="254"/>
      <c r="V586" s="253"/>
    </row>
    <row r="587" ht="15.75" customHeight="1">
      <c r="G587" s="253"/>
      <c r="T587" s="254"/>
      <c r="V587" s="253"/>
    </row>
    <row r="588" ht="15.75" customHeight="1">
      <c r="G588" s="253"/>
      <c r="T588" s="254"/>
      <c r="V588" s="253"/>
    </row>
    <row r="589" ht="15.75" customHeight="1">
      <c r="G589" s="253"/>
      <c r="T589" s="254"/>
      <c r="V589" s="253"/>
    </row>
    <row r="590" ht="15.75" customHeight="1">
      <c r="G590" s="253"/>
      <c r="T590" s="254"/>
      <c r="V590" s="253"/>
    </row>
    <row r="591" ht="15.75" customHeight="1">
      <c r="G591" s="253"/>
      <c r="T591" s="254"/>
      <c r="V591" s="253"/>
    </row>
    <row r="592" ht="15.75" customHeight="1">
      <c r="G592" s="253"/>
      <c r="T592" s="254"/>
      <c r="V592" s="253"/>
    </row>
    <row r="593" ht="15.75" customHeight="1">
      <c r="G593" s="253"/>
      <c r="T593" s="254"/>
      <c r="V593" s="253"/>
    </row>
    <row r="594" ht="15.75" customHeight="1">
      <c r="G594" s="253"/>
      <c r="T594" s="254"/>
      <c r="V594" s="253"/>
    </row>
    <row r="595" ht="15.75" customHeight="1">
      <c r="G595" s="253"/>
      <c r="T595" s="254"/>
      <c r="V595" s="253"/>
    </row>
    <row r="596" ht="15.75" customHeight="1">
      <c r="G596" s="253"/>
      <c r="T596" s="254"/>
      <c r="V596" s="253"/>
    </row>
    <row r="597" ht="15.75" customHeight="1">
      <c r="G597" s="253"/>
      <c r="T597" s="254"/>
      <c r="V597" s="253"/>
    </row>
    <row r="598" ht="15.75" customHeight="1">
      <c r="G598" s="253"/>
      <c r="T598" s="254"/>
      <c r="V598" s="253"/>
    </row>
    <row r="599" ht="15.75" customHeight="1">
      <c r="G599" s="253"/>
      <c r="T599" s="254"/>
      <c r="V599" s="253"/>
    </row>
    <row r="600" ht="15.75" customHeight="1">
      <c r="G600" s="253"/>
      <c r="T600" s="254"/>
      <c r="V600" s="253"/>
    </row>
    <row r="601" ht="15.75" customHeight="1">
      <c r="G601" s="253"/>
      <c r="T601" s="254"/>
      <c r="V601" s="253"/>
    </row>
    <row r="602" ht="15.75" customHeight="1">
      <c r="G602" s="253"/>
      <c r="T602" s="254"/>
      <c r="V602" s="253"/>
    </row>
    <row r="603" ht="15.75" customHeight="1">
      <c r="G603" s="253"/>
      <c r="T603" s="254"/>
      <c r="V603" s="253"/>
    </row>
    <row r="604" ht="15.75" customHeight="1">
      <c r="G604" s="253"/>
      <c r="T604" s="254"/>
      <c r="V604" s="253"/>
    </row>
    <row r="605" ht="15.75" customHeight="1">
      <c r="G605" s="253"/>
      <c r="T605" s="254"/>
      <c r="V605" s="253"/>
    </row>
    <row r="606" ht="15.75" customHeight="1">
      <c r="G606" s="253"/>
      <c r="T606" s="254"/>
      <c r="V606" s="253"/>
    </row>
    <row r="607" ht="15.75" customHeight="1">
      <c r="G607" s="253"/>
      <c r="T607" s="254"/>
      <c r="V607" s="253"/>
    </row>
    <row r="608" ht="15.75" customHeight="1">
      <c r="G608" s="253"/>
      <c r="T608" s="254"/>
      <c r="V608" s="253"/>
    </row>
    <row r="609" ht="15.75" customHeight="1">
      <c r="G609" s="253"/>
      <c r="T609" s="254"/>
      <c r="V609" s="253"/>
    </row>
    <row r="610" ht="15.75" customHeight="1">
      <c r="G610" s="253"/>
      <c r="T610" s="254"/>
      <c r="V610" s="253"/>
    </row>
    <row r="611" ht="15.75" customHeight="1">
      <c r="G611" s="253"/>
      <c r="T611" s="254"/>
      <c r="V611" s="253"/>
    </row>
    <row r="612" ht="15.75" customHeight="1">
      <c r="G612" s="253"/>
      <c r="T612" s="254"/>
      <c r="V612" s="253"/>
    </row>
    <row r="613" ht="15.75" customHeight="1">
      <c r="G613" s="253"/>
      <c r="T613" s="254"/>
      <c r="V613" s="253"/>
    </row>
    <row r="614" ht="15.75" customHeight="1">
      <c r="G614" s="253"/>
      <c r="T614" s="254"/>
      <c r="V614" s="253"/>
    </row>
    <row r="615" ht="15.75" customHeight="1">
      <c r="G615" s="253"/>
      <c r="T615" s="254"/>
      <c r="V615" s="253"/>
    </row>
    <row r="616" ht="15.75" customHeight="1">
      <c r="G616" s="253"/>
      <c r="T616" s="254"/>
      <c r="V616" s="253"/>
    </row>
    <row r="617" ht="15.75" customHeight="1">
      <c r="G617" s="253"/>
      <c r="T617" s="254"/>
      <c r="V617" s="253"/>
    </row>
    <row r="618" ht="15.75" customHeight="1">
      <c r="G618" s="253"/>
      <c r="T618" s="254"/>
      <c r="V618" s="253"/>
    </row>
    <row r="619" ht="15.75" customHeight="1">
      <c r="G619" s="253"/>
      <c r="T619" s="254"/>
      <c r="V619" s="253"/>
    </row>
    <row r="620" ht="15.75" customHeight="1">
      <c r="G620" s="253"/>
      <c r="T620" s="254"/>
      <c r="V620" s="253"/>
    </row>
    <row r="621" ht="15.75" customHeight="1">
      <c r="G621" s="253"/>
      <c r="T621" s="254"/>
      <c r="V621" s="253"/>
    </row>
    <row r="622" ht="15.75" customHeight="1">
      <c r="G622" s="253"/>
      <c r="T622" s="254"/>
      <c r="V622" s="253"/>
    </row>
    <row r="623" ht="15.75" customHeight="1">
      <c r="G623" s="253"/>
      <c r="T623" s="254"/>
      <c r="V623" s="253"/>
    </row>
    <row r="624" ht="15.75" customHeight="1">
      <c r="G624" s="253"/>
      <c r="T624" s="254"/>
      <c r="V624" s="253"/>
    </row>
    <row r="625" ht="15.75" customHeight="1">
      <c r="G625" s="253"/>
      <c r="T625" s="254"/>
      <c r="V625" s="253"/>
    </row>
    <row r="626" ht="15.75" customHeight="1">
      <c r="G626" s="253"/>
      <c r="T626" s="254"/>
      <c r="V626" s="253"/>
    </row>
    <row r="627" ht="15.75" customHeight="1">
      <c r="G627" s="253"/>
      <c r="T627" s="254"/>
      <c r="V627" s="253"/>
    </row>
    <row r="628" ht="15.75" customHeight="1">
      <c r="G628" s="253"/>
      <c r="T628" s="254"/>
      <c r="V628" s="253"/>
    </row>
    <row r="629" ht="15.75" customHeight="1">
      <c r="G629" s="253"/>
      <c r="T629" s="254"/>
      <c r="V629" s="253"/>
    </row>
    <row r="630" ht="15.75" customHeight="1">
      <c r="G630" s="253"/>
      <c r="T630" s="254"/>
      <c r="V630" s="253"/>
    </row>
    <row r="631" ht="15.75" customHeight="1">
      <c r="G631" s="253"/>
      <c r="T631" s="254"/>
      <c r="V631" s="253"/>
    </row>
    <row r="632" ht="15.75" customHeight="1">
      <c r="G632" s="253"/>
      <c r="T632" s="254"/>
      <c r="V632" s="253"/>
    </row>
    <row r="633" ht="15.75" customHeight="1">
      <c r="G633" s="253"/>
      <c r="T633" s="254"/>
      <c r="V633" s="253"/>
    </row>
    <row r="634" ht="15.75" customHeight="1">
      <c r="G634" s="253"/>
      <c r="T634" s="254"/>
      <c r="V634" s="253"/>
    </row>
    <row r="635" ht="15.75" customHeight="1">
      <c r="G635" s="253"/>
      <c r="T635" s="254"/>
      <c r="V635" s="253"/>
    </row>
    <row r="636" ht="15.75" customHeight="1">
      <c r="G636" s="253"/>
      <c r="T636" s="254"/>
      <c r="V636" s="253"/>
    </row>
    <row r="637" ht="15.75" customHeight="1">
      <c r="G637" s="253"/>
      <c r="T637" s="254"/>
      <c r="V637" s="253"/>
    </row>
    <row r="638" ht="15.75" customHeight="1">
      <c r="G638" s="253"/>
      <c r="T638" s="254"/>
      <c r="V638" s="253"/>
    </row>
    <row r="639" ht="15.75" customHeight="1">
      <c r="G639" s="253"/>
      <c r="T639" s="254"/>
      <c r="V639" s="253"/>
    </row>
    <row r="640" ht="15.75" customHeight="1">
      <c r="G640" s="253"/>
      <c r="T640" s="254"/>
      <c r="V640" s="253"/>
    </row>
    <row r="641" ht="15.75" customHeight="1">
      <c r="G641" s="253"/>
      <c r="T641" s="254"/>
      <c r="V641" s="253"/>
    </row>
    <row r="642" ht="15.75" customHeight="1">
      <c r="G642" s="253"/>
      <c r="T642" s="254"/>
      <c r="V642" s="253"/>
    </row>
    <row r="643" ht="15.75" customHeight="1">
      <c r="G643" s="253"/>
      <c r="T643" s="254"/>
      <c r="V643" s="253"/>
    </row>
    <row r="644" ht="15.75" customHeight="1">
      <c r="G644" s="253"/>
      <c r="T644" s="254"/>
      <c r="V644" s="253"/>
    </row>
    <row r="645" ht="15.75" customHeight="1">
      <c r="G645" s="253"/>
      <c r="T645" s="254"/>
      <c r="V645" s="253"/>
    </row>
    <row r="646" ht="15.75" customHeight="1">
      <c r="G646" s="253"/>
      <c r="T646" s="254"/>
      <c r="V646" s="253"/>
    </row>
    <row r="647" ht="15.75" customHeight="1">
      <c r="G647" s="253"/>
      <c r="T647" s="254"/>
      <c r="V647" s="253"/>
    </row>
    <row r="648" ht="15.75" customHeight="1">
      <c r="G648" s="253"/>
      <c r="T648" s="254"/>
      <c r="V648" s="253"/>
    </row>
    <row r="649" ht="15.75" customHeight="1">
      <c r="G649" s="253"/>
      <c r="T649" s="254"/>
      <c r="V649" s="253"/>
    </row>
    <row r="650" ht="15.75" customHeight="1">
      <c r="G650" s="253"/>
      <c r="T650" s="254"/>
      <c r="V650" s="253"/>
    </row>
    <row r="651" ht="15.75" customHeight="1">
      <c r="G651" s="253"/>
      <c r="T651" s="254"/>
      <c r="V651" s="253"/>
    </row>
    <row r="652" ht="15.75" customHeight="1">
      <c r="G652" s="253"/>
      <c r="T652" s="254"/>
      <c r="V652" s="253"/>
    </row>
    <row r="653" ht="15.75" customHeight="1">
      <c r="G653" s="253"/>
      <c r="T653" s="254"/>
      <c r="V653" s="253"/>
    </row>
    <row r="654" ht="15.75" customHeight="1">
      <c r="G654" s="253"/>
      <c r="T654" s="254"/>
      <c r="V654" s="253"/>
    </row>
    <row r="655" ht="15.75" customHeight="1">
      <c r="G655" s="253"/>
      <c r="T655" s="254"/>
      <c r="V655" s="253"/>
    </row>
    <row r="656" ht="15.75" customHeight="1">
      <c r="G656" s="253"/>
      <c r="T656" s="254"/>
      <c r="V656" s="253"/>
    </row>
    <row r="657" ht="15.75" customHeight="1">
      <c r="G657" s="253"/>
      <c r="T657" s="254"/>
      <c r="V657" s="253"/>
    </row>
    <row r="658" ht="15.75" customHeight="1">
      <c r="G658" s="253"/>
      <c r="T658" s="254"/>
      <c r="V658" s="253"/>
    </row>
    <row r="659" ht="15.75" customHeight="1">
      <c r="G659" s="253"/>
      <c r="T659" s="254"/>
      <c r="V659" s="253"/>
    </row>
    <row r="660" ht="15.75" customHeight="1">
      <c r="G660" s="253"/>
      <c r="T660" s="254"/>
      <c r="V660" s="253"/>
    </row>
    <row r="661" ht="15.75" customHeight="1">
      <c r="G661" s="253"/>
      <c r="T661" s="254"/>
      <c r="V661" s="253"/>
    </row>
    <row r="662" ht="15.75" customHeight="1">
      <c r="G662" s="253"/>
      <c r="T662" s="254"/>
      <c r="V662" s="253"/>
    </row>
    <row r="663" ht="15.75" customHeight="1">
      <c r="G663" s="253"/>
      <c r="T663" s="254"/>
      <c r="V663" s="253"/>
    </row>
    <row r="664" ht="15.75" customHeight="1">
      <c r="G664" s="253"/>
      <c r="T664" s="254"/>
      <c r="V664" s="253"/>
    </row>
    <row r="665" ht="15.75" customHeight="1">
      <c r="G665" s="253"/>
      <c r="T665" s="254"/>
      <c r="V665" s="253"/>
    </row>
    <row r="666" ht="15.75" customHeight="1">
      <c r="G666" s="253"/>
      <c r="T666" s="254"/>
      <c r="V666" s="253"/>
    </row>
    <row r="667" ht="15.75" customHeight="1">
      <c r="G667" s="253"/>
      <c r="T667" s="254"/>
      <c r="V667" s="253"/>
    </row>
    <row r="668" ht="15.75" customHeight="1">
      <c r="G668" s="253"/>
      <c r="T668" s="254"/>
      <c r="V668" s="253"/>
    </row>
    <row r="669" ht="15.75" customHeight="1">
      <c r="G669" s="253"/>
      <c r="T669" s="254"/>
      <c r="V669" s="253"/>
    </row>
    <row r="670" ht="15.75" customHeight="1">
      <c r="G670" s="253"/>
      <c r="T670" s="254"/>
      <c r="V670" s="253"/>
    </row>
    <row r="671" ht="15.75" customHeight="1">
      <c r="G671" s="253"/>
      <c r="T671" s="254"/>
      <c r="V671" s="253"/>
    </row>
    <row r="672" ht="15.75" customHeight="1">
      <c r="G672" s="253"/>
      <c r="T672" s="254"/>
      <c r="V672" s="253"/>
    </row>
    <row r="673" ht="15.75" customHeight="1">
      <c r="G673" s="253"/>
      <c r="T673" s="254"/>
      <c r="V673" s="253"/>
    </row>
    <row r="674" ht="15.75" customHeight="1">
      <c r="G674" s="253"/>
      <c r="T674" s="254"/>
      <c r="V674" s="253"/>
    </row>
    <row r="675" ht="15.75" customHeight="1">
      <c r="G675" s="253"/>
      <c r="T675" s="254"/>
      <c r="V675" s="253"/>
    </row>
    <row r="676" ht="15.75" customHeight="1">
      <c r="G676" s="253"/>
      <c r="T676" s="254"/>
      <c r="V676" s="253"/>
    </row>
    <row r="677" ht="15.75" customHeight="1">
      <c r="G677" s="253"/>
      <c r="T677" s="254"/>
      <c r="V677" s="253"/>
    </row>
    <row r="678" ht="15.75" customHeight="1">
      <c r="G678" s="253"/>
      <c r="T678" s="254"/>
      <c r="V678" s="253"/>
    </row>
    <row r="679" ht="15.75" customHeight="1">
      <c r="G679" s="253"/>
      <c r="T679" s="254"/>
      <c r="V679" s="253"/>
    </row>
    <row r="680" ht="15.75" customHeight="1">
      <c r="G680" s="253"/>
      <c r="T680" s="254"/>
      <c r="V680" s="253"/>
    </row>
    <row r="681" ht="15.75" customHeight="1">
      <c r="G681" s="253"/>
      <c r="T681" s="254"/>
      <c r="V681" s="253"/>
    </row>
    <row r="682" ht="15.75" customHeight="1">
      <c r="G682" s="253"/>
      <c r="T682" s="254"/>
      <c r="V682" s="253"/>
    </row>
    <row r="683" ht="15.75" customHeight="1">
      <c r="G683" s="253"/>
      <c r="T683" s="254"/>
      <c r="V683" s="253"/>
    </row>
    <row r="684" ht="15.75" customHeight="1">
      <c r="G684" s="253"/>
      <c r="T684" s="254"/>
      <c r="V684" s="253"/>
    </row>
    <row r="685" ht="15.75" customHeight="1">
      <c r="G685" s="253"/>
      <c r="T685" s="254"/>
      <c r="V685" s="253"/>
    </row>
    <row r="686" ht="15.75" customHeight="1">
      <c r="G686" s="253"/>
      <c r="T686" s="254"/>
      <c r="V686" s="253"/>
    </row>
    <row r="687" ht="15.75" customHeight="1">
      <c r="G687" s="253"/>
      <c r="T687" s="254"/>
      <c r="V687" s="253"/>
    </row>
    <row r="688" ht="15.75" customHeight="1">
      <c r="G688" s="253"/>
      <c r="T688" s="254"/>
      <c r="V688" s="253"/>
    </row>
    <row r="689" ht="15.75" customHeight="1">
      <c r="G689" s="253"/>
      <c r="T689" s="254"/>
      <c r="V689" s="253"/>
    </row>
    <row r="690" ht="15.75" customHeight="1">
      <c r="G690" s="253"/>
      <c r="T690" s="254"/>
      <c r="V690" s="253"/>
    </row>
    <row r="691" ht="15.75" customHeight="1">
      <c r="G691" s="253"/>
      <c r="T691" s="254"/>
      <c r="V691" s="253"/>
    </row>
    <row r="692" ht="15.75" customHeight="1">
      <c r="G692" s="253"/>
      <c r="T692" s="254"/>
      <c r="V692" s="253"/>
    </row>
    <row r="693" ht="15.75" customHeight="1">
      <c r="G693" s="253"/>
      <c r="T693" s="254"/>
      <c r="V693" s="253"/>
    </row>
    <row r="694" ht="15.75" customHeight="1">
      <c r="G694" s="253"/>
      <c r="T694" s="254"/>
      <c r="V694" s="253"/>
    </row>
    <row r="695" ht="15.75" customHeight="1">
      <c r="G695" s="253"/>
      <c r="T695" s="254"/>
      <c r="V695" s="253"/>
    </row>
    <row r="696" ht="15.75" customHeight="1">
      <c r="G696" s="253"/>
      <c r="T696" s="254"/>
      <c r="V696" s="253"/>
    </row>
    <row r="697" ht="15.75" customHeight="1">
      <c r="G697" s="253"/>
      <c r="T697" s="254"/>
      <c r="V697" s="253"/>
    </row>
    <row r="698" ht="15.75" customHeight="1">
      <c r="G698" s="253"/>
      <c r="T698" s="254"/>
      <c r="V698" s="253"/>
    </row>
    <row r="699" ht="15.75" customHeight="1">
      <c r="G699" s="253"/>
      <c r="T699" s="254"/>
      <c r="V699" s="253"/>
    </row>
    <row r="700" ht="15.75" customHeight="1">
      <c r="G700" s="253"/>
      <c r="T700" s="254"/>
      <c r="V700" s="253"/>
    </row>
    <row r="701" ht="15.75" customHeight="1">
      <c r="G701" s="253"/>
      <c r="T701" s="254"/>
      <c r="V701" s="253"/>
    </row>
    <row r="702" ht="15.75" customHeight="1">
      <c r="G702" s="253"/>
      <c r="T702" s="254"/>
      <c r="V702" s="253"/>
    </row>
    <row r="703" ht="15.75" customHeight="1">
      <c r="G703" s="253"/>
      <c r="T703" s="254"/>
      <c r="V703" s="253"/>
    </row>
    <row r="704" ht="15.75" customHeight="1">
      <c r="G704" s="253"/>
      <c r="T704" s="254"/>
      <c r="V704" s="253"/>
    </row>
    <row r="705" ht="15.75" customHeight="1">
      <c r="G705" s="253"/>
      <c r="T705" s="254"/>
      <c r="V705" s="253"/>
    </row>
    <row r="706" ht="15.75" customHeight="1">
      <c r="G706" s="253"/>
      <c r="T706" s="254"/>
      <c r="V706" s="253"/>
    </row>
    <row r="707" ht="15.75" customHeight="1">
      <c r="G707" s="253"/>
      <c r="T707" s="254"/>
      <c r="V707" s="253"/>
    </row>
    <row r="708" ht="15.75" customHeight="1">
      <c r="G708" s="253"/>
      <c r="T708" s="254"/>
      <c r="V708" s="253"/>
    </row>
    <row r="709" ht="15.75" customHeight="1">
      <c r="G709" s="253"/>
      <c r="T709" s="254"/>
      <c r="V709" s="253"/>
    </row>
    <row r="710" ht="15.75" customHeight="1">
      <c r="G710" s="253"/>
      <c r="T710" s="254"/>
      <c r="V710" s="253"/>
    </row>
    <row r="711" ht="15.75" customHeight="1">
      <c r="G711" s="253"/>
      <c r="T711" s="254"/>
      <c r="V711" s="253"/>
    </row>
    <row r="712" ht="15.75" customHeight="1">
      <c r="G712" s="253"/>
      <c r="T712" s="254"/>
      <c r="V712" s="253"/>
    </row>
    <row r="713" ht="15.75" customHeight="1">
      <c r="G713" s="253"/>
      <c r="T713" s="254"/>
      <c r="V713" s="253"/>
    </row>
    <row r="714" ht="15.75" customHeight="1">
      <c r="G714" s="253"/>
      <c r="T714" s="254"/>
      <c r="V714" s="253"/>
    </row>
    <row r="715" ht="15.75" customHeight="1">
      <c r="G715" s="253"/>
      <c r="T715" s="254"/>
      <c r="V715" s="253"/>
    </row>
    <row r="716" ht="15.75" customHeight="1">
      <c r="G716" s="253"/>
      <c r="T716" s="254"/>
      <c r="V716" s="253"/>
    </row>
    <row r="717" ht="15.75" customHeight="1">
      <c r="G717" s="253"/>
      <c r="T717" s="254"/>
      <c r="V717" s="253"/>
    </row>
    <row r="718" ht="15.75" customHeight="1">
      <c r="G718" s="253"/>
      <c r="T718" s="254"/>
      <c r="V718" s="253"/>
    </row>
    <row r="719" ht="15.75" customHeight="1">
      <c r="G719" s="253"/>
      <c r="T719" s="254"/>
      <c r="V719" s="253"/>
    </row>
    <row r="720" ht="15.75" customHeight="1">
      <c r="G720" s="253"/>
      <c r="T720" s="254"/>
      <c r="V720" s="253"/>
    </row>
    <row r="721" ht="15.75" customHeight="1">
      <c r="G721" s="253"/>
      <c r="T721" s="254"/>
      <c r="V721" s="253"/>
    </row>
    <row r="722" ht="15.75" customHeight="1">
      <c r="G722" s="253"/>
      <c r="T722" s="254"/>
      <c r="V722" s="253"/>
    </row>
    <row r="723" ht="15.75" customHeight="1">
      <c r="G723" s="253"/>
      <c r="T723" s="254"/>
      <c r="V723" s="253"/>
    </row>
    <row r="724" ht="15.75" customHeight="1">
      <c r="G724" s="253"/>
      <c r="T724" s="254"/>
      <c r="V724" s="253"/>
    </row>
    <row r="725" ht="15.75" customHeight="1">
      <c r="G725" s="253"/>
      <c r="T725" s="254"/>
      <c r="V725" s="253"/>
    </row>
    <row r="726" ht="15.75" customHeight="1">
      <c r="G726" s="253"/>
      <c r="T726" s="254"/>
      <c r="V726" s="253"/>
    </row>
    <row r="727" ht="15.75" customHeight="1">
      <c r="G727" s="253"/>
      <c r="T727" s="254"/>
      <c r="V727" s="253"/>
    </row>
    <row r="728" ht="15.75" customHeight="1">
      <c r="G728" s="253"/>
      <c r="T728" s="254"/>
      <c r="V728" s="253"/>
    </row>
    <row r="729" ht="15.75" customHeight="1">
      <c r="G729" s="253"/>
      <c r="T729" s="254"/>
      <c r="V729" s="253"/>
    </row>
    <row r="730" ht="15.75" customHeight="1">
      <c r="G730" s="253"/>
      <c r="T730" s="254"/>
      <c r="V730" s="253"/>
    </row>
    <row r="731" ht="15.75" customHeight="1">
      <c r="G731" s="253"/>
      <c r="T731" s="254"/>
      <c r="V731" s="253"/>
    </row>
    <row r="732" ht="15.75" customHeight="1">
      <c r="G732" s="253"/>
      <c r="T732" s="254"/>
      <c r="V732" s="253"/>
    </row>
    <row r="733" ht="15.75" customHeight="1">
      <c r="G733" s="253"/>
      <c r="T733" s="254"/>
      <c r="V733" s="253"/>
    </row>
    <row r="734" ht="15.75" customHeight="1">
      <c r="G734" s="253"/>
      <c r="T734" s="254"/>
      <c r="V734" s="253"/>
    </row>
    <row r="735" ht="15.75" customHeight="1">
      <c r="G735" s="253"/>
      <c r="T735" s="254"/>
      <c r="V735" s="253"/>
    </row>
    <row r="736" ht="15.75" customHeight="1">
      <c r="G736" s="253"/>
      <c r="T736" s="254"/>
      <c r="V736" s="253"/>
    </row>
    <row r="737" ht="15.75" customHeight="1">
      <c r="G737" s="253"/>
      <c r="T737" s="254"/>
      <c r="V737" s="253"/>
    </row>
    <row r="738" ht="15.75" customHeight="1">
      <c r="G738" s="253"/>
      <c r="T738" s="254"/>
      <c r="V738" s="253"/>
    </row>
    <row r="739" ht="15.75" customHeight="1">
      <c r="G739" s="253"/>
      <c r="T739" s="254"/>
      <c r="V739" s="253"/>
    </row>
    <row r="740" ht="15.75" customHeight="1">
      <c r="G740" s="253"/>
      <c r="T740" s="254"/>
      <c r="V740" s="253"/>
    </row>
    <row r="741" ht="15.75" customHeight="1">
      <c r="G741" s="253"/>
      <c r="T741" s="254"/>
      <c r="V741" s="253"/>
    </row>
    <row r="742" ht="15.75" customHeight="1">
      <c r="G742" s="253"/>
      <c r="T742" s="254"/>
      <c r="V742" s="253"/>
    </row>
    <row r="743" ht="15.75" customHeight="1">
      <c r="G743" s="253"/>
      <c r="T743" s="254"/>
      <c r="V743" s="253"/>
    </row>
    <row r="744" ht="15.75" customHeight="1">
      <c r="G744" s="253"/>
      <c r="T744" s="254"/>
      <c r="V744" s="253"/>
    </row>
    <row r="745" ht="15.75" customHeight="1">
      <c r="G745" s="253"/>
      <c r="T745" s="254"/>
      <c r="V745" s="253"/>
    </row>
    <row r="746" ht="15.75" customHeight="1">
      <c r="G746" s="253"/>
      <c r="T746" s="254"/>
      <c r="V746" s="253"/>
    </row>
    <row r="747" ht="15.75" customHeight="1">
      <c r="G747" s="253"/>
      <c r="T747" s="254"/>
      <c r="V747" s="253"/>
    </row>
    <row r="748" ht="15.75" customHeight="1">
      <c r="G748" s="253"/>
      <c r="T748" s="254"/>
      <c r="V748" s="253"/>
    </row>
    <row r="749" ht="15.75" customHeight="1">
      <c r="G749" s="253"/>
      <c r="T749" s="254"/>
      <c r="V749" s="253"/>
    </row>
    <row r="750" ht="15.75" customHeight="1">
      <c r="G750" s="253"/>
      <c r="T750" s="254"/>
      <c r="V750" s="253"/>
    </row>
    <row r="751" ht="15.75" customHeight="1">
      <c r="G751" s="253"/>
      <c r="T751" s="254"/>
      <c r="V751" s="253"/>
    </row>
    <row r="752" ht="15.75" customHeight="1">
      <c r="G752" s="253"/>
      <c r="T752" s="254"/>
      <c r="V752" s="253"/>
    </row>
    <row r="753" ht="15.75" customHeight="1">
      <c r="G753" s="253"/>
      <c r="T753" s="254"/>
      <c r="V753" s="253"/>
    </row>
    <row r="754" ht="15.75" customHeight="1">
      <c r="G754" s="253"/>
      <c r="T754" s="254"/>
      <c r="V754" s="253"/>
    </row>
    <row r="755" ht="15.75" customHeight="1">
      <c r="G755" s="253"/>
      <c r="T755" s="254"/>
      <c r="V755" s="253"/>
    </row>
    <row r="756" ht="15.75" customHeight="1">
      <c r="G756" s="253"/>
      <c r="T756" s="254"/>
      <c r="V756" s="253"/>
    </row>
    <row r="757" ht="15.75" customHeight="1">
      <c r="G757" s="253"/>
      <c r="T757" s="254"/>
      <c r="V757" s="253"/>
    </row>
    <row r="758" ht="15.75" customHeight="1">
      <c r="G758" s="253"/>
      <c r="T758" s="254"/>
      <c r="V758" s="253"/>
    </row>
    <row r="759" ht="15.75" customHeight="1">
      <c r="G759" s="253"/>
      <c r="T759" s="254"/>
      <c r="V759" s="253"/>
    </row>
    <row r="760" ht="15.75" customHeight="1">
      <c r="G760" s="253"/>
      <c r="T760" s="254"/>
      <c r="V760" s="253"/>
    </row>
    <row r="761" ht="15.75" customHeight="1">
      <c r="G761" s="253"/>
      <c r="T761" s="254"/>
      <c r="V761" s="253"/>
    </row>
    <row r="762" ht="15.75" customHeight="1">
      <c r="G762" s="253"/>
      <c r="T762" s="254"/>
      <c r="V762" s="253"/>
    </row>
    <row r="763" ht="15.75" customHeight="1">
      <c r="G763" s="253"/>
      <c r="T763" s="254"/>
      <c r="V763" s="253"/>
    </row>
    <row r="764" ht="15.75" customHeight="1">
      <c r="G764" s="253"/>
      <c r="T764" s="254"/>
      <c r="V764" s="253"/>
    </row>
    <row r="765" ht="15.75" customHeight="1">
      <c r="G765" s="253"/>
      <c r="T765" s="254"/>
      <c r="V765" s="253"/>
    </row>
    <row r="766" ht="15.75" customHeight="1">
      <c r="G766" s="253"/>
      <c r="T766" s="254"/>
      <c r="V766" s="253"/>
    </row>
    <row r="767" ht="15.75" customHeight="1">
      <c r="G767" s="253"/>
      <c r="T767" s="254"/>
      <c r="V767" s="253"/>
    </row>
    <row r="768" ht="15.75" customHeight="1">
      <c r="G768" s="253"/>
      <c r="T768" s="254"/>
      <c r="V768" s="253"/>
    </row>
    <row r="769" ht="15.75" customHeight="1">
      <c r="G769" s="253"/>
      <c r="T769" s="254"/>
      <c r="V769" s="253"/>
    </row>
    <row r="770" ht="15.75" customHeight="1">
      <c r="G770" s="253"/>
      <c r="T770" s="254"/>
      <c r="V770" s="253"/>
    </row>
    <row r="771" ht="15.75" customHeight="1">
      <c r="G771" s="253"/>
      <c r="T771" s="254"/>
      <c r="V771" s="253"/>
    </row>
    <row r="772" ht="15.75" customHeight="1">
      <c r="G772" s="253"/>
      <c r="T772" s="254"/>
      <c r="V772" s="253"/>
    </row>
    <row r="773" ht="15.75" customHeight="1">
      <c r="G773" s="253"/>
      <c r="T773" s="254"/>
      <c r="V773" s="253"/>
    </row>
    <row r="774" ht="15.75" customHeight="1">
      <c r="G774" s="253"/>
      <c r="T774" s="254"/>
      <c r="V774" s="253"/>
    </row>
    <row r="775" ht="15.75" customHeight="1">
      <c r="G775" s="253"/>
      <c r="T775" s="254"/>
      <c r="V775" s="253"/>
    </row>
    <row r="776" ht="15.75" customHeight="1">
      <c r="G776" s="253"/>
      <c r="T776" s="254"/>
      <c r="V776" s="253"/>
    </row>
    <row r="777" ht="15.75" customHeight="1">
      <c r="G777" s="253"/>
      <c r="T777" s="254"/>
      <c r="V777" s="253"/>
    </row>
    <row r="778" ht="15.75" customHeight="1">
      <c r="G778" s="253"/>
      <c r="T778" s="254"/>
      <c r="V778" s="253"/>
    </row>
    <row r="779" ht="15.75" customHeight="1">
      <c r="G779" s="253"/>
      <c r="T779" s="254"/>
      <c r="V779" s="253"/>
    </row>
    <row r="780" ht="15.75" customHeight="1">
      <c r="G780" s="253"/>
      <c r="T780" s="254"/>
      <c r="V780" s="253"/>
    </row>
    <row r="781" ht="15.75" customHeight="1">
      <c r="G781" s="253"/>
      <c r="T781" s="254"/>
      <c r="V781" s="253"/>
    </row>
    <row r="782" ht="15.75" customHeight="1">
      <c r="G782" s="253"/>
      <c r="T782" s="254"/>
      <c r="V782" s="253"/>
    </row>
    <row r="783" ht="15.75" customHeight="1">
      <c r="G783" s="253"/>
      <c r="T783" s="254"/>
      <c r="V783" s="253"/>
    </row>
    <row r="784" ht="15.75" customHeight="1">
      <c r="G784" s="253"/>
      <c r="T784" s="254"/>
      <c r="V784" s="253"/>
    </row>
    <row r="785" ht="15.75" customHeight="1">
      <c r="G785" s="253"/>
      <c r="T785" s="254"/>
      <c r="V785" s="253"/>
    </row>
    <row r="786" ht="15.75" customHeight="1">
      <c r="G786" s="253"/>
      <c r="T786" s="254"/>
      <c r="V786" s="253"/>
    </row>
    <row r="787" ht="15.75" customHeight="1">
      <c r="G787" s="253"/>
      <c r="T787" s="254"/>
      <c r="V787" s="253"/>
    </row>
    <row r="788" ht="15.75" customHeight="1">
      <c r="G788" s="253"/>
      <c r="T788" s="254"/>
      <c r="V788" s="253"/>
    </row>
    <row r="789" ht="15.75" customHeight="1">
      <c r="G789" s="253"/>
      <c r="T789" s="254"/>
      <c r="V789" s="253"/>
    </row>
    <row r="790" ht="15.75" customHeight="1">
      <c r="G790" s="253"/>
      <c r="T790" s="254"/>
      <c r="V790" s="253"/>
    </row>
    <row r="791" ht="15.75" customHeight="1">
      <c r="G791" s="253"/>
      <c r="T791" s="254"/>
      <c r="V791" s="253"/>
    </row>
    <row r="792" ht="15.75" customHeight="1">
      <c r="G792" s="253"/>
      <c r="T792" s="254"/>
      <c r="V792" s="253"/>
    </row>
    <row r="793" ht="15.75" customHeight="1">
      <c r="G793" s="253"/>
      <c r="T793" s="254"/>
      <c r="V793" s="253"/>
    </row>
    <row r="794" ht="15.75" customHeight="1">
      <c r="G794" s="253"/>
      <c r="T794" s="254"/>
      <c r="V794" s="253"/>
    </row>
    <row r="795" ht="15.75" customHeight="1">
      <c r="G795" s="253"/>
      <c r="T795" s="254"/>
      <c r="V795" s="253"/>
    </row>
    <row r="796" ht="15.75" customHeight="1">
      <c r="G796" s="253"/>
      <c r="T796" s="254"/>
      <c r="V796" s="253"/>
    </row>
    <row r="797" ht="15.75" customHeight="1">
      <c r="G797" s="253"/>
      <c r="T797" s="254"/>
      <c r="V797" s="253"/>
    </row>
    <row r="798" ht="15.75" customHeight="1">
      <c r="G798" s="253"/>
      <c r="T798" s="254"/>
      <c r="V798" s="253"/>
    </row>
    <row r="799" ht="15.75" customHeight="1">
      <c r="G799" s="253"/>
      <c r="T799" s="254"/>
      <c r="V799" s="253"/>
    </row>
    <row r="800" ht="15.75" customHeight="1">
      <c r="G800" s="253"/>
      <c r="T800" s="254"/>
      <c r="V800" s="253"/>
    </row>
    <row r="801" ht="15.75" customHeight="1">
      <c r="G801" s="253"/>
      <c r="T801" s="254"/>
      <c r="V801" s="253"/>
    </row>
    <row r="802" ht="15.75" customHeight="1">
      <c r="G802" s="253"/>
      <c r="T802" s="254"/>
      <c r="V802" s="253"/>
    </row>
    <row r="803" ht="15.75" customHeight="1">
      <c r="G803" s="253"/>
      <c r="T803" s="254"/>
      <c r="V803" s="253"/>
    </row>
    <row r="804" ht="15.75" customHeight="1">
      <c r="G804" s="253"/>
      <c r="T804" s="254"/>
      <c r="V804" s="253"/>
    </row>
    <row r="805" ht="15.75" customHeight="1">
      <c r="G805" s="253"/>
      <c r="T805" s="254"/>
      <c r="V805" s="253"/>
    </row>
    <row r="806" ht="15.75" customHeight="1">
      <c r="G806" s="253"/>
      <c r="T806" s="254"/>
      <c r="V806" s="253"/>
    </row>
    <row r="807" ht="15.75" customHeight="1">
      <c r="G807" s="253"/>
      <c r="T807" s="254"/>
      <c r="V807" s="253"/>
    </row>
    <row r="808" ht="15.75" customHeight="1">
      <c r="G808" s="253"/>
      <c r="T808" s="254"/>
      <c r="V808" s="253"/>
    </row>
    <row r="809" ht="15.75" customHeight="1">
      <c r="G809" s="253"/>
      <c r="T809" s="254"/>
      <c r="V809" s="253"/>
    </row>
    <row r="810" ht="15.75" customHeight="1">
      <c r="G810" s="253"/>
      <c r="T810" s="254"/>
      <c r="V810" s="253"/>
    </row>
    <row r="811" ht="15.75" customHeight="1">
      <c r="G811" s="253"/>
      <c r="T811" s="254"/>
      <c r="V811" s="253"/>
    </row>
    <row r="812" ht="15.75" customHeight="1">
      <c r="G812" s="253"/>
      <c r="T812" s="254"/>
      <c r="V812" s="253"/>
    </row>
    <row r="813" ht="15.75" customHeight="1">
      <c r="G813" s="253"/>
      <c r="T813" s="254"/>
      <c r="V813" s="253"/>
    </row>
    <row r="814" ht="15.75" customHeight="1">
      <c r="G814" s="253"/>
      <c r="T814" s="254"/>
      <c r="V814" s="253"/>
    </row>
    <row r="815" ht="15.75" customHeight="1">
      <c r="G815" s="253"/>
      <c r="T815" s="254"/>
      <c r="V815" s="253"/>
    </row>
    <row r="816" ht="15.75" customHeight="1">
      <c r="G816" s="253"/>
      <c r="T816" s="254"/>
      <c r="V816" s="253"/>
    </row>
    <row r="817" ht="15.75" customHeight="1">
      <c r="G817" s="253"/>
      <c r="T817" s="254"/>
      <c r="V817" s="253"/>
    </row>
    <row r="818" ht="15.75" customHeight="1">
      <c r="G818" s="253"/>
      <c r="T818" s="254"/>
      <c r="V818" s="253"/>
    </row>
    <row r="819" ht="15.75" customHeight="1">
      <c r="G819" s="253"/>
      <c r="T819" s="254"/>
      <c r="V819" s="253"/>
    </row>
    <row r="820" ht="15.75" customHeight="1">
      <c r="G820" s="253"/>
      <c r="T820" s="254"/>
      <c r="V820" s="253"/>
    </row>
    <row r="821" ht="15.75" customHeight="1">
      <c r="G821" s="253"/>
      <c r="T821" s="254"/>
      <c r="V821" s="253"/>
    </row>
    <row r="822" ht="15.75" customHeight="1">
      <c r="G822" s="253"/>
      <c r="T822" s="254"/>
      <c r="V822" s="253"/>
    </row>
    <row r="823" ht="15.75" customHeight="1">
      <c r="G823" s="253"/>
      <c r="T823" s="254"/>
      <c r="V823" s="253"/>
    </row>
    <row r="824" ht="15.75" customHeight="1">
      <c r="G824" s="253"/>
      <c r="T824" s="254"/>
      <c r="V824" s="253"/>
    </row>
    <row r="825" ht="15.75" customHeight="1">
      <c r="G825" s="253"/>
      <c r="T825" s="254"/>
      <c r="V825" s="253"/>
    </row>
    <row r="826" ht="15.75" customHeight="1">
      <c r="G826" s="253"/>
      <c r="T826" s="254"/>
      <c r="V826" s="253"/>
    </row>
    <row r="827" ht="15.75" customHeight="1">
      <c r="G827" s="253"/>
      <c r="T827" s="254"/>
      <c r="V827" s="253"/>
    </row>
    <row r="828" ht="15.75" customHeight="1">
      <c r="G828" s="253"/>
      <c r="T828" s="254"/>
      <c r="V828" s="253"/>
    </row>
    <row r="829" ht="15.75" customHeight="1">
      <c r="G829" s="253"/>
      <c r="T829" s="254"/>
      <c r="V829" s="253"/>
    </row>
    <row r="830" ht="15.75" customHeight="1">
      <c r="G830" s="253"/>
      <c r="T830" s="254"/>
      <c r="V830" s="253"/>
    </row>
    <row r="831" ht="15.75" customHeight="1">
      <c r="G831" s="253"/>
      <c r="T831" s="254"/>
      <c r="V831" s="253"/>
    </row>
    <row r="832" ht="15.75" customHeight="1">
      <c r="G832" s="253"/>
      <c r="T832" s="254"/>
      <c r="V832" s="253"/>
    </row>
    <row r="833" ht="15.75" customHeight="1">
      <c r="G833" s="253"/>
      <c r="T833" s="254"/>
      <c r="V833" s="253"/>
    </row>
    <row r="834" ht="15.75" customHeight="1">
      <c r="G834" s="253"/>
      <c r="T834" s="254"/>
      <c r="V834" s="253"/>
    </row>
    <row r="835" ht="15.75" customHeight="1">
      <c r="G835" s="253"/>
      <c r="T835" s="254"/>
      <c r="V835" s="253"/>
    </row>
    <row r="836" ht="15.75" customHeight="1">
      <c r="G836" s="253"/>
      <c r="T836" s="254"/>
      <c r="V836" s="253"/>
    </row>
    <row r="837" ht="15.75" customHeight="1">
      <c r="G837" s="253"/>
      <c r="T837" s="254"/>
      <c r="V837" s="253"/>
    </row>
    <row r="838" ht="15.75" customHeight="1">
      <c r="G838" s="253"/>
      <c r="T838" s="254"/>
      <c r="V838" s="253"/>
    </row>
    <row r="839" ht="15.75" customHeight="1">
      <c r="G839" s="253"/>
      <c r="T839" s="254"/>
      <c r="V839" s="253"/>
    </row>
    <row r="840" ht="15.75" customHeight="1">
      <c r="G840" s="253"/>
      <c r="T840" s="254"/>
      <c r="V840" s="253"/>
    </row>
    <row r="841" ht="15.75" customHeight="1">
      <c r="G841" s="253"/>
      <c r="T841" s="254"/>
      <c r="V841" s="253"/>
    </row>
    <row r="842" ht="15.75" customHeight="1">
      <c r="G842" s="253"/>
      <c r="T842" s="254"/>
      <c r="V842" s="253"/>
    </row>
    <row r="843" ht="15.75" customHeight="1">
      <c r="G843" s="253"/>
      <c r="T843" s="254"/>
      <c r="V843" s="253"/>
    </row>
    <row r="844" ht="15.75" customHeight="1">
      <c r="G844" s="253"/>
      <c r="T844" s="254"/>
      <c r="V844" s="253"/>
    </row>
    <row r="845" ht="15.75" customHeight="1">
      <c r="G845" s="253"/>
      <c r="T845" s="254"/>
      <c r="V845" s="253"/>
    </row>
    <row r="846" ht="15.75" customHeight="1">
      <c r="G846" s="253"/>
      <c r="T846" s="254"/>
      <c r="V846" s="253"/>
    </row>
    <row r="847" ht="15.75" customHeight="1">
      <c r="G847" s="253"/>
      <c r="T847" s="254"/>
      <c r="V847" s="253"/>
    </row>
    <row r="848" ht="15.75" customHeight="1">
      <c r="G848" s="253"/>
      <c r="T848" s="254"/>
      <c r="V848" s="253"/>
    </row>
    <row r="849" ht="15.75" customHeight="1">
      <c r="G849" s="253"/>
      <c r="T849" s="254"/>
      <c r="V849" s="253"/>
    </row>
    <row r="850" ht="15.75" customHeight="1">
      <c r="G850" s="253"/>
      <c r="T850" s="254"/>
      <c r="V850" s="253"/>
    </row>
    <row r="851" ht="15.75" customHeight="1">
      <c r="G851" s="253"/>
      <c r="T851" s="254"/>
      <c r="V851" s="253"/>
    </row>
    <row r="852" ht="15.75" customHeight="1">
      <c r="G852" s="253"/>
      <c r="T852" s="254"/>
      <c r="V852" s="253"/>
    </row>
    <row r="853" ht="15.75" customHeight="1">
      <c r="G853" s="253"/>
      <c r="T853" s="254"/>
      <c r="V853" s="253"/>
    </row>
    <row r="854" ht="15.75" customHeight="1">
      <c r="G854" s="253"/>
      <c r="T854" s="254"/>
      <c r="V854" s="253"/>
    </row>
    <row r="855" ht="15.75" customHeight="1">
      <c r="G855" s="253"/>
      <c r="T855" s="254"/>
      <c r="V855" s="253"/>
    </row>
    <row r="856" ht="15.75" customHeight="1">
      <c r="G856" s="253"/>
      <c r="T856" s="254"/>
      <c r="V856" s="253"/>
    </row>
    <row r="857" ht="15.75" customHeight="1">
      <c r="G857" s="253"/>
      <c r="T857" s="254"/>
      <c r="V857" s="253"/>
    </row>
    <row r="858" ht="15.75" customHeight="1">
      <c r="G858" s="253"/>
      <c r="T858" s="254"/>
      <c r="V858" s="253"/>
    </row>
    <row r="859" ht="15.75" customHeight="1">
      <c r="G859" s="253"/>
      <c r="T859" s="254"/>
      <c r="V859" s="253"/>
    </row>
    <row r="860" ht="15.75" customHeight="1">
      <c r="G860" s="253"/>
      <c r="T860" s="254"/>
      <c r="V860" s="253"/>
    </row>
    <row r="861" ht="15.75" customHeight="1">
      <c r="G861" s="253"/>
      <c r="T861" s="254"/>
      <c r="V861" s="253"/>
    </row>
    <row r="862" ht="15.75" customHeight="1">
      <c r="G862" s="253"/>
      <c r="T862" s="254"/>
      <c r="V862" s="253"/>
    </row>
    <row r="863" ht="15.75" customHeight="1">
      <c r="G863" s="253"/>
      <c r="T863" s="254"/>
      <c r="V863" s="253"/>
    </row>
    <row r="864" ht="15.75" customHeight="1">
      <c r="G864" s="253"/>
      <c r="T864" s="254"/>
      <c r="V864" s="253"/>
    </row>
    <row r="865" ht="15.75" customHeight="1">
      <c r="G865" s="253"/>
      <c r="T865" s="254"/>
      <c r="V865" s="253"/>
    </row>
    <row r="866" ht="15.75" customHeight="1">
      <c r="G866" s="253"/>
      <c r="T866" s="254"/>
      <c r="V866" s="253"/>
    </row>
    <row r="867" ht="15.75" customHeight="1">
      <c r="G867" s="253"/>
      <c r="T867" s="254"/>
      <c r="V867" s="253"/>
    </row>
    <row r="868" ht="15.75" customHeight="1">
      <c r="G868" s="253"/>
      <c r="T868" s="254"/>
      <c r="V868" s="253"/>
    </row>
    <row r="869" ht="15.75" customHeight="1">
      <c r="G869" s="253"/>
      <c r="T869" s="254"/>
      <c r="V869" s="253"/>
    </row>
    <row r="870" ht="15.75" customHeight="1">
      <c r="G870" s="253"/>
      <c r="T870" s="254"/>
      <c r="V870" s="253"/>
    </row>
    <row r="871" ht="15.75" customHeight="1">
      <c r="G871" s="253"/>
      <c r="T871" s="254"/>
      <c r="V871" s="253"/>
    </row>
    <row r="872" ht="15.75" customHeight="1">
      <c r="G872" s="253"/>
      <c r="T872" s="254"/>
      <c r="V872" s="253"/>
    </row>
    <row r="873" ht="15.75" customHeight="1">
      <c r="G873" s="253"/>
      <c r="T873" s="254"/>
      <c r="V873" s="253"/>
    </row>
    <row r="874" ht="15.75" customHeight="1">
      <c r="G874" s="253"/>
      <c r="T874" s="254"/>
      <c r="V874" s="253"/>
    </row>
    <row r="875" ht="15.75" customHeight="1">
      <c r="G875" s="253"/>
      <c r="T875" s="254"/>
      <c r="V875" s="253"/>
    </row>
    <row r="876" ht="15.75" customHeight="1">
      <c r="G876" s="253"/>
      <c r="T876" s="254"/>
      <c r="V876" s="253"/>
    </row>
    <row r="877" ht="15.75" customHeight="1">
      <c r="G877" s="253"/>
      <c r="T877" s="254"/>
      <c r="V877" s="253"/>
    </row>
    <row r="878" ht="15.75" customHeight="1">
      <c r="G878" s="253"/>
      <c r="T878" s="254"/>
      <c r="V878" s="253"/>
    </row>
    <row r="879" ht="15.75" customHeight="1">
      <c r="G879" s="253"/>
      <c r="T879" s="254"/>
      <c r="V879" s="253"/>
    </row>
    <row r="880" ht="15.75" customHeight="1">
      <c r="G880" s="253"/>
      <c r="T880" s="254"/>
      <c r="V880" s="253"/>
    </row>
    <row r="881" ht="15.75" customHeight="1">
      <c r="G881" s="253"/>
      <c r="T881" s="254"/>
      <c r="V881" s="253"/>
    </row>
    <row r="882" ht="15.75" customHeight="1">
      <c r="G882" s="253"/>
      <c r="T882" s="254"/>
      <c r="V882" s="253"/>
    </row>
    <row r="883" ht="15.75" customHeight="1">
      <c r="G883" s="253"/>
      <c r="T883" s="254"/>
      <c r="V883" s="253"/>
    </row>
    <row r="884" ht="15.75" customHeight="1">
      <c r="G884" s="253"/>
      <c r="T884" s="254"/>
      <c r="V884" s="253"/>
    </row>
    <row r="885" ht="15.75" customHeight="1">
      <c r="G885" s="253"/>
      <c r="T885" s="254"/>
      <c r="V885" s="253"/>
    </row>
    <row r="886" ht="15.75" customHeight="1">
      <c r="G886" s="253"/>
      <c r="T886" s="254"/>
      <c r="V886" s="253"/>
    </row>
    <row r="887" ht="15.75" customHeight="1">
      <c r="G887" s="253"/>
      <c r="T887" s="254"/>
      <c r="V887" s="253"/>
    </row>
    <row r="888" ht="15.75" customHeight="1">
      <c r="G888" s="253"/>
      <c r="T888" s="254"/>
      <c r="V888" s="253"/>
    </row>
    <row r="889" ht="15.75" customHeight="1">
      <c r="G889" s="253"/>
      <c r="T889" s="254"/>
      <c r="V889" s="253"/>
    </row>
    <row r="890" ht="15.75" customHeight="1">
      <c r="G890" s="253"/>
      <c r="T890" s="254"/>
      <c r="V890" s="253"/>
    </row>
    <row r="891" ht="15.75" customHeight="1">
      <c r="G891" s="253"/>
      <c r="T891" s="254"/>
      <c r="V891" s="253"/>
    </row>
    <row r="892" ht="15.75" customHeight="1">
      <c r="G892" s="253"/>
      <c r="T892" s="254"/>
      <c r="V892" s="253"/>
    </row>
    <row r="893" ht="15.75" customHeight="1">
      <c r="G893" s="253"/>
      <c r="T893" s="254"/>
      <c r="V893" s="253"/>
    </row>
    <row r="894" ht="15.75" customHeight="1">
      <c r="G894" s="253"/>
      <c r="T894" s="254"/>
      <c r="V894" s="253"/>
    </row>
    <row r="895" ht="15.75" customHeight="1">
      <c r="G895" s="253"/>
      <c r="T895" s="254"/>
      <c r="V895" s="253"/>
    </row>
    <row r="896" ht="15.75" customHeight="1">
      <c r="G896" s="253"/>
      <c r="T896" s="254"/>
      <c r="V896" s="253"/>
    </row>
    <row r="897" ht="15.75" customHeight="1">
      <c r="G897" s="253"/>
      <c r="T897" s="254"/>
      <c r="V897" s="253"/>
    </row>
    <row r="898" ht="15.75" customHeight="1">
      <c r="G898" s="253"/>
      <c r="T898" s="254"/>
      <c r="V898" s="253"/>
    </row>
    <row r="899" ht="15.75" customHeight="1">
      <c r="G899" s="253"/>
      <c r="T899" s="254"/>
      <c r="V899" s="253"/>
    </row>
    <row r="900" ht="15.75" customHeight="1">
      <c r="G900" s="253"/>
      <c r="T900" s="254"/>
      <c r="V900" s="253"/>
    </row>
    <row r="901" ht="15.75" customHeight="1">
      <c r="G901" s="253"/>
      <c r="T901" s="254"/>
      <c r="V901" s="253"/>
    </row>
    <row r="902" ht="15.75" customHeight="1">
      <c r="G902" s="253"/>
      <c r="T902" s="254"/>
      <c r="V902" s="253"/>
    </row>
    <row r="903" ht="15.75" customHeight="1">
      <c r="G903" s="253"/>
      <c r="T903" s="254"/>
      <c r="V903" s="253"/>
    </row>
    <row r="904" ht="15.75" customHeight="1">
      <c r="G904" s="253"/>
      <c r="T904" s="254"/>
      <c r="V904" s="253"/>
    </row>
    <row r="905" ht="15.75" customHeight="1">
      <c r="G905" s="253"/>
      <c r="T905" s="254"/>
      <c r="V905" s="253"/>
    </row>
    <row r="906" ht="15.75" customHeight="1">
      <c r="G906" s="253"/>
      <c r="T906" s="254"/>
      <c r="V906" s="253"/>
    </row>
    <row r="907" ht="15.75" customHeight="1">
      <c r="G907" s="253"/>
      <c r="T907" s="254"/>
      <c r="V907" s="253"/>
    </row>
    <row r="908" ht="15.75" customHeight="1">
      <c r="G908" s="253"/>
      <c r="T908" s="254"/>
      <c r="V908" s="253"/>
    </row>
    <row r="909" ht="15.75" customHeight="1">
      <c r="G909" s="253"/>
      <c r="T909" s="254"/>
      <c r="V909" s="253"/>
    </row>
    <row r="910" ht="15.75" customHeight="1">
      <c r="G910" s="253"/>
      <c r="T910" s="254"/>
      <c r="V910" s="253"/>
    </row>
    <row r="911" ht="15.75" customHeight="1">
      <c r="G911" s="253"/>
      <c r="T911" s="254"/>
      <c r="V911" s="253"/>
    </row>
    <row r="912" ht="15.75" customHeight="1">
      <c r="G912" s="253"/>
      <c r="T912" s="254"/>
      <c r="V912" s="253"/>
    </row>
    <row r="913" ht="15.75" customHeight="1">
      <c r="G913" s="253"/>
      <c r="T913" s="254"/>
      <c r="V913" s="253"/>
    </row>
    <row r="914" ht="15.75" customHeight="1">
      <c r="G914" s="253"/>
      <c r="T914" s="254"/>
      <c r="V914" s="253"/>
    </row>
    <row r="915" ht="15.75" customHeight="1">
      <c r="G915" s="253"/>
      <c r="T915" s="254"/>
      <c r="V915" s="253"/>
    </row>
    <row r="916" ht="15.75" customHeight="1">
      <c r="G916" s="253"/>
      <c r="T916" s="254"/>
      <c r="V916" s="253"/>
    </row>
    <row r="917" ht="15.75" customHeight="1">
      <c r="G917" s="253"/>
      <c r="T917" s="254"/>
      <c r="V917" s="253"/>
    </row>
    <row r="918" ht="15.75" customHeight="1">
      <c r="G918" s="253"/>
      <c r="T918" s="254"/>
      <c r="V918" s="253"/>
    </row>
    <row r="919" ht="15.75" customHeight="1">
      <c r="G919" s="253"/>
      <c r="T919" s="254"/>
      <c r="V919" s="253"/>
    </row>
    <row r="920" ht="15.75" customHeight="1">
      <c r="G920" s="253"/>
      <c r="T920" s="254"/>
      <c r="V920" s="253"/>
    </row>
    <row r="921" ht="15.75" customHeight="1">
      <c r="G921" s="253"/>
      <c r="T921" s="254"/>
      <c r="V921" s="253"/>
    </row>
    <row r="922" ht="15.75" customHeight="1">
      <c r="G922" s="253"/>
      <c r="T922" s="254"/>
      <c r="V922" s="253"/>
    </row>
    <row r="923" ht="15.75" customHeight="1">
      <c r="G923" s="253"/>
      <c r="T923" s="254"/>
      <c r="V923" s="253"/>
    </row>
    <row r="924" ht="15.75" customHeight="1">
      <c r="G924" s="253"/>
      <c r="T924" s="254"/>
      <c r="V924" s="253"/>
    </row>
    <row r="925" ht="15.75" customHeight="1">
      <c r="G925" s="253"/>
      <c r="T925" s="254"/>
      <c r="V925" s="253"/>
    </row>
    <row r="926" ht="15.75" customHeight="1">
      <c r="G926" s="253"/>
      <c r="T926" s="254"/>
      <c r="V926" s="253"/>
    </row>
    <row r="927" ht="15.75" customHeight="1">
      <c r="G927" s="253"/>
      <c r="T927" s="254"/>
      <c r="V927" s="253"/>
    </row>
    <row r="928" ht="15.75" customHeight="1">
      <c r="G928" s="253"/>
      <c r="T928" s="254"/>
      <c r="V928" s="253"/>
    </row>
    <row r="929" ht="15.75" customHeight="1">
      <c r="G929" s="253"/>
      <c r="T929" s="254"/>
      <c r="V929" s="253"/>
    </row>
    <row r="930" ht="15.75" customHeight="1">
      <c r="G930" s="253"/>
      <c r="T930" s="254"/>
      <c r="V930" s="253"/>
    </row>
    <row r="931" ht="15.75" customHeight="1">
      <c r="G931" s="253"/>
      <c r="T931" s="254"/>
      <c r="V931" s="253"/>
    </row>
    <row r="932" ht="15.75" customHeight="1">
      <c r="G932" s="253"/>
      <c r="T932" s="254"/>
      <c r="V932" s="253"/>
    </row>
    <row r="933" ht="15.75" customHeight="1">
      <c r="G933" s="253"/>
      <c r="T933" s="254"/>
      <c r="V933" s="253"/>
    </row>
    <row r="934" ht="15.75" customHeight="1">
      <c r="G934" s="253"/>
      <c r="T934" s="254"/>
      <c r="V934" s="253"/>
    </row>
    <row r="935" ht="15.75" customHeight="1">
      <c r="G935" s="253"/>
      <c r="T935" s="254"/>
      <c r="V935" s="253"/>
    </row>
    <row r="936" ht="15.75" customHeight="1">
      <c r="G936" s="253"/>
      <c r="T936" s="254"/>
      <c r="V936" s="253"/>
    </row>
    <row r="937" ht="15.75" customHeight="1">
      <c r="G937" s="253"/>
      <c r="T937" s="254"/>
      <c r="V937" s="253"/>
    </row>
    <row r="938" ht="15.75" customHeight="1">
      <c r="G938" s="253"/>
      <c r="T938" s="254"/>
      <c r="V938" s="253"/>
    </row>
    <row r="939" ht="15.75" customHeight="1">
      <c r="G939" s="253"/>
      <c r="T939" s="254"/>
      <c r="V939" s="253"/>
    </row>
    <row r="940" ht="15.75" customHeight="1">
      <c r="G940" s="253"/>
      <c r="T940" s="254"/>
      <c r="V940" s="253"/>
    </row>
    <row r="941" ht="15.75" customHeight="1">
      <c r="G941" s="253"/>
      <c r="T941" s="254"/>
      <c r="V941" s="253"/>
    </row>
    <row r="942" ht="15.75" customHeight="1">
      <c r="G942" s="253"/>
      <c r="T942" s="254"/>
      <c r="V942" s="253"/>
    </row>
    <row r="943" ht="15.75" customHeight="1">
      <c r="G943" s="253"/>
      <c r="T943" s="254"/>
      <c r="V943" s="253"/>
    </row>
    <row r="944" ht="15.75" customHeight="1">
      <c r="G944" s="253"/>
      <c r="T944" s="254"/>
      <c r="V944" s="253"/>
    </row>
    <row r="945" ht="15.75" customHeight="1">
      <c r="G945" s="253"/>
      <c r="T945" s="254"/>
      <c r="V945" s="253"/>
    </row>
    <row r="946" ht="15.75" customHeight="1">
      <c r="G946" s="253"/>
      <c r="T946" s="254"/>
      <c r="V946" s="253"/>
    </row>
    <row r="947" ht="15.75" customHeight="1">
      <c r="G947" s="253"/>
      <c r="T947" s="254"/>
      <c r="V947" s="253"/>
    </row>
    <row r="948" ht="15.75" customHeight="1">
      <c r="G948" s="253"/>
      <c r="T948" s="254"/>
      <c r="V948" s="253"/>
    </row>
    <row r="949" ht="15.75" customHeight="1">
      <c r="G949" s="253"/>
      <c r="T949" s="254"/>
      <c r="V949" s="253"/>
    </row>
    <row r="950" ht="15.75" customHeight="1">
      <c r="G950" s="253"/>
      <c r="T950" s="254"/>
      <c r="V950" s="253"/>
    </row>
    <row r="951" ht="15.75" customHeight="1">
      <c r="G951" s="253"/>
      <c r="T951" s="254"/>
      <c r="V951" s="253"/>
    </row>
    <row r="952" ht="15.75" customHeight="1">
      <c r="G952" s="253"/>
      <c r="T952" s="254"/>
      <c r="V952" s="253"/>
    </row>
    <row r="953" ht="15.75" customHeight="1">
      <c r="G953" s="253"/>
      <c r="T953" s="254"/>
      <c r="V953" s="253"/>
    </row>
    <row r="954" ht="15.75" customHeight="1">
      <c r="G954" s="253"/>
      <c r="T954" s="254"/>
      <c r="V954" s="253"/>
    </row>
    <row r="955" ht="15.75" customHeight="1">
      <c r="G955" s="253"/>
      <c r="T955" s="254"/>
      <c r="V955" s="253"/>
    </row>
    <row r="956" ht="15.75" customHeight="1">
      <c r="G956" s="253"/>
      <c r="T956" s="254"/>
      <c r="V956" s="253"/>
    </row>
    <row r="957" ht="15.75" customHeight="1">
      <c r="G957" s="253"/>
      <c r="T957" s="254"/>
      <c r="V957" s="253"/>
    </row>
    <row r="958" ht="15.75" customHeight="1">
      <c r="G958" s="253"/>
      <c r="T958" s="254"/>
      <c r="V958" s="253"/>
    </row>
    <row r="959" ht="15.75" customHeight="1">
      <c r="G959" s="253"/>
      <c r="T959" s="254"/>
      <c r="V959" s="253"/>
    </row>
    <row r="960" ht="15.75" customHeight="1">
      <c r="G960" s="253"/>
      <c r="T960" s="254"/>
      <c r="V960" s="253"/>
    </row>
    <row r="961" ht="15.75" customHeight="1">
      <c r="G961" s="253"/>
      <c r="T961" s="254"/>
      <c r="V961" s="253"/>
    </row>
    <row r="962" ht="15.75" customHeight="1">
      <c r="G962" s="253"/>
      <c r="T962" s="254"/>
      <c r="V962" s="253"/>
    </row>
    <row r="963" ht="15.75" customHeight="1">
      <c r="G963" s="253"/>
      <c r="T963" s="254"/>
      <c r="V963" s="253"/>
    </row>
    <row r="964" ht="15.75" customHeight="1">
      <c r="G964" s="253"/>
      <c r="T964" s="254"/>
      <c r="V964" s="253"/>
    </row>
    <row r="965" ht="15.75" customHeight="1">
      <c r="G965" s="253"/>
      <c r="T965" s="254"/>
      <c r="V965" s="253"/>
    </row>
    <row r="966" ht="15.75" customHeight="1">
      <c r="G966" s="253"/>
      <c r="T966" s="254"/>
      <c r="V966" s="253"/>
    </row>
    <row r="967" ht="15.75" customHeight="1">
      <c r="G967" s="253"/>
      <c r="T967" s="254"/>
      <c r="V967" s="253"/>
    </row>
    <row r="968" ht="15.75" customHeight="1">
      <c r="G968" s="253"/>
      <c r="T968" s="254"/>
      <c r="V968" s="253"/>
    </row>
    <row r="969" ht="15.75" customHeight="1">
      <c r="G969" s="253"/>
      <c r="T969" s="254"/>
      <c r="V969" s="253"/>
    </row>
    <row r="970" ht="15.75" customHeight="1">
      <c r="G970" s="253"/>
      <c r="T970" s="254"/>
      <c r="V970" s="253"/>
    </row>
    <row r="971" ht="15.75" customHeight="1">
      <c r="G971" s="253"/>
      <c r="T971" s="254"/>
      <c r="V971" s="253"/>
    </row>
    <row r="972" ht="15.75" customHeight="1">
      <c r="G972" s="253"/>
      <c r="T972" s="254"/>
      <c r="V972" s="253"/>
    </row>
    <row r="973" ht="15.75" customHeight="1">
      <c r="G973" s="253"/>
      <c r="T973" s="254"/>
      <c r="V973" s="253"/>
    </row>
    <row r="974" ht="15.75" customHeight="1">
      <c r="G974" s="253"/>
      <c r="T974" s="254"/>
      <c r="V974" s="253"/>
    </row>
    <row r="975" ht="15.75" customHeight="1">
      <c r="G975" s="253"/>
      <c r="T975" s="254"/>
      <c r="V975" s="253"/>
    </row>
    <row r="976" ht="15.75" customHeight="1">
      <c r="G976" s="253"/>
      <c r="T976" s="254"/>
      <c r="V976" s="253"/>
    </row>
    <row r="977" ht="15.75" customHeight="1">
      <c r="G977" s="253"/>
      <c r="T977" s="254"/>
      <c r="V977" s="253"/>
    </row>
    <row r="978" ht="15.75" customHeight="1">
      <c r="G978" s="253"/>
      <c r="T978" s="254"/>
      <c r="V978" s="253"/>
    </row>
    <row r="979" ht="15.75" customHeight="1">
      <c r="G979" s="253"/>
      <c r="T979" s="254"/>
      <c r="V979" s="253"/>
    </row>
    <row r="980" ht="15.75" customHeight="1">
      <c r="G980" s="253"/>
      <c r="T980" s="254"/>
      <c r="V980" s="253"/>
    </row>
    <row r="981" ht="15.75" customHeight="1">
      <c r="G981" s="253"/>
      <c r="T981" s="254"/>
      <c r="V981" s="253"/>
    </row>
    <row r="982" ht="15.75" customHeight="1">
      <c r="G982" s="253"/>
      <c r="T982" s="254"/>
      <c r="V982" s="253"/>
    </row>
    <row r="983" ht="15.75" customHeight="1">
      <c r="G983" s="253"/>
      <c r="T983" s="254"/>
      <c r="V983" s="253"/>
    </row>
    <row r="984" ht="15.75" customHeight="1">
      <c r="G984" s="253"/>
      <c r="T984" s="254"/>
      <c r="V984" s="253"/>
    </row>
    <row r="985" ht="15.75" customHeight="1">
      <c r="G985" s="253"/>
      <c r="T985" s="254"/>
      <c r="V985" s="253"/>
    </row>
    <row r="986" ht="15.75" customHeight="1">
      <c r="G986" s="253"/>
      <c r="T986" s="254"/>
      <c r="V986" s="253"/>
    </row>
    <row r="987" ht="15.75" customHeight="1">
      <c r="G987" s="253"/>
      <c r="T987" s="254"/>
      <c r="V987" s="253"/>
    </row>
    <row r="988" ht="15.75" customHeight="1">
      <c r="G988" s="253"/>
      <c r="T988" s="254"/>
      <c r="V988" s="253"/>
    </row>
    <row r="989" ht="15.75" customHeight="1">
      <c r="G989" s="253"/>
      <c r="T989" s="254"/>
      <c r="V989" s="253"/>
    </row>
    <row r="990" ht="15.75" customHeight="1">
      <c r="G990" s="253"/>
      <c r="T990" s="254"/>
      <c r="V990" s="253"/>
    </row>
    <row r="991" ht="15.75" customHeight="1">
      <c r="G991" s="253"/>
      <c r="T991" s="254"/>
      <c r="V991" s="253"/>
    </row>
    <row r="992" ht="15.75" customHeight="1">
      <c r="G992" s="253"/>
      <c r="T992" s="254"/>
      <c r="V992" s="253"/>
    </row>
    <row r="993" ht="15.75" customHeight="1">
      <c r="G993" s="253"/>
      <c r="T993" s="254"/>
      <c r="V993" s="253"/>
    </row>
    <row r="994" ht="15.75" customHeight="1">
      <c r="G994" s="253"/>
      <c r="T994" s="254"/>
      <c r="V994" s="253"/>
    </row>
  </sheetData>
  <autoFilter ref="$A$1:$AJ$146">
    <filterColumn colId="5">
      <filters>
        <filter val="Linh"/>
        <filter val="NVVH"/>
      </filters>
    </filterColumn>
    <filterColumn colId="3">
      <filters>
        <filter val="Bằng Liệt"/>
        <filter val="Kim Mã"/>
        <filter val="MĐ"/>
        <filter val="TX"/>
        <filter val="CG"/>
        <filter val="CDPD"/>
        <filter val="Láng"/>
        <filter val="TCCN"/>
        <filter val="-"/>
        <filter val="Tây Hồ"/>
      </filters>
    </filterColumn>
  </autoFilter>
  <mergeCells count="10">
    <mergeCell ref="M71:M72"/>
    <mergeCell ref="M84:M85"/>
    <mergeCell ref="M96:M97"/>
    <mergeCell ref="M27:M28"/>
    <mergeCell ref="R36:R37"/>
    <mergeCell ref="S36:S37"/>
    <mergeCell ref="M41:M42"/>
    <mergeCell ref="C46:C47"/>
    <mergeCell ref="M52:M53"/>
    <mergeCell ref="M63:M6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5" width="12.63"/>
    <col customWidth="1" min="6" max="6" width="3.75"/>
    <col customWidth="1" min="7" max="7" width="12.63"/>
  </cols>
  <sheetData>
    <row r="1" ht="15.75" customHeight="1">
      <c r="A1" s="1"/>
      <c r="B1" s="1"/>
      <c r="C1" s="2"/>
      <c r="D1" s="2"/>
      <c r="E1" s="2"/>
      <c r="F1" s="1"/>
      <c r="G1" s="1"/>
      <c r="H1" s="2"/>
      <c r="I1" s="2"/>
      <c r="J1" s="2"/>
      <c r="K1" s="1"/>
      <c r="L1" s="1"/>
      <c r="M1" s="1"/>
      <c r="N1" s="1"/>
      <c r="O1" s="1"/>
      <c r="P1" s="1"/>
      <c r="Q1" s="1"/>
      <c r="R1" s="1"/>
    </row>
    <row r="2" ht="41.25" customHeight="1">
      <c r="A2" s="10" t="s">
        <v>1</v>
      </c>
      <c r="B2" s="10" t="s">
        <v>10</v>
      </c>
      <c r="C2" s="12" t="s">
        <v>11</v>
      </c>
      <c r="D2" s="23">
        <f>sum(D3:D100)</f>
        <v>742</v>
      </c>
      <c r="E2" s="10">
        <f>COUNTif(E3:E100,"Điệp")</f>
        <v>53</v>
      </c>
      <c r="F2" s="10"/>
      <c r="G2" s="10" t="s">
        <v>10</v>
      </c>
      <c r="H2" s="12" t="s">
        <v>11</v>
      </c>
      <c r="I2" s="23">
        <f>sum(I3:I100)</f>
        <v>709</v>
      </c>
      <c r="J2" s="10">
        <f>COUNTif(J3:J100,"Ước")</f>
        <v>52</v>
      </c>
      <c r="K2" s="38"/>
      <c r="L2" s="38"/>
      <c r="M2" s="38"/>
      <c r="N2" s="38"/>
      <c r="O2" s="38"/>
      <c r="P2" s="38"/>
      <c r="Q2" s="38"/>
      <c r="R2" s="38"/>
    </row>
    <row r="3" ht="15.75" customHeight="1">
      <c r="A3" s="40">
        <v>1.0</v>
      </c>
      <c r="B3" s="41" t="s">
        <v>7</v>
      </c>
      <c r="C3" s="43" t="s">
        <v>89</v>
      </c>
      <c r="D3" s="45">
        <v>10.0</v>
      </c>
      <c r="E3" s="45" t="s">
        <v>98</v>
      </c>
      <c r="F3" s="40"/>
      <c r="G3" s="50" t="s">
        <v>37</v>
      </c>
      <c r="H3" s="43" t="s">
        <v>101</v>
      </c>
      <c r="I3" s="45">
        <v>8.0</v>
      </c>
      <c r="J3" s="45" t="s">
        <v>105</v>
      </c>
      <c r="K3" s="1"/>
      <c r="L3" s="1"/>
      <c r="M3" s="1"/>
      <c r="N3" s="1"/>
      <c r="O3" s="1"/>
      <c r="P3" s="1"/>
      <c r="Q3" s="1"/>
      <c r="R3" s="1"/>
    </row>
    <row r="4" ht="15.75" customHeight="1">
      <c r="A4" s="40">
        <v>2.0</v>
      </c>
      <c r="B4" s="41" t="s">
        <v>14</v>
      </c>
      <c r="C4" s="43" t="s">
        <v>89</v>
      </c>
      <c r="D4" s="45">
        <v>22.0</v>
      </c>
      <c r="E4" s="45" t="s">
        <v>98</v>
      </c>
      <c r="F4" s="40"/>
      <c r="G4" s="50" t="s">
        <v>53</v>
      </c>
      <c r="H4" s="43" t="s">
        <v>115</v>
      </c>
      <c r="I4" s="45">
        <v>19.0</v>
      </c>
      <c r="J4" s="45" t="s">
        <v>105</v>
      </c>
      <c r="K4" s="1"/>
      <c r="L4" s="1"/>
      <c r="M4" s="1"/>
      <c r="N4" s="1"/>
      <c r="O4" s="1"/>
      <c r="P4" s="1"/>
      <c r="Q4" s="1"/>
      <c r="R4" s="1"/>
    </row>
    <row r="5" ht="15.75" customHeight="1">
      <c r="A5" s="40">
        <v>3.0</v>
      </c>
      <c r="B5" s="41" t="s">
        <v>25</v>
      </c>
      <c r="C5" s="43" t="s">
        <v>89</v>
      </c>
      <c r="D5" s="45">
        <v>8.0</v>
      </c>
      <c r="E5" s="45" t="s">
        <v>98</v>
      </c>
      <c r="F5" s="40"/>
      <c r="G5" s="50" t="s">
        <v>57</v>
      </c>
      <c r="H5" s="43" t="s">
        <v>115</v>
      </c>
      <c r="I5" s="45">
        <v>19.0</v>
      </c>
      <c r="J5" s="45" t="s">
        <v>105</v>
      </c>
      <c r="K5" s="1"/>
      <c r="L5" s="1"/>
      <c r="M5" s="1"/>
      <c r="N5" s="1"/>
      <c r="O5" s="1"/>
      <c r="P5" s="1"/>
      <c r="Q5" s="1"/>
      <c r="R5" s="1"/>
    </row>
    <row r="6" ht="15.75" customHeight="1">
      <c r="A6" s="40">
        <v>4.0</v>
      </c>
      <c r="B6" s="41" t="s">
        <v>32</v>
      </c>
      <c r="C6" s="43" t="s">
        <v>116</v>
      </c>
      <c r="D6" s="45">
        <v>9.0</v>
      </c>
      <c r="E6" s="45" t="s">
        <v>98</v>
      </c>
      <c r="F6" s="40"/>
      <c r="G6" s="50" t="s">
        <v>58</v>
      </c>
      <c r="H6" s="43" t="s">
        <v>119</v>
      </c>
      <c r="I6" s="45">
        <v>9.0</v>
      </c>
      <c r="J6" s="45" t="s">
        <v>105</v>
      </c>
      <c r="K6" s="1"/>
      <c r="L6" s="1"/>
      <c r="M6" s="1"/>
      <c r="N6" s="1"/>
      <c r="O6" s="1"/>
      <c r="P6" s="1"/>
      <c r="Q6" s="1"/>
      <c r="R6" s="1"/>
    </row>
    <row r="7" ht="15.75" customHeight="1">
      <c r="A7" s="40">
        <v>5.0</v>
      </c>
      <c r="B7" s="41" t="s">
        <v>40</v>
      </c>
      <c r="C7" s="43" t="s">
        <v>126</v>
      </c>
      <c r="D7" s="45">
        <v>9.0</v>
      </c>
      <c r="E7" s="45" t="s">
        <v>98</v>
      </c>
      <c r="F7" s="40"/>
      <c r="G7" s="50" t="s">
        <v>66</v>
      </c>
      <c r="H7" s="43" t="s">
        <v>129</v>
      </c>
      <c r="I7" s="45">
        <v>9.0</v>
      </c>
      <c r="J7" s="45" t="s">
        <v>105</v>
      </c>
      <c r="K7" s="1"/>
      <c r="L7" s="1"/>
      <c r="M7" s="1"/>
      <c r="N7" s="1"/>
      <c r="O7" s="1"/>
      <c r="P7" s="1"/>
      <c r="Q7" s="1"/>
      <c r="R7" s="1"/>
    </row>
    <row r="8" ht="15.75" customHeight="1">
      <c r="A8" s="40">
        <v>6.0</v>
      </c>
      <c r="B8" s="41" t="s">
        <v>47</v>
      </c>
      <c r="C8" s="43" t="s">
        <v>89</v>
      </c>
      <c r="D8" s="45">
        <v>9.0</v>
      </c>
      <c r="E8" s="45" t="s">
        <v>98</v>
      </c>
      <c r="F8" s="40"/>
      <c r="G8" s="50" t="s">
        <v>74</v>
      </c>
      <c r="H8" s="43" t="s">
        <v>115</v>
      </c>
      <c r="I8" s="45">
        <v>16.0</v>
      </c>
      <c r="J8" s="45" t="s">
        <v>105</v>
      </c>
      <c r="K8" s="1"/>
      <c r="L8" s="1"/>
      <c r="M8" s="1"/>
      <c r="N8" s="1"/>
      <c r="O8" s="1"/>
      <c r="P8" s="1"/>
      <c r="Q8" s="1"/>
      <c r="R8" s="1"/>
    </row>
    <row r="9" ht="15.75" customHeight="1">
      <c r="A9" s="40">
        <v>7.0</v>
      </c>
      <c r="B9" s="41" t="s">
        <v>51</v>
      </c>
      <c r="C9" s="43" t="s">
        <v>89</v>
      </c>
      <c r="D9" s="45">
        <v>11.0</v>
      </c>
      <c r="E9" s="45" t="s">
        <v>98</v>
      </c>
      <c r="F9" s="40"/>
      <c r="G9" s="50" t="s">
        <v>93</v>
      </c>
      <c r="H9" s="43" t="s">
        <v>115</v>
      </c>
      <c r="I9" s="45">
        <v>20.0</v>
      </c>
      <c r="J9" s="45" t="s">
        <v>105</v>
      </c>
      <c r="K9" s="1"/>
      <c r="L9" s="1"/>
      <c r="M9" s="1"/>
      <c r="N9" s="1"/>
      <c r="O9" s="1"/>
      <c r="P9" s="1"/>
      <c r="Q9" s="1"/>
      <c r="R9" s="1"/>
    </row>
    <row r="10" ht="15.75" customHeight="1">
      <c r="A10" s="40">
        <v>8.0</v>
      </c>
      <c r="B10" s="41" t="s">
        <v>60</v>
      </c>
      <c r="C10" s="43" t="s">
        <v>89</v>
      </c>
      <c r="D10" s="45">
        <v>19.0</v>
      </c>
      <c r="E10" s="45" t="s">
        <v>98</v>
      </c>
      <c r="F10" s="40"/>
      <c r="G10" s="50" t="s">
        <v>102</v>
      </c>
      <c r="H10" s="43" t="s">
        <v>140</v>
      </c>
      <c r="I10" s="45">
        <v>50.0</v>
      </c>
      <c r="J10" s="45" t="s">
        <v>105</v>
      </c>
      <c r="K10" s="1"/>
      <c r="L10" s="1"/>
      <c r="M10" s="1"/>
      <c r="N10" s="1"/>
      <c r="O10" s="1"/>
      <c r="P10" s="1"/>
      <c r="Q10" s="1"/>
      <c r="R10" s="1"/>
    </row>
    <row r="11" ht="15.75" customHeight="1">
      <c r="A11" s="40">
        <v>9.0</v>
      </c>
      <c r="B11" s="41" t="s">
        <v>62</v>
      </c>
      <c r="C11" s="43" t="s">
        <v>89</v>
      </c>
      <c r="D11" s="45">
        <v>17.0</v>
      </c>
      <c r="E11" s="45" t="s">
        <v>98</v>
      </c>
      <c r="F11" s="40"/>
      <c r="G11" s="50" t="s">
        <v>107</v>
      </c>
      <c r="H11" s="43" t="s">
        <v>140</v>
      </c>
      <c r="I11" s="45">
        <v>11.0</v>
      </c>
      <c r="J11" s="45" t="s">
        <v>105</v>
      </c>
      <c r="K11" s="1"/>
      <c r="L11" s="1"/>
      <c r="M11" s="1"/>
      <c r="N11" s="1"/>
      <c r="O11" s="1"/>
      <c r="P11" s="1"/>
      <c r="Q11" s="1"/>
      <c r="R11" s="1"/>
    </row>
    <row r="12" ht="15.75" customHeight="1">
      <c r="A12" s="40">
        <v>10.0</v>
      </c>
      <c r="B12" s="41" t="s">
        <v>64</v>
      </c>
      <c r="C12" s="43" t="s">
        <v>89</v>
      </c>
      <c r="D12" s="45">
        <v>18.0</v>
      </c>
      <c r="E12" s="45" t="s">
        <v>98</v>
      </c>
      <c r="F12" s="40"/>
      <c r="G12" s="50" t="s">
        <v>117</v>
      </c>
      <c r="H12" s="43" t="s">
        <v>129</v>
      </c>
      <c r="I12" s="45">
        <v>8.0</v>
      </c>
      <c r="J12" s="45" t="s">
        <v>105</v>
      </c>
      <c r="K12" s="1"/>
      <c r="L12" s="1"/>
      <c r="M12" s="1"/>
      <c r="N12" s="1"/>
      <c r="O12" s="1"/>
      <c r="P12" s="1"/>
      <c r="Q12" s="1"/>
      <c r="R12" s="1"/>
    </row>
    <row r="13" ht="15.75" customHeight="1">
      <c r="A13" s="40">
        <v>11.0</v>
      </c>
      <c r="B13" s="41" t="s">
        <v>68</v>
      </c>
      <c r="C13" s="43" t="s">
        <v>129</v>
      </c>
      <c r="D13" s="45">
        <v>10.0</v>
      </c>
      <c r="E13" s="45" t="s">
        <v>98</v>
      </c>
      <c r="F13" s="40"/>
      <c r="G13" s="50" t="s">
        <v>120</v>
      </c>
      <c r="H13" s="43" t="s">
        <v>115</v>
      </c>
      <c r="I13" s="45">
        <v>17.0</v>
      </c>
      <c r="J13" s="45" t="s">
        <v>105</v>
      </c>
      <c r="K13" s="1"/>
      <c r="L13" s="1"/>
      <c r="M13" s="1"/>
      <c r="N13" s="1"/>
      <c r="O13" s="1"/>
      <c r="P13" s="1"/>
      <c r="Q13" s="1"/>
      <c r="R13" s="1"/>
    </row>
    <row r="14" ht="15.75" customHeight="1">
      <c r="A14" s="40">
        <v>12.0</v>
      </c>
      <c r="B14" s="41" t="s">
        <v>70</v>
      </c>
      <c r="C14" s="43" t="s">
        <v>116</v>
      </c>
      <c r="D14" s="45">
        <v>38.0</v>
      </c>
      <c r="E14" s="45" t="s">
        <v>98</v>
      </c>
      <c r="F14" s="40"/>
      <c r="G14" s="50" t="s">
        <v>124</v>
      </c>
      <c r="H14" s="43" t="s">
        <v>101</v>
      </c>
      <c r="I14" s="45">
        <v>22.0</v>
      </c>
      <c r="J14" s="45" t="s">
        <v>105</v>
      </c>
      <c r="K14" s="1"/>
      <c r="L14" s="1"/>
      <c r="M14" s="1"/>
      <c r="N14" s="1"/>
      <c r="O14" s="1"/>
      <c r="P14" s="1"/>
      <c r="Q14" s="1"/>
      <c r="R14" s="1"/>
    </row>
    <row r="15" ht="15.75" customHeight="1">
      <c r="A15" s="40">
        <v>13.0</v>
      </c>
      <c r="B15" s="41" t="s">
        <v>76</v>
      </c>
      <c r="C15" s="43" t="s">
        <v>179</v>
      </c>
      <c r="D15" s="45">
        <v>24.0</v>
      </c>
      <c r="E15" s="45" t="s">
        <v>98</v>
      </c>
      <c r="F15" s="40"/>
      <c r="G15" s="50" t="s">
        <v>132</v>
      </c>
      <c r="H15" s="43" t="s">
        <v>101</v>
      </c>
      <c r="I15" s="45">
        <v>11.0</v>
      </c>
      <c r="J15" s="45" t="s">
        <v>105</v>
      </c>
      <c r="K15" s="1"/>
      <c r="L15" s="1"/>
      <c r="M15" s="1"/>
      <c r="N15" s="1"/>
      <c r="O15" s="1"/>
      <c r="P15" s="1"/>
      <c r="Q15" s="1"/>
      <c r="R15" s="1"/>
    </row>
    <row r="16" ht="15.75" customHeight="1">
      <c r="A16" s="40">
        <v>14.0</v>
      </c>
      <c r="B16" s="41" t="s">
        <v>190</v>
      </c>
      <c r="C16" s="43" t="s">
        <v>129</v>
      </c>
      <c r="D16" s="45">
        <v>10.0</v>
      </c>
      <c r="E16" s="45" t="s">
        <v>98</v>
      </c>
      <c r="F16" s="40"/>
      <c r="G16" s="50" t="s">
        <v>134</v>
      </c>
      <c r="H16" s="43" t="s">
        <v>101</v>
      </c>
      <c r="I16" s="45">
        <v>13.0</v>
      </c>
      <c r="J16" s="45" t="s">
        <v>105</v>
      </c>
      <c r="K16" s="1"/>
      <c r="L16" s="1"/>
      <c r="M16" s="1"/>
      <c r="N16" s="1"/>
      <c r="O16" s="1"/>
      <c r="P16" s="1"/>
      <c r="Q16" s="1"/>
      <c r="R16" s="1"/>
    </row>
    <row r="17" ht="15.75" customHeight="1">
      <c r="A17" s="40">
        <v>15.0</v>
      </c>
      <c r="B17" s="41" t="s">
        <v>203</v>
      </c>
      <c r="C17" s="43" t="s">
        <v>129</v>
      </c>
      <c r="D17" s="45">
        <v>9.0</v>
      </c>
      <c r="E17" s="45" t="s">
        <v>98</v>
      </c>
      <c r="F17" s="40"/>
      <c r="G17" s="50" t="s">
        <v>135</v>
      </c>
      <c r="H17" s="43" t="s">
        <v>101</v>
      </c>
      <c r="I17" s="45">
        <v>10.0</v>
      </c>
      <c r="J17" s="45" t="s">
        <v>105</v>
      </c>
      <c r="K17" s="1"/>
      <c r="L17" s="1"/>
      <c r="M17" s="1"/>
      <c r="N17" s="1"/>
      <c r="O17" s="1"/>
      <c r="P17" s="1"/>
      <c r="Q17" s="1"/>
      <c r="R17" s="1"/>
    </row>
    <row r="18" ht="15.75" customHeight="1">
      <c r="A18" s="40">
        <v>16.0</v>
      </c>
      <c r="B18" s="41" t="s">
        <v>80</v>
      </c>
      <c r="C18" s="43" t="s">
        <v>226</v>
      </c>
      <c r="D18" s="45">
        <v>6.0</v>
      </c>
      <c r="E18" s="45" t="s">
        <v>98</v>
      </c>
      <c r="F18" s="40"/>
      <c r="G18" s="50" t="s">
        <v>229</v>
      </c>
      <c r="H18" s="43" t="s">
        <v>101</v>
      </c>
      <c r="I18" s="45">
        <v>19.0</v>
      </c>
      <c r="J18" s="45" t="s">
        <v>105</v>
      </c>
      <c r="K18" s="1"/>
      <c r="L18" s="1"/>
      <c r="M18" s="1"/>
      <c r="N18" s="1"/>
      <c r="O18" s="1"/>
      <c r="P18" s="1"/>
      <c r="Q18" s="1"/>
      <c r="R18" s="1"/>
    </row>
    <row r="19" ht="15.75" customHeight="1">
      <c r="A19" s="40">
        <v>17.0</v>
      </c>
      <c r="B19" s="41" t="s">
        <v>82</v>
      </c>
      <c r="C19" s="43" t="s">
        <v>234</v>
      </c>
      <c r="D19" s="45">
        <v>13.0</v>
      </c>
      <c r="E19" s="45" t="s">
        <v>98</v>
      </c>
      <c r="F19" s="40"/>
      <c r="G19" s="50" t="s">
        <v>236</v>
      </c>
      <c r="H19" s="43" t="s">
        <v>101</v>
      </c>
      <c r="I19" s="45">
        <v>16.0</v>
      </c>
      <c r="J19" s="45" t="s">
        <v>105</v>
      </c>
      <c r="K19" s="1"/>
      <c r="L19" s="1"/>
      <c r="M19" s="1"/>
      <c r="N19" s="1"/>
      <c r="O19" s="1"/>
      <c r="P19" s="1"/>
      <c r="Q19" s="1"/>
      <c r="R19" s="1"/>
    </row>
    <row r="20" ht="15.75" customHeight="1">
      <c r="A20" s="40">
        <v>18.0</v>
      </c>
      <c r="B20" s="41" t="s">
        <v>84</v>
      </c>
      <c r="C20" s="43" t="s">
        <v>179</v>
      </c>
      <c r="D20" s="45">
        <v>7.0</v>
      </c>
      <c r="E20" s="45" t="s">
        <v>98</v>
      </c>
      <c r="F20" s="40"/>
      <c r="G20" s="50" t="s">
        <v>238</v>
      </c>
      <c r="H20" s="43" t="s">
        <v>140</v>
      </c>
      <c r="I20" s="45">
        <v>18.0</v>
      </c>
      <c r="J20" s="45" t="s">
        <v>105</v>
      </c>
      <c r="K20" s="1"/>
      <c r="L20" s="1"/>
      <c r="M20" s="1"/>
      <c r="N20" s="1"/>
      <c r="O20" s="1"/>
      <c r="P20" s="1"/>
      <c r="Q20" s="1"/>
      <c r="R20" s="1"/>
    </row>
    <row r="21" ht="15.75" customHeight="1">
      <c r="A21" s="40">
        <v>19.0</v>
      </c>
      <c r="B21" s="41" t="s">
        <v>86</v>
      </c>
      <c r="C21" s="43" t="s">
        <v>179</v>
      </c>
      <c r="D21" s="45">
        <v>18.0</v>
      </c>
      <c r="E21" s="45" t="s">
        <v>98</v>
      </c>
      <c r="F21" s="40"/>
      <c r="G21" s="50" t="s">
        <v>239</v>
      </c>
      <c r="H21" s="43" t="s">
        <v>240</v>
      </c>
      <c r="I21" s="45">
        <v>10.0</v>
      </c>
      <c r="J21" s="45" t="s">
        <v>105</v>
      </c>
      <c r="K21" s="1"/>
      <c r="L21" s="1"/>
      <c r="M21" s="1"/>
      <c r="N21" s="1"/>
      <c r="O21" s="1"/>
      <c r="P21" s="1"/>
      <c r="Q21" s="1"/>
      <c r="R21" s="1"/>
    </row>
    <row r="22" ht="15.75" customHeight="1">
      <c r="A22" s="40">
        <v>20.0</v>
      </c>
      <c r="B22" s="41" t="s">
        <v>90</v>
      </c>
      <c r="C22" s="43" t="s">
        <v>126</v>
      </c>
      <c r="D22" s="45">
        <v>8.0</v>
      </c>
      <c r="E22" s="45" t="s">
        <v>98</v>
      </c>
      <c r="F22" s="40"/>
      <c r="G22" s="50" t="s">
        <v>241</v>
      </c>
      <c r="H22" s="43" t="s">
        <v>101</v>
      </c>
      <c r="I22" s="45">
        <v>12.0</v>
      </c>
      <c r="J22" s="45" t="s">
        <v>105</v>
      </c>
      <c r="K22" s="1"/>
      <c r="L22" s="1"/>
      <c r="M22" s="1"/>
      <c r="N22" s="1"/>
      <c r="O22" s="1"/>
      <c r="P22" s="1"/>
      <c r="Q22" s="1"/>
      <c r="R22" s="1"/>
    </row>
    <row r="23" ht="15.75" customHeight="1">
      <c r="A23" s="40">
        <v>21.0</v>
      </c>
      <c r="B23" s="41" t="s">
        <v>130</v>
      </c>
      <c r="C23" s="43" t="s">
        <v>129</v>
      </c>
      <c r="D23" s="45">
        <v>15.0</v>
      </c>
      <c r="E23" s="45" t="s">
        <v>98</v>
      </c>
      <c r="F23" s="40"/>
      <c r="G23" s="50" t="s">
        <v>246</v>
      </c>
      <c r="H23" s="43" t="s">
        <v>101</v>
      </c>
      <c r="I23" s="45">
        <v>9.0</v>
      </c>
      <c r="J23" s="45" t="s">
        <v>105</v>
      </c>
      <c r="K23" s="1"/>
      <c r="L23" s="1"/>
      <c r="M23" s="1"/>
      <c r="N23" s="1"/>
      <c r="O23" s="1"/>
      <c r="P23" s="1"/>
      <c r="Q23" s="1"/>
      <c r="R23" s="1"/>
    </row>
    <row r="24" ht="15.75" customHeight="1">
      <c r="A24" s="40">
        <v>22.0</v>
      </c>
      <c r="B24" s="41" t="s">
        <v>248</v>
      </c>
      <c r="C24" s="43" t="s">
        <v>250</v>
      </c>
      <c r="D24" s="45">
        <v>9.0</v>
      </c>
      <c r="E24" s="45" t="s">
        <v>98</v>
      </c>
      <c r="F24" s="40"/>
      <c r="G24" s="50" t="s">
        <v>252</v>
      </c>
      <c r="H24" s="43" t="s">
        <v>140</v>
      </c>
      <c r="I24" s="45">
        <v>21.0</v>
      </c>
      <c r="J24" s="45" t="s">
        <v>105</v>
      </c>
      <c r="K24" s="1"/>
      <c r="L24" s="1"/>
      <c r="M24" s="1"/>
      <c r="N24" s="1"/>
      <c r="O24" s="1"/>
      <c r="P24" s="1"/>
      <c r="Q24" s="1"/>
      <c r="R24" s="1"/>
    </row>
    <row r="25" ht="15.75" customHeight="1">
      <c r="A25" s="40">
        <v>23.0</v>
      </c>
      <c r="B25" s="41" t="s">
        <v>256</v>
      </c>
      <c r="C25" s="43" t="s">
        <v>116</v>
      </c>
      <c r="D25" s="45">
        <v>15.0</v>
      </c>
      <c r="E25" s="45" t="s">
        <v>98</v>
      </c>
      <c r="F25" s="40"/>
      <c r="G25" s="50" t="s">
        <v>259</v>
      </c>
      <c r="H25" s="43" t="s">
        <v>101</v>
      </c>
      <c r="I25" s="45">
        <v>10.0</v>
      </c>
      <c r="J25" s="45" t="s">
        <v>105</v>
      </c>
      <c r="K25" s="1"/>
      <c r="L25" s="1"/>
      <c r="M25" s="1"/>
      <c r="N25" s="1"/>
      <c r="O25" s="1"/>
      <c r="P25" s="1"/>
      <c r="Q25" s="1"/>
      <c r="R25" s="1"/>
    </row>
    <row r="26" ht="15.75" customHeight="1">
      <c r="A26" s="40">
        <v>24.0</v>
      </c>
      <c r="B26" s="41" t="s">
        <v>262</v>
      </c>
      <c r="C26" s="43" t="s">
        <v>116</v>
      </c>
      <c r="D26" s="45">
        <v>7.0</v>
      </c>
      <c r="E26" s="45" t="s">
        <v>98</v>
      </c>
      <c r="F26" s="40"/>
      <c r="G26" s="50" t="s">
        <v>263</v>
      </c>
      <c r="H26" s="104" t="s">
        <v>101</v>
      </c>
      <c r="I26" s="15">
        <v>9.0</v>
      </c>
      <c r="J26" s="45" t="s">
        <v>105</v>
      </c>
      <c r="K26" s="1"/>
      <c r="L26" s="1"/>
      <c r="M26" s="1"/>
      <c r="N26" s="1"/>
      <c r="O26" s="1"/>
      <c r="P26" s="1"/>
      <c r="Q26" s="1"/>
      <c r="R26" s="1"/>
    </row>
    <row r="27" ht="15.75" customHeight="1">
      <c r="A27" s="40">
        <v>25.0</v>
      </c>
      <c r="B27" s="41" t="s">
        <v>270</v>
      </c>
      <c r="C27" s="43" t="s">
        <v>116</v>
      </c>
      <c r="D27" s="45">
        <v>9.0</v>
      </c>
      <c r="E27" s="45" t="s">
        <v>98</v>
      </c>
      <c r="F27" s="40"/>
      <c r="G27" s="50" t="s">
        <v>272</v>
      </c>
      <c r="H27" s="104" t="s">
        <v>101</v>
      </c>
      <c r="I27" s="15">
        <v>10.0</v>
      </c>
      <c r="J27" s="45" t="s">
        <v>105</v>
      </c>
      <c r="K27" s="1"/>
      <c r="L27" s="1"/>
      <c r="M27" s="1"/>
      <c r="N27" s="1"/>
      <c r="O27" s="1"/>
      <c r="P27" s="1"/>
      <c r="Q27" s="1"/>
      <c r="R27" s="1"/>
    </row>
    <row r="28" ht="15.75" customHeight="1">
      <c r="A28" s="40">
        <v>26.0</v>
      </c>
      <c r="B28" s="41" t="s">
        <v>196</v>
      </c>
      <c r="C28" s="107" t="s">
        <v>129</v>
      </c>
      <c r="D28" s="40">
        <v>11.0</v>
      </c>
      <c r="E28" s="40" t="s">
        <v>98</v>
      </c>
      <c r="F28" s="40"/>
      <c r="G28" s="50" t="s">
        <v>285</v>
      </c>
      <c r="H28" s="43" t="s">
        <v>240</v>
      </c>
      <c r="I28" s="45">
        <v>10.0</v>
      </c>
      <c r="J28" s="45" t="s">
        <v>105</v>
      </c>
      <c r="K28" s="1"/>
      <c r="L28" s="1"/>
      <c r="M28" s="1"/>
      <c r="N28" s="1"/>
      <c r="O28" s="1"/>
      <c r="P28" s="1"/>
      <c r="Q28" s="1"/>
      <c r="R28" s="1"/>
    </row>
    <row r="29" ht="15.75" customHeight="1">
      <c r="A29" s="40">
        <v>27.0</v>
      </c>
      <c r="B29" s="41" t="s">
        <v>201</v>
      </c>
      <c r="C29" s="111" t="s">
        <v>129</v>
      </c>
      <c r="D29" s="113">
        <v>17.0</v>
      </c>
      <c r="E29" s="113" t="s">
        <v>98</v>
      </c>
      <c r="F29" s="40"/>
      <c r="G29" s="50" t="s">
        <v>188</v>
      </c>
      <c r="H29" s="43" t="s">
        <v>101</v>
      </c>
      <c r="I29" s="45">
        <v>8.0</v>
      </c>
      <c r="J29" s="45" t="s">
        <v>105</v>
      </c>
      <c r="K29" s="1"/>
      <c r="L29" s="1"/>
      <c r="M29" s="1"/>
      <c r="N29" s="1"/>
      <c r="O29" s="1"/>
      <c r="P29" s="1"/>
      <c r="Q29" s="1"/>
      <c r="R29" s="1"/>
    </row>
    <row r="30" ht="15.75" customHeight="1">
      <c r="A30" s="40">
        <v>28.0</v>
      </c>
      <c r="B30" s="41" t="s">
        <v>295</v>
      </c>
      <c r="C30" s="43" t="s">
        <v>89</v>
      </c>
      <c r="D30" s="40">
        <v>22.0</v>
      </c>
      <c r="E30" s="40" t="s">
        <v>98</v>
      </c>
      <c r="F30" s="40"/>
      <c r="G30" s="50" t="s">
        <v>192</v>
      </c>
      <c r="H30" s="43" t="s">
        <v>101</v>
      </c>
      <c r="I30" s="45">
        <v>17.0</v>
      </c>
      <c r="J30" s="45" t="s">
        <v>105</v>
      </c>
      <c r="K30" s="1"/>
      <c r="L30" s="1"/>
      <c r="M30" s="1"/>
      <c r="N30" s="1"/>
      <c r="O30" s="1"/>
      <c r="P30" s="1"/>
      <c r="Q30" s="1"/>
      <c r="R30" s="1"/>
    </row>
    <row r="31" ht="15.75" customHeight="1">
      <c r="A31" s="40">
        <v>29.0</v>
      </c>
      <c r="B31" s="41" t="s">
        <v>224</v>
      </c>
      <c r="C31" s="43" t="s">
        <v>89</v>
      </c>
      <c r="D31" s="113">
        <v>26.0</v>
      </c>
      <c r="E31" s="116" t="s">
        <v>98</v>
      </c>
      <c r="F31" s="40"/>
      <c r="G31" s="50" t="s">
        <v>206</v>
      </c>
      <c r="H31" s="111" t="s">
        <v>101</v>
      </c>
      <c r="I31" s="113">
        <v>7.0</v>
      </c>
      <c r="J31" s="116" t="s">
        <v>105</v>
      </c>
      <c r="K31" s="1"/>
      <c r="L31" s="1"/>
      <c r="M31" s="1"/>
      <c r="N31" s="1"/>
      <c r="O31" s="1"/>
      <c r="P31" s="1"/>
      <c r="Q31" s="1"/>
      <c r="R31" s="1"/>
    </row>
    <row r="32" ht="15.75" customHeight="1">
      <c r="A32" s="40">
        <v>30.0</v>
      </c>
      <c r="B32" s="41" t="s">
        <v>230</v>
      </c>
      <c r="C32" s="43" t="s">
        <v>89</v>
      </c>
      <c r="D32" s="40">
        <v>8.0</v>
      </c>
      <c r="E32" s="40" t="s">
        <v>98</v>
      </c>
      <c r="F32" s="40"/>
      <c r="G32" s="50" t="s">
        <v>219</v>
      </c>
      <c r="H32" s="111" t="s">
        <v>129</v>
      </c>
      <c r="I32" s="113">
        <v>10.0</v>
      </c>
      <c r="J32" s="40" t="s">
        <v>105</v>
      </c>
      <c r="K32" s="1"/>
      <c r="L32" s="1"/>
      <c r="M32" s="1"/>
      <c r="N32" s="1"/>
      <c r="O32" s="1"/>
      <c r="P32" s="1"/>
      <c r="Q32" s="1"/>
      <c r="R32" s="1"/>
    </row>
    <row r="33" ht="15.75" customHeight="1">
      <c r="A33" s="40">
        <v>31.0</v>
      </c>
      <c r="B33" s="41" t="s">
        <v>235</v>
      </c>
      <c r="C33" s="107" t="s">
        <v>250</v>
      </c>
      <c r="D33" s="40">
        <v>18.0</v>
      </c>
      <c r="E33" s="40" t="s">
        <v>98</v>
      </c>
      <c r="F33" s="40"/>
      <c r="G33" s="50" t="s">
        <v>222</v>
      </c>
      <c r="H33" s="111" t="s">
        <v>240</v>
      </c>
      <c r="I33" s="113">
        <v>15.0</v>
      </c>
      <c r="J33" s="116" t="s">
        <v>105</v>
      </c>
      <c r="K33" s="1"/>
      <c r="L33" s="1"/>
      <c r="M33" s="1"/>
      <c r="N33" s="1"/>
      <c r="O33" s="1"/>
      <c r="P33" s="1"/>
      <c r="Q33" s="1"/>
      <c r="R33" s="1"/>
    </row>
    <row r="34" ht="15.75" customHeight="1">
      <c r="A34" s="40">
        <v>32.0</v>
      </c>
      <c r="B34" s="41" t="s">
        <v>242</v>
      </c>
      <c r="C34" s="107" t="s">
        <v>116</v>
      </c>
      <c r="D34" s="40">
        <v>15.0</v>
      </c>
      <c r="E34" s="40" t="s">
        <v>98</v>
      </c>
      <c r="F34" s="40"/>
      <c r="G34" s="50" t="s">
        <v>227</v>
      </c>
      <c r="H34" s="111" t="s">
        <v>101</v>
      </c>
      <c r="I34" s="113">
        <v>9.0</v>
      </c>
      <c r="J34" s="116" t="s">
        <v>105</v>
      </c>
      <c r="K34" s="1"/>
      <c r="L34" s="1"/>
      <c r="M34" s="1"/>
      <c r="N34" s="1"/>
      <c r="O34" s="1"/>
      <c r="P34" s="1"/>
      <c r="Q34" s="1"/>
      <c r="R34" s="1"/>
    </row>
    <row r="35" ht="15.75" customHeight="1">
      <c r="A35" s="40">
        <v>33.0</v>
      </c>
      <c r="B35" s="41" t="s">
        <v>251</v>
      </c>
      <c r="C35" s="107" t="s">
        <v>126</v>
      </c>
      <c r="D35" s="40">
        <v>9.0</v>
      </c>
      <c r="E35" s="40" t="s">
        <v>98</v>
      </c>
      <c r="F35" s="40"/>
      <c r="G35" s="50" t="s">
        <v>232</v>
      </c>
      <c r="H35" s="111" t="s">
        <v>101</v>
      </c>
      <c r="I35" s="113">
        <v>9.0</v>
      </c>
      <c r="J35" s="116" t="s">
        <v>105</v>
      </c>
      <c r="K35" s="1"/>
      <c r="L35" s="1"/>
      <c r="M35" s="1"/>
      <c r="N35" s="1"/>
      <c r="O35" s="1"/>
      <c r="P35" s="1"/>
      <c r="Q35" s="1"/>
      <c r="R35" s="1"/>
    </row>
    <row r="36" ht="15.75" customHeight="1">
      <c r="A36" s="40">
        <v>34.0</v>
      </c>
      <c r="B36" s="41" t="s">
        <v>254</v>
      </c>
      <c r="C36" s="107" t="s">
        <v>126</v>
      </c>
      <c r="D36" s="40">
        <v>10.0</v>
      </c>
      <c r="E36" s="40" t="s">
        <v>98</v>
      </c>
      <c r="F36" s="40"/>
      <c r="G36" s="50" t="s">
        <v>204</v>
      </c>
      <c r="H36" s="111" t="s">
        <v>129</v>
      </c>
      <c r="I36" s="113">
        <v>9.0</v>
      </c>
      <c r="J36" s="113" t="s">
        <v>105</v>
      </c>
      <c r="K36" s="1"/>
      <c r="L36" s="1"/>
      <c r="M36" s="1"/>
      <c r="N36" s="1"/>
      <c r="O36" s="1"/>
      <c r="P36" s="1"/>
      <c r="Q36" s="1"/>
      <c r="R36" s="1"/>
    </row>
    <row r="37" ht="15.75" customHeight="1">
      <c r="A37" s="40">
        <v>35.0</v>
      </c>
      <c r="B37" s="120" t="s">
        <v>109</v>
      </c>
      <c r="C37" s="43" t="s">
        <v>129</v>
      </c>
      <c r="D37" s="45">
        <v>8.0</v>
      </c>
      <c r="E37" s="15" t="s">
        <v>98</v>
      </c>
      <c r="F37" s="40"/>
      <c r="G37" s="121" t="s">
        <v>304</v>
      </c>
      <c r="H37" s="104" t="s">
        <v>115</v>
      </c>
      <c r="I37" s="15">
        <v>7.0</v>
      </c>
      <c r="J37" s="15" t="s">
        <v>105</v>
      </c>
      <c r="K37" s="1"/>
      <c r="L37" s="1"/>
      <c r="M37" s="1"/>
      <c r="N37" s="1"/>
      <c r="O37" s="1"/>
      <c r="P37" s="1"/>
      <c r="Q37" s="1"/>
      <c r="R37" s="1"/>
    </row>
    <row r="38" ht="15.75" customHeight="1">
      <c r="A38" s="40">
        <v>36.0</v>
      </c>
      <c r="B38" s="120" t="s">
        <v>113</v>
      </c>
      <c r="C38" s="43" t="s">
        <v>129</v>
      </c>
      <c r="D38" s="45">
        <v>8.0</v>
      </c>
      <c r="E38" s="15" t="s">
        <v>98</v>
      </c>
      <c r="F38" s="40"/>
      <c r="G38" s="121" t="s">
        <v>212</v>
      </c>
      <c r="H38" s="104" t="s">
        <v>101</v>
      </c>
      <c r="I38" s="15">
        <v>10.0</v>
      </c>
      <c r="J38" s="15" t="s">
        <v>105</v>
      </c>
      <c r="K38" s="1"/>
      <c r="L38" s="1"/>
      <c r="M38" s="1"/>
      <c r="N38" s="1"/>
      <c r="O38" s="1"/>
      <c r="P38" s="1"/>
      <c r="Q38" s="1"/>
      <c r="R38" s="1"/>
    </row>
    <row r="39" ht="15.75" customHeight="1">
      <c r="A39" s="40">
        <v>37.0</v>
      </c>
      <c r="B39" s="120" t="s">
        <v>185</v>
      </c>
      <c r="C39" s="104" t="s">
        <v>129</v>
      </c>
      <c r="D39" s="15">
        <v>14.0</v>
      </c>
      <c r="E39" s="15" t="s">
        <v>98</v>
      </c>
      <c r="F39" s="40"/>
      <c r="G39" s="50" t="s">
        <v>310</v>
      </c>
      <c r="H39" s="43" t="s">
        <v>140</v>
      </c>
      <c r="I39" s="45">
        <v>18.0</v>
      </c>
      <c r="J39" s="15" t="s">
        <v>105</v>
      </c>
      <c r="K39" s="1"/>
      <c r="L39" s="1"/>
      <c r="M39" s="1"/>
      <c r="N39" s="1"/>
      <c r="O39" s="1"/>
      <c r="P39" s="1"/>
      <c r="Q39" s="1"/>
      <c r="R39" s="1"/>
    </row>
    <row r="40" ht="15.75" customHeight="1">
      <c r="A40" s="40">
        <v>38.0</v>
      </c>
      <c r="B40" s="126" t="s">
        <v>279</v>
      </c>
      <c r="C40" s="104" t="s">
        <v>129</v>
      </c>
      <c r="D40" s="15">
        <v>23.0</v>
      </c>
      <c r="E40" s="15" t="s">
        <v>98</v>
      </c>
      <c r="F40" s="40"/>
      <c r="G40" s="50" t="s">
        <v>313</v>
      </c>
      <c r="H40" s="43" t="s">
        <v>140</v>
      </c>
      <c r="I40" s="45">
        <v>11.0</v>
      </c>
      <c r="J40" s="15" t="s">
        <v>105</v>
      </c>
      <c r="K40" s="1"/>
      <c r="L40" s="1"/>
      <c r="M40" s="1"/>
      <c r="N40" s="1"/>
      <c r="O40" s="1"/>
      <c r="P40" s="1"/>
      <c r="Q40" s="1"/>
      <c r="R40" s="1"/>
    </row>
    <row r="41" ht="15.75" customHeight="1">
      <c r="A41" s="40">
        <v>39.0</v>
      </c>
      <c r="B41" s="126" t="s">
        <v>283</v>
      </c>
      <c r="C41" s="104" t="s">
        <v>129</v>
      </c>
      <c r="D41" s="15">
        <v>12.0</v>
      </c>
      <c r="E41" s="15" t="s">
        <v>98</v>
      </c>
      <c r="F41" s="40"/>
      <c r="G41" s="50" t="s">
        <v>199</v>
      </c>
      <c r="H41" s="111" t="s">
        <v>140</v>
      </c>
      <c r="I41" s="113">
        <v>14.0</v>
      </c>
      <c r="J41" s="15" t="s">
        <v>105</v>
      </c>
      <c r="K41" s="1"/>
      <c r="L41" s="1"/>
      <c r="M41" s="1"/>
      <c r="N41" s="1"/>
      <c r="O41" s="1"/>
      <c r="P41" s="1"/>
      <c r="Q41" s="1"/>
      <c r="R41" s="1"/>
    </row>
    <row r="42" ht="15.75" customHeight="1">
      <c r="A42" s="40">
        <v>40.0</v>
      </c>
      <c r="B42" s="41" t="s">
        <v>316</v>
      </c>
      <c r="C42" s="43" t="s">
        <v>129</v>
      </c>
      <c r="D42" s="45">
        <v>17.0</v>
      </c>
      <c r="E42" s="15" t="s">
        <v>98</v>
      </c>
      <c r="F42" s="40"/>
      <c r="G42" s="50" t="s">
        <v>244</v>
      </c>
      <c r="H42" s="111" t="s">
        <v>140</v>
      </c>
      <c r="I42" s="113">
        <v>10.0</v>
      </c>
      <c r="J42" s="15" t="s">
        <v>105</v>
      </c>
      <c r="K42" s="1"/>
      <c r="L42" s="1"/>
      <c r="M42" s="1"/>
      <c r="N42" s="1"/>
      <c r="O42" s="1"/>
      <c r="P42" s="1"/>
      <c r="Q42" s="1"/>
      <c r="R42" s="1"/>
    </row>
    <row r="43" ht="15.75" customHeight="1">
      <c r="A43" s="40">
        <v>41.0</v>
      </c>
      <c r="B43" s="126" t="s">
        <v>288</v>
      </c>
      <c r="C43" s="104" t="s">
        <v>129</v>
      </c>
      <c r="D43" s="15">
        <v>10.0</v>
      </c>
      <c r="E43" s="15" t="s">
        <v>98</v>
      </c>
      <c r="F43" s="40"/>
      <c r="G43" s="50" t="s">
        <v>166</v>
      </c>
      <c r="H43" s="43" t="s">
        <v>140</v>
      </c>
      <c r="I43" s="45">
        <v>18.0</v>
      </c>
      <c r="J43" s="15" t="s">
        <v>105</v>
      </c>
      <c r="K43" s="1"/>
      <c r="L43" s="1"/>
      <c r="M43" s="1"/>
      <c r="N43" s="1"/>
      <c r="O43" s="1"/>
      <c r="P43" s="1"/>
      <c r="Q43" s="1"/>
      <c r="R43" s="1"/>
    </row>
    <row r="44" ht="15.75" customHeight="1">
      <c r="A44" s="40">
        <v>42.0</v>
      </c>
      <c r="B44" s="126" t="s">
        <v>286</v>
      </c>
      <c r="C44" s="104" t="s">
        <v>116</v>
      </c>
      <c r="D44" s="15">
        <v>20.0</v>
      </c>
      <c r="E44" s="15" t="s">
        <v>98</v>
      </c>
      <c r="F44" s="40"/>
      <c r="G44" s="50" t="s">
        <v>264</v>
      </c>
      <c r="H44" s="43" t="s">
        <v>240</v>
      </c>
      <c r="I44" s="45">
        <v>15.0</v>
      </c>
      <c r="J44" s="15" t="s">
        <v>105</v>
      </c>
      <c r="K44" s="1"/>
      <c r="L44" s="1"/>
      <c r="M44" s="1"/>
      <c r="N44" s="1"/>
      <c r="O44" s="1"/>
      <c r="P44" s="1"/>
      <c r="Q44" s="1"/>
      <c r="R44" s="1"/>
    </row>
    <row r="45" ht="15.75" customHeight="1">
      <c r="A45" s="40">
        <v>43.0</v>
      </c>
      <c r="B45" s="41" t="s">
        <v>18</v>
      </c>
      <c r="C45" s="43" t="s">
        <v>89</v>
      </c>
      <c r="D45" s="45">
        <v>12.0</v>
      </c>
      <c r="E45" s="15" t="s">
        <v>98</v>
      </c>
      <c r="F45" s="40"/>
      <c r="G45" s="134" t="s">
        <v>267</v>
      </c>
      <c r="H45" s="104" t="s">
        <v>126</v>
      </c>
      <c r="I45" s="15">
        <v>5.0</v>
      </c>
      <c r="J45" s="15" t="s">
        <v>105</v>
      </c>
      <c r="K45" s="1"/>
      <c r="L45" s="1"/>
      <c r="M45" s="1"/>
      <c r="N45" s="1"/>
      <c r="O45" s="1"/>
      <c r="P45" s="1"/>
      <c r="Q45" s="1"/>
      <c r="R45" s="1"/>
    </row>
    <row r="46" ht="15.75" customHeight="1">
      <c r="A46" s="40">
        <v>44.0</v>
      </c>
      <c r="B46" s="41" t="s">
        <v>99</v>
      </c>
      <c r="C46" s="43" t="s">
        <v>89</v>
      </c>
      <c r="D46" s="45">
        <v>16.0</v>
      </c>
      <c r="E46" s="15" t="s">
        <v>98</v>
      </c>
      <c r="F46" s="40"/>
      <c r="G46" s="134" t="s">
        <v>271</v>
      </c>
      <c r="H46" s="104" t="s">
        <v>101</v>
      </c>
      <c r="I46" s="15">
        <v>17.0</v>
      </c>
      <c r="J46" s="15" t="s">
        <v>105</v>
      </c>
      <c r="K46" s="1"/>
      <c r="L46" s="1"/>
      <c r="M46" s="1"/>
      <c r="N46" s="1"/>
      <c r="O46" s="1"/>
      <c r="P46" s="1"/>
      <c r="Q46" s="1"/>
      <c r="R46" s="1"/>
    </row>
    <row r="47" ht="15.75" customHeight="1">
      <c r="A47" s="40">
        <v>45.0</v>
      </c>
      <c r="B47" s="41" t="s">
        <v>95</v>
      </c>
      <c r="C47" s="43" t="s">
        <v>89</v>
      </c>
      <c r="D47" s="45">
        <v>7.0</v>
      </c>
      <c r="E47" s="15" t="s">
        <v>98</v>
      </c>
      <c r="F47" s="40"/>
      <c r="G47" s="134" t="s">
        <v>274</v>
      </c>
      <c r="H47" s="104" t="s">
        <v>240</v>
      </c>
      <c r="I47" s="15">
        <v>17.0</v>
      </c>
      <c r="J47" s="15" t="s">
        <v>105</v>
      </c>
      <c r="K47" s="1"/>
      <c r="L47" s="1"/>
      <c r="M47" s="1"/>
      <c r="N47" s="1"/>
      <c r="O47" s="1"/>
      <c r="P47" s="1"/>
      <c r="Q47" s="1"/>
      <c r="R47" s="1"/>
    </row>
    <row r="48" ht="15.75" customHeight="1">
      <c r="A48" s="40">
        <v>46.0</v>
      </c>
      <c r="B48" s="41" t="s">
        <v>72</v>
      </c>
      <c r="C48" s="43" t="s">
        <v>89</v>
      </c>
      <c r="D48" s="45">
        <v>15.0</v>
      </c>
      <c r="E48" s="15" t="s">
        <v>98</v>
      </c>
      <c r="F48" s="40"/>
      <c r="G48" s="134" t="s">
        <v>281</v>
      </c>
      <c r="H48" s="104" t="s">
        <v>101</v>
      </c>
      <c r="I48" s="15">
        <v>26.0</v>
      </c>
      <c r="J48" s="15" t="s">
        <v>105</v>
      </c>
      <c r="K48" s="1"/>
      <c r="L48" s="1"/>
      <c r="M48" s="1"/>
      <c r="N48" s="1"/>
      <c r="O48" s="1"/>
      <c r="P48" s="1"/>
      <c r="Q48" s="1"/>
      <c r="R48" s="1"/>
    </row>
    <row r="49" ht="15.75" customHeight="1">
      <c r="A49" s="40">
        <v>47.0</v>
      </c>
      <c r="B49" s="41" t="s">
        <v>260</v>
      </c>
      <c r="C49" s="43" t="s">
        <v>89</v>
      </c>
      <c r="D49" s="40">
        <v>27.0</v>
      </c>
      <c r="E49" s="15" t="s">
        <v>98</v>
      </c>
      <c r="F49" s="40"/>
      <c r="G49" s="50" t="s">
        <v>321</v>
      </c>
      <c r="H49" s="43" t="s">
        <v>101</v>
      </c>
      <c r="I49" s="45">
        <v>15.0</v>
      </c>
      <c r="J49" s="15" t="s">
        <v>105</v>
      </c>
      <c r="K49" s="1"/>
      <c r="L49" s="1"/>
      <c r="M49" s="1"/>
      <c r="N49" s="1"/>
      <c r="O49" s="1"/>
      <c r="P49" s="1"/>
      <c r="Q49" s="1"/>
      <c r="R49" s="1"/>
    </row>
    <row r="50" ht="15.75" customHeight="1">
      <c r="A50" s="40">
        <v>48.0</v>
      </c>
      <c r="B50" s="138" t="s">
        <v>322</v>
      </c>
      <c r="C50" s="107" t="s">
        <v>126</v>
      </c>
      <c r="D50" s="107">
        <v>9.0</v>
      </c>
      <c r="E50" s="15" t="s">
        <v>98</v>
      </c>
      <c r="F50" s="40"/>
      <c r="G50" s="50" t="s">
        <v>122</v>
      </c>
      <c r="H50" s="43" t="s">
        <v>101</v>
      </c>
      <c r="I50" s="45">
        <v>14.0</v>
      </c>
      <c r="J50" s="15" t="s">
        <v>105</v>
      </c>
      <c r="K50" s="1"/>
      <c r="L50" s="1"/>
      <c r="M50" s="1"/>
      <c r="N50" s="1"/>
      <c r="O50" s="1"/>
      <c r="P50" s="1"/>
      <c r="Q50" s="1"/>
      <c r="R50" s="1"/>
    </row>
    <row r="51" ht="15.75" customHeight="1">
      <c r="A51" s="40">
        <v>49.0</v>
      </c>
      <c r="B51" s="138" t="s">
        <v>323</v>
      </c>
      <c r="C51" s="107" t="s">
        <v>116</v>
      </c>
      <c r="D51" s="107">
        <v>14.0</v>
      </c>
      <c r="E51" s="15" t="s">
        <v>98</v>
      </c>
      <c r="F51" s="40"/>
      <c r="G51" s="50" t="s">
        <v>288</v>
      </c>
      <c r="H51" s="107" t="s">
        <v>129</v>
      </c>
      <c r="I51" s="40">
        <v>10.0</v>
      </c>
      <c r="J51" s="15" t="s">
        <v>105</v>
      </c>
      <c r="K51" s="1"/>
      <c r="L51" s="1"/>
      <c r="M51" s="1"/>
      <c r="N51" s="1"/>
      <c r="O51" s="1"/>
      <c r="P51" s="1"/>
      <c r="Q51" s="1"/>
      <c r="R51" s="1"/>
    </row>
    <row r="52" ht="15.75" customHeight="1">
      <c r="A52" s="40">
        <v>50.0</v>
      </c>
      <c r="B52" s="138" t="s">
        <v>324</v>
      </c>
      <c r="C52" s="107" t="s">
        <v>250</v>
      </c>
      <c r="D52" s="107">
        <v>16.0</v>
      </c>
      <c r="E52" s="107" t="s">
        <v>98</v>
      </c>
      <c r="F52" s="40"/>
      <c r="G52" s="50" t="s">
        <v>290</v>
      </c>
      <c r="H52" s="107" t="s">
        <v>240</v>
      </c>
      <c r="I52" s="40">
        <v>9.0</v>
      </c>
      <c r="J52" s="15" t="s">
        <v>105</v>
      </c>
      <c r="K52" s="1"/>
      <c r="L52" s="1"/>
      <c r="M52" s="1"/>
      <c r="N52" s="1"/>
      <c r="O52" s="1"/>
      <c r="P52" s="1"/>
      <c r="Q52" s="1"/>
      <c r="R52" s="1"/>
    </row>
    <row r="53" ht="15.75" customHeight="1">
      <c r="A53" s="40">
        <v>51.0</v>
      </c>
      <c r="B53" s="138" t="s">
        <v>325</v>
      </c>
      <c r="C53" s="107" t="s">
        <v>226</v>
      </c>
      <c r="D53" s="107">
        <v>11.0</v>
      </c>
      <c r="E53" s="107" t="s">
        <v>98</v>
      </c>
      <c r="F53" s="40"/>
      <c r="G53" s="139" t="s">
        <v>292</v>
      </c>
      <c r="H53" s="107" t="s">
        <v>119</v>
      </c>
      <c r="I53" s="107">
        <v>9.0</v>
      </c>
      <c r="J53" s="107" t="s">
        <v>105</v>
      </c>
      <c r="K53" s="1"/>
      <c r="L53" s="1"/>
      <c r="M53" s="1"/>
      <c r="N53" s="1"/>
      <c r="O53" s="1"/>
      <c r="P53" s="1"/>
      <c r="Q53" s="1"/>
      <c r="R53" s="1"/>
    </row>
    <row r="54" ht="15.75" customHeight="1">
      <c r="A54" s="40">
        <v>52.0</v>
      </c>
      <c r="B54" s="140" t="s">
        <v>326</v>
      </c>
      <c r="C54" s="141" t="s">
        <v>126</v>
      </c>
      <c r="D54" s="141">
        <v>12.0</v>
      </c>
      <c r="E54" s="107" t="s">
        <v>98</v>
      </c>
      <c r="F54" s="40"/>
      <c r="G54" s="139" t="s">
        <v>329</v>
      </c>
      <c r="H54" s="107" t="s">
        <v>119</v>
      </c>
      <c r="I54" s="107">
        <v>14.0</v>
      </c>
      <c r="J54" s="107" t="s">
        <v>105</v>
      </c>
      <c r="K54" s="1"/>
      <c r="L54" s="1"/>
      <c r="M54" s="1"/>
      <c r="N54" s="1"/>
      <c r="O54" s="1"/>
      <c r="P54" s="1"/>
      <c r="Q54" s="1"/>
      <c r="R54" s="1"/>
    </row>
    <row r="55" ht="15.75" customHeight="1">
      <c r="A55" s="40">
        <v>53.0</v>
      </c>
      <c r="B55" s="138" t="s">
        <v>330</v>
      </c>
      <c r="C55" s="107" t="s">
        <v>126</v>
      </c>
      <c r="D55" s="107">
        <v>25.0</v>
      </c>
      <c r="E55" s="107" t="s">
        <v>98</v>
      </c>
      <c r="F55" s="40"/>
      <c r="G55" s="50"/>
      <c r="H55" s="40"/>
      <c r="I55" s="40"/>
      <c r="J55" s="40"/>
      <c r="K55" s="1"/>
      <c r="L55" s="1"/>
      <c r="M55" s="1"/>
      <c r="N55" s="1"/>
      <c r="O55" s="1"/>
      <c r="P55" s="1"/>
      <c r="Q55" s="1"/>
      <c r="R55" s="1"/>
    </row>
    <row r="56" ht="15.75" customHeight="1">
      <c r="A56" s="40">
        <v>54.0</v>
      </c>
      <c r="F56" s="40"/>
      <c r="G56" s="50"/>
      <c r="H56" s="40"/>
      <c r="I56" s="40"/>
      <c r="J56" s="40"/>
      <c r="K56" s="1"/>
      <c r="L56" s="1"/>
      <c r="M56" s="1"/>
      <c r="N56" s="1"/>
      <c r="O56" s="1"/>
      <c r="P56" s="1"/>
      <c r="Q56" s="1"/>
      <c r="R56" s="1"/>
    </row>
    <row r="57" ht="15.75" customHeight="1">
      <c r="A57" s="40">
        <v>55.0</v>
      </c>
      <c r="B57" s="41"/>
      <c r="C57" s="40"/>
      <c r="D57" s="40"/>
      <c r="E57" s="40"/>
      <c r="F57" s="40"/>
      <c r="G57" s="50"/>
      <c r="H57" s="40"/>
      <c r="I57" s="40"/>
      <c r="J57" s="40"/>
      <c r="K57" s="1"/>
      <c r="L57" s="1"/>
      <c r="M57" s="1"/>
      <c r="N57" s="1"/>
      <c r="O57" s="1"/>
      <c r="P57" s="1"/>
      <c r="Q57" s="1"/>
      <c r="R57" s="1"/>
    </row>
    <row r="58" ht="15.75" customHeight="1">
      <c r="A58" s="40">
        <v>56.0</v>
      </c>
      <c r="B58" s="41"/>
      <c r="C58" s="40"/>
      <c r="D58" s="40"/>
      <c r="E58" s="40"/>
      <c r="F58" s="40"/>
      <c r="G58" s="50"/>
      <c r="H58" s="40"/>
      <c r="I58" s="40"/>
      <c r="J58" s="40"/>
      <c r="K58" s="1"/>
      <c r="L58" s="1"/>
      <c r="M58" s="1"/>
      <c r="N58" s="1"/>
      <c r="O58" s="1"/>
      <c r="P58" s="1"/>
      <c r="Q58" s="1"/>
      <c r="R58" s="1"/>
    </row>
    <row r="59" ht="15.75" customHeight="1">
      <c r="A59" s="40">
        <v>57.0</v>
      </c>
      <c r="B59" s="41"/>
      <c r="C59" s="40"/>
      <c r="D59" s="40"/>
      <c r="E59" s="40"/>
      <c r="F59" s="40"/>
      <c r="G59" s="50"/>
      <c r="H59" s="40"/>
      <c r="I59" s="40"/>
      <c r="J59" s="40"/>
      <c r="K59" s="1"/>
      <c r="L59" s="1"/>
      <c r="M59" s="1"/>
      <c r="N59" s="1"/>
      <c r="O59" s="1"/>
      <c r="P59" s="1"/>
      <c r="Q59" s="1"/>
      <c r="R59" s="1"/>
    </row>
    <row r="60" ht="15.75" customHeight="1">
      <c r="A60" s="40">
        <v>58.0</v>
      </c>
      <c r="B60" s="41"/>
      <c r="C60" s="40"/>
      <c r="D60" s="40"/>
      <c r="E60" s="40"/>
      <c r="F60" s="40"/>
      <c r="G60" s="50"/>
      <c r="H60" s="40"/>
      <c r="I60" s="40"/>
      <c r="J60" s="40"/>
      <c r="K60" s="1"/>
      <c r="L60" s="1"/>
      <c r="M60" s="1"/>
      <c r="N60" s="1"/>
      <c r="O60" s="1"/>
      <c r="P60" s="1"/>
      <c r="Q60" s="1"/>
      <c r="R60" s="1"/>
    </row>
    <row r="61" ht="15.75" customHeight="1">
      <c r="A61" s="40">
        <v>59.0</v>
      </c>
      <c r="B61" s="41"/>
      <c r="C61" s="40"/>
      <c r="D61" s="40"/>
      <c r="E61" s="40"/>
      <c r="F61" s="40"/>
      <c r="G61" s="50"/>
      <c r="H61" s="40"/>
      <c r="I61" s="40"/>
      <c r="J61" s="40"/>
      <c r="K61" s="1"/>
      <c r="L61" s="1"/>
      <c r="M61" s="1"/>
      <c r="N61" s="1"/>
      <c r="O61" s="1"/>
      <c r="P61" s="1"/>
      <c r="Q61" s="1"/>
      <c r="R61" s="1"/>
    </row>
    <row r="62" ht="15.75" customHeight="1">
      <c r="A62" s="40">
        <v>60.0</v>
      </c>
      <c r="B62" s="41"/>
      <c r="C62" s="40"/>
      <c r="D62" s="40"/>
      <c r="E62" s="40"/>
      <c r="F62" s="40"/>
      <c r="G62" s="50"/>
      <c r="H62" s="40"/>
      <c r="I62" s="40"/>
      <c r="J62" s="40"/>
      <c r="K62" s="1"/>
      <c r="L62" s="1"/>
      <c r="M62" s="1"/>
      <c r="N62" s="1"/>
      <c r="O62" s="1"/>
      <c r="P62" s="1"/>
      <c r="Q62" s="1"/>
      <c r="R62" s="1"/>
    </row>
    <row r="63" ht="15.75" customHeight="1">
      <c r="A63" s="1"/>
      <c r="B63" s="1"/>
      <c r="C63" s="2"/>
      <c r="D63" s="2"/>
      <c r="E63" s="2"/>
      <c r="F63" s="1"/>
      <c r="G63" s="1"/>
      <c r="H63" s="2"/>
      <c r="I63" s="2"/>
      <c r="J63" s="2"/>
      <c r="K63" s="1"/>
      <c r="L63" s="1"/>
      <c r="M63" s="1"/>
      <c r="N63" s="1"/>
      <c r="O63" s="1"/>
      <c r="P63" s="1"/>
      <c r="Q63" s="1"/>
      <c r="R63" s="1"/>
    </row>
    <row r="64" ht="15.75" customHeight="1">
      <c r="A64" s="1"/>
      <c r="B64" s="1"/>
      <c r="C64" s="2"/>
      <c r="D64" s="2"/>
      <c r="E64" s="2"/>
      <c r="F64" s="1"/>
      <c r="G64" s="1"/>
      <c r="H64" s="2"/>
      <c r="I64" s="2"/>
      <c r="J64" s="2"/>
      <c r="K64" s="1"/>
      <c r="L64" s="1"/>
      <c r="M64" s="1"/>
      <c r="N64" s="1"/>
      <c r="O64" s="1"/>
      <c r="P64" s="1"/>
      <c r="Q64" s="1"/>
      <c r="R64" s="1"/>
    </row>
    <row r="65" ht="15.75" customHeight="1">
      <c r="A65" s="1"/>
      <c r="B65" s="1"/>
      <c r="C65" s="2"/>
      <c r="D65" s="2"/>
      <c r="E65" s="2"/>
      <c r="F65" s="1"/>
      <c r="G65" s="1"/>
      <c r="H65" s="2"/>
      <c r="I65" s="2"/>
      <c r="J65" s="2"/>
      <c r="K65" s="1"/>
      <c r="L65" s="1"/>
      <c r="M65" s="1"/>
      <c r="N65" s="1"/>
      <c r="O65" s="1"/>
      <c r="P65" s="1"/>
      <c r="Q65" s="1"/>
      <c r="R65" s="1"/>
    </row>
    <row r="66" ht="15.75" customHeight="1">
      <c r="A66" s="1"/>
      <c r="B66" s="1"/>
      <c r="C66" s="2"/>
      <c r="D66" s="2"/>
      <c r="E66" s="2"/>
      <c r="F66" s="1"/>
      <c r="G66" s="1"/>
      <c r="H66" s="2"/>
      <c r="I66" s="2"/>
      <c r="J66" s="2"/>
      <c r="K66" s="1"/>
      <c r="L66" s="1"/>
      <c r="M66" s="1"/>
      <c r="N66" s="1"/>
      <c r="O66" s="1"/>
      <c r="P66" s="1"/>
      <c r="Q66" s="1"/>
      <c r="R66" s="1"/>
    </row>
    <row r="67" ht="15.75" customHeight="1">
      <c r="A67" s="1"/>
      <c r="B67" s="1"/>
      <c r="C67" s="2"/>
      <c r="D67" s="2"/>
      <c r="E67" s="2"/>
      <c r="F67" s="1"/>
      <c r="G67" s="1"/>
      <c r="H67" s="2"/>
      <c r="I67" s="2"/>
      <c r="J67" s="2"/>
      <c r="K67" s="1"/>
      <c r="L67" s="1"/>
      <c r="M67" s="1"/>
      <c r="N67" s="1"/>
      <c r="O67" s="1"/>
      <c r="P67" s="1"/>
      <c r="Q67" s="1"/>
      <c r="R67" s="1"/>
    </row>
    <row r="68" ht="15.75" customHeight="1">
      <c r="A68" s="1"/>
      <c r="B68" s="1"/>
      <c r="C68" s="2"/>
      <c r="D68" s="2"/>
      <c r="E68" s="2"/>
      <c r="F68" s="1"/>
      <c r="G68" s="1"/>
      <c r="H68" s="2"/>
      <c r="I68" s="2"/>
      <c r="J68" s="2"/>
      <c r="K68" s="1"/>
      <c r="L68" s="1"/>
      <c r="M68" s="1"/>
      <c r="N68" s="1"/>
      <c r="O68" s="1"/>
      <c r="P68" s="1"/>
      <c r="Q68" s="1"/>
      <c r="R68" s="1"/>
    </row>
    <row r="69" ht="15.75" customHeight="1">
      <c r="A69" s="1"/>
      <c r="B69" s="1"/>
      <c r="C69" s="2"/>
      <c r="D69" s="2"/>
      <c r="E69" s="2"/>
      <c r="F69" s="1"/>
      <c r="G69" s="1"/>
      <c r="H69" s="2"/>
      <c r="I69" s="2"/>
      <c r="J69" s="2"/>
      <c r="K69" s="1"/>
      <c r="L69" s="1"/>
      <c r="M69" s="1"/>
      <c r="N69" s="1"/>
      <c r="O69" s="1"/>
      <c r="P69" s="1"/>
      <c r="Q69" s="1"/>
      <c r="R69" s="1"/>
    </row>
    <row r="70" ht="15.75" customHeight="1">
      <c r="A70" s="1"/>
      <c r="B70" s="1"/>
      <c r="C70" s="2"/>
      <c r="D70" s="2"/>
      <c r="E70" s="2"/>
      <c r="F70" s="1"/>
      <c r="G70" s="1"/>
      <c r="H70" s="2"/>
      <c r="I70" s="2"/>
      <c r="J70" s="2"/>
      <c r="K70" s="1"/>
      <c r="L70" s="1"/>
      <c r="M70" s="1"/>
      <c r="N70" s="1"/>
      <c r="O70" s="1"/>
      <c r="P70" s="1"/>
      <c r="Q70" s="1"/>
      <c r="R70" s="1"/>
    </row>
    <row r="71" ht="15.75" customHeight="1">
      <c r="A71" s="1"/>
      <c r="B71" s="1"/>
      <c r="C71" s="2"/>
      <c r="D71" s="2"/>
      <c r="E71" s="2"/>
      <c r="F71" s="1"/>
      <c r="G71" s="1"/>
      <c r="H71" s="2"/>
      <c r="I71" s="2"/>
      <c r="J71" s="2"/>
      <c r="K71" s="1"/>
      <c r="L71" s="1"/>
      <c r="M71" s="1"/>
      <c r="N71" s="1"/>
      <c r="O71" s="1"/>
      <c r="P71" s="1"/>
      <c r="Q71" s="1"/>
      <c r="R71" s="1"/>
    </row>
    <row r="72" ht="15.75" customHeight="1">
      <c r="A72" s="1"/>
      <c r="B72" s="1"/>
      <c r="C72" s="2"/>
      <c r="D72" s="2"/>
      <c r="E72" s="2"/>
      <c r="F72" s="1"/>
      <c r="G72" s="1"/>
      <c r="H72" s="2"/>
      <c r="I72" s="2"/>
      <c r="J72" s="2"/>
      <c r="K72" s="1"/>
      <c r="L72" s="1"/>
      <c r="M72" s="1"/>
      <c r="N72" s="1"/>
      <c r="O72" s="1"/>
      <c r="P72" s="1"/>
      <c r="Q72" s="1"/>
      <c r="R72" s="1"/>
    </row>
    <row r="73" ht="15.75" customHeight="1">
      <c r="A73" s="1"/>
      <c r="B73" s="1"/>
      <c r="C73" s="2"/>
      <c r="D73" s="2"/>
      <c r="E73" s="2"/>
      <c r="F73" s="1"/>
      <c r="G73" s="1"/>
      <c r="H73" s="2"/>
      <c r="I73" s="2"/>
      <c r="J73" s="2"/>
      <c r="K73" s="1"/>
      <c r="L73" s="1"/>
      <c r="M73" s="1"/>
      <c r="N73" s="1"/>
      <c r="O73" s="1"/>
      <c r="P73" s="1"/>
      <c r="Q73" s="1"/>
      <c r="R73" s="1"/>
    </row>
    <row r="74" ht="15.75" customHeight="1">
      <c r="A74" s="1"/>
      <c r="B74" s="1"/>
      <c r="C74" s="2"/>
      <c r="D74" s="2"/>
      <c r="E74" s="2"/>
      <c r="F74" s="1"/>
      <c r="G74" s="1"/>
      <c r="H74" s="2"/>
      <c r="I74" s="2"/>
      <c r="J74" s="2"/>
      <c r="K74" s="1"/>
      <c r="L74" s="1"/>
      <c r="M74" s="1"/>
      <c r="N74" s="1"/>
      <c r="O74" s="1"/>
      <c r="P74" s="1"/>
      <c r="Q74" s="1"/>
      <c r="R74" s="1"/>
    </row>
    <row r="75" ht="15.75" customHeight="1">
      <c r="A75" s="1"/>
      <c r="B75" s="1"/>
      <c r="C75" s="2"/>
      <c r="D75" s="2"/>
      <c r="E75" s="2"/>
      <c r="F75" s="1"/>
      <c r="G75" s="1"/>
      <c r="H75" s="2"/>
      <c r="I75" s="2"/>
      <c r="J75" s="2"/>
      <c r="K75" s="1"/>
      <c r="L75" s="1"/>
      <c r="M75" s="1"/>
      <c r="N75" s="1"/>
      <c r="O75" s="1"/>
      <c r="P75" s="1"/>
      <c r="Q75" s="1"/>
      <c r="R75" s="1"/>
    </row>
    <row r="76" ht="15.75" customHeight="1">
      <c r="A76" s="1"/>
      <c r="B76" s="1"/>
      <c r="C76" s="2"/>
      <c r="D76" s="2"/>
      <c r="E76" s="2"/>
      <c r="F76" s="1"/>
      <c r="G76" s="1"/>
      <c r="H76" s="2"/>
      <c r="I76" s="2"/>
      <c r="J76" s="2"/>
      <c r="K76" s="1"/>
      <c r="L76" s="1"/>
      <c r="M76" s="1"/>
      <c r="N76" s="1"/>
      <c r="O76" s="1"/>
      <c r="P76" s="1"/>
      <c r="Q76" s="1"/>
      <c r="R76" s="1"/>
    </row>
    <row r="77" ht="15.75" customHeight="1">
      <c r="A77" s="1"/>
      <c r="B77" s="1"/>
      <c r="C77" s="2"/>
      <c r="D77" s="2"/>
      <c r="E77" s="2"/>
      <c r="F77" s="1"/>
      <c r="G77" s="1"/>
      <c r="H77" s="2"/>
      <c r="I77" s="2"/>
      <c r="J77" s="2"/>
      <c r="K77" s="1"/>
      <c r="L77" s="1"/>
      <c r="M77" s="1"/>
      <c r="N77" s="1"/>
      <c r="O77" s="1"/>
      <c r="P77" s="1"/>
      <c r="Q77" s="1"/>
      <c r="R77" s="1"/>
    </row>
    <row r="78" ht="15.75" customHeight="1">
      <c r="A78" s="1"/>
      <c r="B78" s="1"/>
      <c r="C78" s="2"/>
      <c r="D78" s="2"/>
      <c r="E78" s="2"/>
      <c r="F78" s="1"/>
      <c r="G78" s="1"/>
      <c r="H78" s="2"/>
      <c r="I78" s="2"/>
      <c r="J78" s="2"/>
      <c r="K78" s="1"/>
      <c r="L78" s="1"/>
      <c r="M78" s="1"/>
      <c r="N78" s="1"/>
      <c r="O78" s="1"/>
      <c r="P78" s="1"/>
      <c r="Q78" s="1"/>
      <c r="R78" s="1"/>
    </row>
    <row r="79" ht="15.75" customHeight="1">
      <c r="A79" s="1"/>
      <c r="B79" s="1"/>
      <c r="C79" s="2"/>
      <c r="D79" s="2"/>
      <c r="E79" s="2"/>
      <c r="F79" s="1"/>
      <c r="G79" s="1"/>
      <c r="H79" s="2"/>
      <c r="I79" s="2"/>
      <c r="J79" s="2"/>
      <c r="K79" s="1"/>
      <c r="L79" s="1"/>
      <c r="M79" s="1"/>
      <c r="N79" s="1"/>
      <c r="O79" s="1"/>
      <c r="P79" s="1"/>
      <c r="Q79" s="1"/>
      <c r="R79" s="1"/>
    </row>
    <row r="80" ht="15.75" customHeight="1">
      <c r="A80" s="1"/>
      <c r="B80" s="1"/>
      <c r="C80" s="2"/>
      <c r="D80" s="2"/>
      <c r="E80" s="2"/>
      <c r="F80" s="1"/>
      <c r="G80" s="1"/>
      <c r="H80" s="2"/>
      <c r="I80" s="2"/>
      <c r="J80" s="2"/>
      <c r="K80" s="1"/>
      <c r="L80" s="1"/>
      <c r="M80" s="1"/>
      <c r="N80" s="1"/>
      <c r="O80" s="1"/>
      <c r="P80" s="1"/>
      <c r="Q80" s="1"/>
      <c r="R80" s="1"/>
    </row>
    <row r="81" ht="15.75" customHeight="1">
      <c r="A81" s="1"/>
      <c r="B81" s="1"/>
      <c r="C81" s="2"/>
      <c r="D81" s="2"/>
      <c r="E81" s="2"/>
      <c r="F81" s="1"/>
      <c r="G81" s="1"/>
      <c r="H81" s="2"/>
      <c r="I81" s="2"/>
      <c r="J81" s="2"/>
      <c r="K81" s="1"/>
      <c r="L81" s="1"/>
      <c r="M81" s="1"/>
      <c r="N81" s="1"/>
      <c r="O81" s="1"/>
      <c r="P81" s="1"/>
      <c r="Q81" s="1"/>
      <c r="R81" s="1"/>
    </row>
    <row r="82" ht="15.75" customHeight="1">
      <c r="A82" s="1"/>
      <c r="B82" s="1"/>
      <c r="C82" s="2"/>
      <c r="D82" s="2"/>
      <c r="E82" s="2"/>
      <c r="F82" s="1"/>
      <c r="G82" s="1"/>
      <c r="H82" s="2"/>
      <c r="I82" s="2"/>
      <c r="J82" s="2"/>
      <c r="K82" s="1"/>
      <c r="L82" s="1"/>
      <c r="M82" s="1"/>
      <c r="N82" s="1"/>
      <c r="O82" s="1"/>
      <c r="P82" s="1"/>
      <c r="Q82" s="1"/>
      <c r="R82" s="1"/>
    </row>
    <row r="83" ht="15.75" customHeight="1">
      <c r="A83" s="1"/>
      <c r="B83" s="1"/>
      <c r="C83" s="2"/>
      <c r="D83" s="2"/>
      <c r="E83" s="2"/>
      <c r="F83" s="1"/>
      <c r="G83" s="1"/>
      <c r="H83" s="2"/>
      <c r="I83" s="2"/>
      <c r="J83" s="2"/>
      <c r="K83" s="1"/>
      <c r="L83" s="1"/>
      <c r="M83" s="1"/>
      <c r="N83" s="1"/>
      <c r="O83" s="1"/>
      <c r="P83" s="1"/>
      <c r="Q83" s="1"/>
      <c r="R83" s="1"/>
    </row>
    <row r="84" ht="15.75" customHeight="1">
      <c r="A84" s="1"/>
      <c r="B84" s="1"/>
      <c r="C84" s="2"/>
      <c r="D84" s="2"/>
      <c r="E84" s="2"/>
      <c r="F84" s="1"/>
      <c r="G84" s="1"/>
      <c r="H84" s="2"/>
      <c r="I84" s="2"/>
      <c r="J84" s="2"/>
      <c r="K84" s="1"/>
      <c r="L84" s="1"/>
      <c r="M84" s="1"/>
      <c r="N84" s="1"/>
      <c r="O84" s="1"/>
      <c r="P84" s="1"/>
      <c r="Q84" s="1"/>
      <c r="R84" s="1"/>
    </row>
    <row r="85" ht="15.75" customHeight="1">
      <c r="A85" s="1"/>
      <c r="B85" s="1"/>
      <c r="C85" s="2"/>
      <c r="D85" s="2"/>
      <c r="E85" s="2"/>
      <c r="F85" s="1"/>
      <c r="G85" s="1"/>
      <c r="H85" s="2"/>
      <c r="I85" s="2"/>
      <c r="J85" s="2"/>
      <c r="K85" s="1"/>
      <c r="L85" s="1"/>
      <c r="M85" s="1"/>
      <c r="N85" s="1"/>
      <c r="O85" s="1"/>
      <c r="P85" s="1"/>
      <c r="Q85" s="1"/>
      <c r="R85" s="1"/>
    </row>
    <row r="86" ht="15.75" customHeight="1">
      <c r="A86" s="1"/>
      <c r="B86" s="1"/>
      <c r="C86" s="2"/>
      <c r="D86" s="2"/>
      <c r="E86" s="2"/>
      <c r="F86" s="1"/>
      <c r="G86" s="1"/>
      <c r="H86" s="2"/>
      <c r="I86" s="2"/>
      <c r="J86" s="2"/>
      <c r="K86" s="1"/>
      <c r="L86" s="1"/>
      <c r="M86" s="1"/>
      <c r="N86" s="1"/>
      <c r="O86" s="1"/>
      <c r="P86" s="1"/>
      <c r="Q86" s="1"/>
      <c r="R86" s="1"/>
    </row>
    <row r="87" ht="15.75" customHeight="1">
      <c r="A87" s="1"/>
      <c r="B87" s="1"/>
      <c r="C87" s="2"/>
      <c r="D87" s="2"/>
      <c r="E87" s="2"/>
      <c r="F87" s="1"/>
      <c r="G87" s="1"/>
      <c r="H87" s="2"/>
      <c r="I87" s="2"/>
      <c r="J87" s="2"/>
      <c r="K87" s="1"/>
      <c r="L87" s="1"/>
      <c r="M87" s="1"/>
      <c r="N87" s="1"/>
      <c r="O87" s="1"/>
      <c r="P87" s="1"/>
      <c r="Q87" s="1"/>
      <c r="R87" s="1"/>
    </row>
    <row r="88" ht="15.75" customHeight="1">
      <c r="A88" s="1"/>
      <c r="B88" s="1"/>
      <c r="C88" s="2"/>
      <c r="D88" s="2"/>
      <c r="E88" s="2"/>
      <c r="F88" s="1"/>
      <c r="G88" s="1"/>
      <c r="H88" s="2"/>
      <c r="I88" s="2"/>
      <c r="J88" s="2"/>
      <c r="K88" s="1"/>
      <c r="L88" s="1"/>
      <c r="M88" s="1"/>
      <c r="N88" s="1"/>
      <c r="O88" s="1"/>
      <c r="P88" s="1"/>
      <c r="Q88" s="1"/>
      <c r="R88" s="1"/>
    </row>
    <row r="89" ht="15.75" customHeight="1">
      <c r="A89" s="1"/>
      <c r="B89" s="1"/>
      <c r="C89" s="2"/>
      <c r="D89" s="2"/>
      <c r="E89" s="2"/>
      <c r="F89" s="1"/>
      <c r="G89" s="1"/>
      <c r="H89" s="2"/>
      <c r="I89" s="2"/>
      <c r="J89" s="2"/>
      <c r="K89" s="1"/>
      <c r="L89" s="1"/>
      <c r="M89" s="1"/>
      <c r="N89" s="1"/>
      <c r="O89" s="1"/>
      <c r="P89" s="1"/>
      <c r="Q89" s="1"/>
      <c r="R89" s="1"/>
    </row>
    <row r="90" ht="15.75" customHeight="1">
      <c r="A90" s="1"/>
      <c r="B90" s="1"/>
      <c r="C90" s="2"/>
      <c r="D90" s="2"/>
      <c r="E90" s="2"/>
      <c r="F90" s="1"/>
      <c r="G90" s="1"/>
      <c r="H90" s="2"/>
      <c r="I90" s="2"/>
      <c r="J90" s="2"/>
      <c r="K90" s="1"/>
      <c r="L90" s="1"/>
      <c r="M90" s="1"/>
      <c r="N90" s="1"/>
      <c r="O90" s="1"/>
      <c r="P90" s="1"/>
      <c r="Q90" s="1"/>
      <c r="R90" s="1"/>
    </row>
    <row r="91" ht="15.75" customHeight="1">
      <c r="A91" s="1"/>
      <c r="B91" s="1"/>
      <c r="C91" s="2"/>
      <c r="D91" s="2"/>
      <c r="E91" s="2"/>
      <c r="F91" s="1"/>
      <c r="G91" s="1"/>
      <c r="H91" s="2"/>
      <c r="I91" s="2"/>
      <c r="J91" s="2"/>
      <c r="K91" s="1"/>
      <c r="L91" s="1"/>
      <c r="M91" s="1"/>
      <c r="N91" s="1"/>
      <c r="O91" s="1"/>
      <c r="P91" s="1"/>
      <c r="Q91" s="1"/>
      <c r="R91" s="1"/>
    </row>
    <row r="92" ht="15.75" customHeight="1">
      <c r="A92" s="1"/>
      <c r="B92" s="1"/>
      <c r="C92" s="2"/>
      <c r="D92" s="2"/>
      <c r="E92" s="2"/>
      <c r="F92" s="1"/>
      <c r="G92" s="1"/>
      <c r="H92" s="2"/>
      <c r="I92" s="2"/>
      <c r="J92" s="2"/>
      <c r="K92" s="1"/>
      <c r="L92" s="1"/>
      <c r="M92" s="1"/>
      <c r="N92" s="1"/>
      <c r="O92" s="1"/>
      <c r="P92" s="1"/>
      <c r="Q92" s="1"/>
      <c r="R92" s="1"/>
    </row>
    <row r="93" ht="15.75" customHeight="1">
      <c r="A93" s="1"/>
      <c r="B93" s="1"/>
      <c r="C93" s="2"/>
      <c r="D93" s="2"/>
      <c r="E93" s="2"/>
      <c r="F93" s="1"/>
      <c r="G93" s="1"/>
      <c r="H93" s="2"/>
      <c r="I93" s="2"/>
      <c r="J93" s="2"/>
      <c r="K93" s="1"/>
      <c r="L93" s="1"/>
      <c r="M93" s="1"/>
      <c r="N93" s="1"/>
      <c r="O93" s="1"/>
      <c r="P93" s="1"/>
      <c r="Q93" s="1"/>
      <c r="R93" s="1"/>
    </row>
    <row r="94" ht="15.75" customHeight="1">
      <c r="A94" s="1"/>
      <c r="B94" s="1"/>
      <c r="C94" s="2"/>
      <c r="D94" s="2"/>
      <c r="E94" s="2"/>
      <c r="F94" s="1"/>
      <c r="G94" s="1"/>
      <c r="H94" s="2"/>
      <c r="I94" s="2"/>
      <c r="J94" s="2"/>
      <c r="K94" s="1"/>
      <c r="L94" s="1"/>
      <c r="M94" s="1"/>
      <c r="N94" s="1"/>
      <c r="O94" s="1"/>
      <c r="P94" s="1"/>
      <c r="Q94" s="1"/>
      <c r="R94" s="1"/>
    </row>
    <row r="95" ht="15.75" customHeight="1">
      <c r="A95" s="1"/>
      <c r="B95" s="1"/>
      <c r="C95" s="2"/>
      <c r="D95" s="2"/>
      <c r="E95" s="2"/>
      <c r="F95" s="1"/>
      <c r="G95" s="1"/>
      <c r="H95" s="2"/>
      <c r="I95" s="2"/>
      <c r="J95" s="2"/>
      <c r="K95" s="1"/>
      <c r="L95" s="1"/>
      <c r="M95" s="1"/>
      <c r="N95" s="1"/>
      <c r="O95" s="1"/>
      <c r="P95" s="1"/>
      <c r="Q95" s="1"/>
      <c r="R95" s="1"/>
    </row>
    <row r="96" ht="15.75" customHeight="1">
      <c r="A96" s="1"/>
      <c r="B96" s="1"/>
      <c r="C96" s="2"/>
      <c r="D96" s="2"/>
      <c r="E96" s="2"/>
      <c r="F96" s="1"/>
      <c r="G96" s="1"/>
      <c r="H96" s="2"/>
      <c r="I96" s="2"/>
      <c r="J96" s="2"/>
      <c r="K96" s="1"/>
      <c r="L96" s="1"/>
      <c r="M96" s="1"/>
      <c r="N96" s="1"/>
      <c r="O96" s="1"/>
      <c r="P96" s="1"/>
      <c r="Q96" s="1"/>
      <c r="R96" s="1"/>
    </row>
    <row r="97" ht="15.75" customHeight="1">
      <c r="A97" s="1"/>
      <c r="B97" s="1"/>
      <c r="C97" s="2"/>
      <c r="D97" s="2"/>
      <c r="E97" s="2"/>
      <c r="F97" s="1"/>
      <c r="G97" s="1"/>
      <c r="H97" s="2"/>
      <c r="I97" s="2"/>
      <c r="J97" s="2"/>
      <c r="K97" s="1"/>
      <c r="L97" s="1"/>
      <c r="M97" s="1"/>
      <c r="N97" s="1"/>
      <c r="O97" s="1"/>
      <c r="P97" s="1"/>
      <c r="Q97" s="1"/>
      <c r="R97" s="1"/>
    </row>
    <row r="98" ht="15.75" customHeight="1">
      <c r="A98" s="1"/>
      <c r="B98" s="1"/>
      <c r="C98" s="2"/>
      <c r="D98" s="2"/>
      <c r="E98" s="2"/>
      <c r="F98" s="1"/>
      <c r="G98" s="1"/>
      <c r="H98" s="2"/>
      <c r="I98" s="2"/>
      <c r="J98" s="2"/>
      <c r="K98" s="1"/>
      <c r="L98" s="1"/>
      <c r="M98" s="1"/>
      <c r="N98" s="1"/>
      <c r="O98" s="1"/>
      <c r="P98" s="1"/>
      <c r="Q98" s="1"/>
      <c r="R98" s="1"/>
    </row>
    <row r="99" ht="15.75" customHeight="1">
      <c r="A99" s="1"/>
      <c r="B99" s="1"/>
      <c r="C99" s="2"/>
      <c r="D99" s="2"/>
      <c r="E99" s="2"/>
      <c r="F99" s="1"/>
      <c r="G99" s="1"/>
      <c r="H99" s="2"/>
      <c r="I99" s="2"/>
      <c r="J99" s="2"/>
      <c r="K99" s="1"/>
      <c r="L99" s="1"/>
      <c r="M99" s="1"/>
      <c r="N99" s="1"/>
      <c r="O99" s="1"/>
      <c r="P99" s="1"/>
      <c r="Q99" s="1"/>
      <c r="R99" s="1"/>
    </row>
    <row r="100" ht="15.75" customHeight="1">
      <c r="A100" s="1"/>
      <c r="B100" s="1"/>
      <c r="C100" s="2"/>
      <c r="D100" s="2"/>
      <c r="E100" s="2"/>
      <c r="F100" s="1"/>
      <c r="G100" s="1"/>
      <c r="H100" s="2"/>
      <c r="I100" s="2"/>
      <c r="J100" s="2"/>
      <c r="K100" s="1"/>
      <c r="L100" s="1"/>
      <c r="M100" s="1"/>
      <c r="N100" s="1"/>
      <c r="O100" s="1"/>
      <c r="P100" s="1"/>
      <c r="Q100" s="1"/>
      <c r="R100" s="1"/>
    </row>
    <row r="101" ht="15.75" customHeight="1">
      <c r="A101" s="1"/>
      <c r="B101" s="1"/>
      <c r="C101" s="2"/>
      <c r="D101" s="2"/>
      <c r="E101" s="2"/>
      <c r="F101" s="1"/>
      <c r="G101" s="1"/>
      <c r="H101" s="2"/>
      <c r="I101" s="2"/>
      <c r="J101" s="2"/>
      <c r="K101" s="1"/>
      <c r="L101" s="1"/>
      <c r="M101" s="1"/>
      <c r="N101" s="1"/>
      <c r="O101" s="1"/>
      <c r="P101" s="1"/>
      <c r="Q101" s="1"/>
      <c r="R101" s="1"/>
    </row>
    <row r="102" ht="15.75" customHeight="1">
      <c r="A102" s="1"/>
      <c r="B102" s="1"/>
      <c r="C102" s="2"/>
      <c r="D102" s="2"/>
      <c r="E102" s="2"/>
      <c r="F102" s="1"/>
      <c r="G102" s="1"/>
      <c r="H102" s="2"/>
      <c r="I102" s="2"/>
      <c r="J102" s="2"/>
      <c r="K102" s="1"/>
      <c r="L102" s="1"/>
      <c r="M102" s="1"/>
      <c r="N102" s="1"/>
      <c r="O102" s="1"/>
      <c r="P102" s="1"/>
      <c r="Q102" s="1"/>
      <c r="R102" s="1"/>
    </row>
    <row r="103" ht="15.75" customHeight="1">
      <c r="A103" s="1"/>
      <c r="B103" s="1"/>
      <c r="C103" s="2"/>
      <c r="D103" s="2"/>
      <c r="E103" s="2"/>
      <c r="F103" s="1"/>
      <c r="G103" s="1"/>
      <c r="H103" s="2"/>
      <c r="I103" s="2"/>
      <c r="J103" s="2"/>
      <c r="K103" s="1"/>
      <c r="L103" s="1"/>
      <c r="M103" s="1"/>
      <c r="N103" s="1"/>
      <c r="O103" s="1"/>
      <c r="P103" s="1"/>
      <c r="Q103" s="1"/>
      <c r="R103" s="1"/>
    </row>
    <row r="104" ht="15.75" customHeight="1">
      <c r="A104" s="1"/>
      <c r="B104" s="1"/>
      <c r="C104" s="2"/>
      <c r="D104" s="2"/>
      <c r="E104" s="2"/>
      <c r="F104" s="1"/>
      <c r="G104" s="1"/>
      <c r="H104" s="2"/>
      <c r="I104" s="2"/>
      <c r="J104" s="2"/>
      <c r="K104" s="1"/>
      <c r="L104" s="1"/>
      <c r="M104" s="1"/>
      <c r="N104" s="1"/>
      <c r="O104" s="1"/>
      <c r="P104" s="1"/>
      <c r="Q104" s="1"/>
      <c r="R104" s="1"/>
    </row>
    <row r="105" ht="15.75" customHeight="1">
      <c r="A105" s="1"/>
      <c r="B105" s="1"/>
      <c r="C105" s="2"/>
      <c r="D105" s="2"/>
      <c r="E105" s="2"/>
      <c r="F105" s="1"/>
      <c r="G105" s="1"/>
      <c r="H105" s="2"/>
      <c r="I105" s="2"/>
      <c r="J105" s="2"/>
      <c r="K105" s="1"/>
      <c r="L105" s="1"/>
      <c r="M105" s="1"/>
      <c r="N105" s="1"/>
      <c r="O105" s="1"/>
      <c r="P105" s="1"/>
      <c r="Q105" s="1"/>
      <c r="R105" s="1"/>
    </row>
    <row r="106" ht="15.75" customHeight="1">
      <c r="A106" s="1"/>
      <c r="B106" s="1"/>
      <c r="C106" s="2"/>
      <c r="D106" s="2"/>
      <c r="E106" s="2"/>
      <c r="F106" s="1"/>
      <c r="G106" s="1"/>
      <c r="H106" s="2"/>
      <c r="I106" s="2"/>
      <c r="J106" s="2"/>
      <c r="K106" s="1"/>
      <c r="L106" s="1"/>
      <c r="M106" s="1"/>
      <c r="N106" s="1"/>
      <c r="O106" s="1"/>
      <c r="P106" s="1"/>
      <c r="Q106" s="1"/>
      <c r="R106" s="1"/>
    </row>
    <row r="107" ht="15.75" customHeight="1">
      <c r="A107" s="1"/>
      <c r="B107" s="1"/>
      <c r="C107" s="2"/>
      <c r="D107" s="2"/>
      <c r="E107" s="2"/>
      <c r="F107" s="1"/>
      <c r="G107" s="1"/>
      <c r="H107" s="2"/>
      <c r="I107" s="2"/>
      <c r="J107" s="2"/>
      <c r="K107" s="1"/>
      <c r="L107" s="1"/>
      <c r="M107" s="1"/>
      <c r="N107" s="1"/>
      <c r="O107" s="1"/>
      <c r="P107" s="1"/>
      <c r="Q107" s="1"/>
      <c r="R107" s="1"/>
    </row>
    <row r="108" ht="15.75" customHeight="1">
      <c r="A108" s="1"/>
      <c r="B108" s="1"/>
      <c r="C108" s="2"/>
      <c r="D108" s="2"/>
      <c r="E108" s="2"/>
      <c r="F108" s="1"/>
      <c r="G108" s="1"/>
      <c r="H108" s="2"/>
      <c r="I108" s="2"/>
      <c r="J108" s="2"/>
      <c r="K108" s="1"/>
      <c r="L108" s="1"/>
      <c r="M108" s="1"/>
      <c r="N108" s="1"/>
      <c r="O108" s="1"/>
      <c r="P108" s="1"/>
      <c r="Q108" s="1"/>
      <c r="R108" s="1"/>
    </row>
    <row r="109" ht="15.75" customHeight="1">
      <c r="A109" s="1"/>
      <c r="B109" s="1"/>
      <c r="C109" s="2"/>
      <c r="D109" s="2"/>
      <c r="E109" s="2"/>
      <c r="F109" s="1"/>
      <c r="G109" s="1"/>
      <c r="H109" s="2"/>
      <c r="I109" s="2"/>
      <c r="J109" s="2"/>
      <c r="K109" s="1"/>
      <c r="L109" s="1"/>
      <c r="M109" s="1"/>
      <c r="N109" s="1"/>
      <c r="O109" s="1"/>
      <c r="P109" s="1"/>
      <c r="Q109" s="1"/>
      <c r="R109" s="1"/>
    </row>
    <row r="110" ht="15.75" customHeight="1">
      <c r="A110" s="1"/>
      <c r="B110" s="1"/>
      <c r="C110" s="2"/>
      <c r="D110" s="2"/>
      <c r="E110" s="2"/>
      <c r="F110" s="1"/>
      <c r="G110" s="1"/>
      <c r="H110" s="2"/>
      <c r="I110" s="2"/>
      <c r="J110" s="2"/>
      <c r="K110" s="1"/>
      <c r="L110" s="1"/>
      <c r="M110" s="1"/>
      <c r="N110" s="1"/>
      <c r="O110" s="1"/>
      <c r="P110" s="1"/>
      <c r="Q110" s="1"/>
      <c r="R110" s="1"/>
    </row>
    <row r="111" ht="15.75" customHeight="1">
      <c r="A111" s="1"/>
      <c r="B111" s="1"/>
      <c r="C111" s="2"/>
      <c r="D111" s="2"/>
      <c r="E111" s="2"/>
      <c r="F111" s="1"/>
      <c r="G111" s="1"/>
      <c r="H111" s="2"/>
      <c r="I111" s="2"/>
      <c r="J111" s="2"/>
      <c r="K111" s="1"/>
      <c r="L111" s="1"/>
      <c r="M111" s="1"/>
      <c r="N111" s="1"/>
      <c r="O111" s="1"/>
      <c r="P111" s="1"/>
      <c r="Q111" s="1"/>
      <c r="R111" s="1"/>
    </row>
    <row r="112" ht="15.75" customHeight="1">
      <c r="A112" s="1"/>
      <c r="B112" s="1"/>
      <c r="C112" s="2"/>
      <c r="D112" s="2"/>
      <c r="E112" s="2"/>
      <c r="F112" s="1"/>
      <c r="G112" s="1"/>
      <c r="H112" s="2"/>
      <c r="I112" s="2"/>
      <c r="J112" s="2"/>
      <c r="K112" s="1"/>
      <c r="L112" s="1"/>
      <c r="M112" s="1"/>
      <c r="N112" s="1"/>
      <c r="O112" s="1"/>
      <c r="P112" s="1"/>
      <c r="Q112" s="1"/>
      <c r="R112" s="1"/>
    </row>
    <row r="113" ht="15.75" customHeight="1">
      <c r="A113" s="1"/>
      <c r="B113" s="1"/>
      <c r="C113" s="2"/>
      <c r="D113" s="2"/>
      <c r="E113" s="2"/>
      <c r="F113" s="1"/>
      <c r="G113" s="1"/>
      <c r="H113" s="2"/>
      <c r="I113" s="2"/>
      <c r="J113" s="2"/>
      <c r="K113" s="1"/>
      <c r="L113" s="1"/>
      <c r="M113" s="1"/>
      <c r="N113" s="1"/>
      <c r="O113" s="1"/>
      <c r="P113" s="1"/>
      <c r="Q113" s="1"/>
      <c r="R113" s="1"/>
    </row>
    <row r="114" ht="15.75" customHeight="1">
      <c r="A114" s="1"/>
      <c r="B114" s="1"/>
      <c r="C114" s="2"/>
      <c r="D114" s="2"/>
      <c r="E114" s="2"/>
      <c r="F114" s="1"/>
      <c r="G114" s="1"/>
      <c r="H114" s="2"/>
      <c r="I114" s="2"/>
      <c r="J114" s="2"/>
      <c r="K114" s="1"/>
      <c r="L114" s="1"/>
      <c r="M114" s="1"/>
      <c r="N114" s="1"/>
      <c r="O114" s="1"/>
      <c r="P114" s="1"/>
      <c r="Q114" s="1"/>
      <c r="R114" s="1"/>
    </row>
    <row r="115" ht="15.75" customHeight="1">
      <c r="A115" s="1"/>
      <c r="B115" s="1"/>
      <c r="C115" s="2"/>
      <c r="D115" s="2"/>
      <c r="E115" s="2"/>
      <c r="F115" s="1"/>
      <c r="G115" s="1"/>
      <c r="H115" s="2"/>
      <c r="I115" s="2"/>
      <c r="J115" s="2"/>
      <c r="K115" s="1"/>
      <c r="L115" s="1"/>
      <c r="M115" s="1"/>
      <c r="N115" s="1"/>
      <c r="O115" s="1"/>
      <c r="P115" s="1"/>
      <c r="Q115" s="1"/>
      <c r="R115" s="1"/>
    </row>
    <row r="116" ht="15.75" customHeight="1">
      <c r="A116" s="1"/>
      <c r="B116" s="1"/>
      <c r="C116" s="2"/>
      <c r="D116" s="2"/>
      <c r="E116" s="2"/>
      <c r="F116" s="1"/>
      <c r="G116" s="1"/>
      <c r="H116" s="2"/>
      <c r="I116" s="2"/>
      <c r="J116" s="2"/>
      <c r="K116" s="1"/>
      <c r="L116" s="1"/>
      <c r="M116" s="1"/>
      <c r="N116" s="1"/>
      <c r="O116" s="1"/>
      <c r="P116" s="1"/>
      <c r="Q116" s="1"/>
      <c r="R116" s="1"/>
    </row>
    <row r="117" ht="15.75" customHeight="1">
      <c r="A117" s="1"/>
      <c r="B117" s="1"/>
      <c r="C117" s="2"/>
      <c r="D117" s="2"/>
      <c r="E117" s="2"/>
      <c r="F117" s="1"/>
      <c r="G117" s="1"/>
      <c r="H117" s="2"/>
      <c r="I117" s="2"/>
      <c r="J117" s="2"/>
      <c r="K117" s="1"/>
      <c r="L117" s="1"/>
      <c r="M117" s="1"/>
      <c r="N117" s="1"/>
      <c r="O117" s="1"/>
      <c r="P117" s="1"/>
      <c r="Q117" s="1"/>
      <c r="R117" s="1"/>
    </row>
    <row r="118" ht="15.75" customHeight="1">
      <c r="A118" s="1"/>
      <c r="B118" s="1"/>
      <c r="C118" s="2"/>
      <c r="D118" s="2"/>
      <c r="E118" s="2"/>
      <c r="F118" s="1"/>
      <c r="G118" s="1"/>
      <c r="H118" s="2"/>
      <c r="I118" s="2"/>
      <c r="J118" s="2"/>
      <c r="K118" s="1"/>
      <c r="L118" s="1"/>
      <c r="M118" s="1"/>
      <c r="N118" s="1"/>
      <c r="O118" s="1"/>
      <c r="P118" s="1"/>
      <c r="Q118" s="1"/>
      <c r="R118" s="1"/>
    </row>
    <row r="119" ht="15.75" customHeight="1">
      <c r="A119" s="1"/>
      <c r="B119" s="1"/>
      <c r="C119" s="2"/>
      <c r="D119" s="2"/>
      <c r="E119" s="2"/>
      <c r="F119" s="1"/>
      <c r="G119" s="1"/>
      <c r="H119" s="2"/>
      <c r="I119" s="2"/>
      <c r="J119" s="2"/>
      <c r="K119" s="1"/>
      <c r="L119" s="1"/>
      <c r="M119" s="1"/>
      <c r="N119" s="1"/>
      <c r="O119" s="1"/>
      <c r="P119" s="1"/>
      <c r="Q119" s="1"/>
      <c r="R119" s="1"/>
    </row>
    <row r="120" ht="15.75" customHeight="1">
      <c r="A120" s="1"/>
      <c r="B120" s="1"/>
      <c r="C120" s="2"/>
      <c r="D120" s="2"/>
      <c r="E120" s="2"/>
      <c r="F120" s="1"/>
      <c r="G120" s="1"/>
      <c r="H120" s="2"/>
      <c r="I120" s="2"/>
      <c r="J120" s="2"/>
      <c r="K120" s="1"/>
      <c r="L120" s="1"/>
      <c r="M120" s="1"/>
      <c r="N120" s="1"/>
      <c r="O120" s="1"/>
      <c r="P120" s="1"/>
      <c r="Q120" s="1"/>
      <c r="R120" s="1"/>
    </row>
    <row r="121" ht="15.75" customHeight="1">
      <c r="A121" s="1"/>
      <c r="B121" s="1"/>
      <c r="C121" s="2"/>
      <c r="D121" s="2"/>
      <c r="E121" s="2"/>
      <c r="F121" s="1"/>
      <c r="G121" s="1"/>
      <c r="H121" s="2"/>
      <c r="I121" s="2"/>
      <c r="J121" s="2"/>
      <c r="K121" s="1"/>
      <c r="L121" s="1"/>
      <c r="M121" s="1"/>
      <c r="N121" s="1"/>
      <c r="O121" s="1"/>
      <c r="P121" s="1"/>
      <c r="Q121" s="1"/>
      <c r="R121" s="1"/>
    </row>
    <row r="122" ht="15.75" customHeight="1">
      <c r="A122" s="1"/>
      <c r="B122" s="1"/>
      <c r="C122" s="2"/>
      <c r="D122" s="2"/>
      <c r="E122" s="2"/>
      <c r="F122" s="1"/>
      <c r="G122" s="1"/>
      <c r="H122" s="2"/>
      <c r="I122" s="2"/>
      <c r="J122" s="2"/>
      <c r="K122" s="1"/>
      <c r="L122" s="1"/>
      <c r="M122" s="1"/>
      <c r="N122" s="1"/>
      <c r="O122" s="1"/>
      <c r="P122" s="1"/>
      <c r="Q122" s="1"/>
      <c r="R122" s="1"/>
    </row>
    <row r="123" ht="15.75" customHeight="1">
      <c r="A123" s="1"/>
      <c r="B123" s="1"/>
      <c r="C123" s="2"/>
      <c r="D123" s="2"/>
      <c r="E123" s="2"/>
      <c r="F123" s="1"/>
      <c r="G123" s="1"/>
      <c r="H123" s="2"/>
      <c r="I123" s="2"/>
      <c r="J123" s="2"/>
      <c r="K123" s="1"/>
      <c r="L123" s="1"/>
      <c r="M123" s="1"/>
      <c r="N123" s="1"/>
      <c r="O123" s="1"/>
      <c r="P123" s="1"/>
      <c r="Q123" s="1"/>
      <c r="R123" s="1"/>
    </row>
    <row r="124" ht="15.75" customHeight="1">
      <c r="A124" s="1"/>
      <c r="B124" s="1"/>
      <c r="C124" s="2"/>
      <c r="D124" s="2"/>
      <c r="E124" s="2"/>
      <c r="F124" s="1"/>
      <c r="G124" s="1"/>
      <c r="H124" s="2"/>
      <c r="I124" s="2"/>
      <c r="J124" s="2"/>
      <c r="K124" s="1"/>
      <c r="L124" s="1"/>
      <c r="M124" s="1"/>
      <c r="N124" s="1"/>
      <c r="O124" s="1"/>
      <c r="P124" s="1"/>
      <c r="Q124" s="1"/>
      <c r="R124" s="1"/>
    </row>
    <row r="125" ht="15.75" customHeight="1">
      <c r="A125" s="1"/>
      <c r="B125" s="1"/>
      <c r="C125" s="2"/>
      <c r="D125" s="2"/>
      <c r="E125" s="2"/>
      <c r="F125" s="1"/>
      <c r="G125" s="1"/>
      <c r="H125" s="2"/>
      <c r="I125" s="2"/>
      <c r="J125" s="2"/>
      <c r="K125" s="1"/>
      <c r="L125" s="1"/>
      <c r="M125" s="1"/>
      <c r="N125" s="1"/>
      <c r="O125" s="1"/>
      <c r="P125" s="1"/>
      <c r="Q125" s="1"/>
      <c r="R125" s="1"/>
    </row>
    <row r="126" ht="15.75" customHeight="1">
      <c r="A126" s="1"/>
      <c r="B126" s="1"/>
      <c r="C126" s="2"/>
      <c r="D126" s="2"/>
      <c r="E126" s="2"/>
      <c r="F126" s="1"/>
      <c r="G126" s="1"/>
      <c r="H126" s="2"/>
      <c r="I126" s="2"/>
      <c r="J126" s="2"/>
      <c r="K126" s="1"/>
      <c r="L126" s="1"/>
      <c r="M126" s="1"/>
      <c r="N126" s="1"/>
      <c r="O126" s="1"/>
      <c r="P126" s="1"/>
      <c r="Q126" s="1"/>
      <c r="R126" s="1"/>
    </row>
    <row r="127" ht="15.75" customHeight="1">
      <c r="A127" s="1"/>
      <c r="B127" s="1"/>
      <c r="C127" s="2"/>
      <c r="D127" s="2"/>
      <c r="E127" s="2"/>
      <c r="F127" s="1"/>
      <c r="G127" s="1"/>
      <c r="H127" s="2"/>
      <c r="I127" s="2"/>
      <c r="J127" s="2"/>
      <c r="K127" s="1"/>
      <c r="L127" s="1"/>
      <c r="M127" s="1"/>
      <c r="N127" s="1"/>
      <c r="O127" s="1"/>
      <c r="P127" s="1"/>
      <c r="Q127" s="1"/>
      <c r="R127" s="1"/>
    </row>
    <row r="128" ht="15.75" customHeight="1">
      <c r="A128" s="1"/>
      <c r="B128" s="1"/>
      <c r="C128" s="2"/>
      <c r="D128" s="2"/>
      <c r="E128" s="2"/>
      <c r="F128" s="1"/>
      <c r="G128" s="1"/>
      <c r="H128" s="2"/>
      <c r="I128" s="2"/>
      <c r="J128" s="2"/>
      <c r="K128" s="1"/>
      <c r="L128" s="1"/>
      <c r="M128" s="1"/>
      <c r="N128" s="1"/>
      <c r="O128" s="1"/>
      <c r="P128" s="1"/>
      <c r="Q128" s="1"/>
      <c r="R128" s="1"/>
    </row>
    <row r="129" ht="15.75" customHeight="1">
      <c r="A129" s="1"/>
      <c r="B129" s="1"/>
      <c r="C129" s="2"/>
      <c r="D129" s="2"/>
      <c r="E129" s="2"/>
      <c r="F129" s="1"/>
      <c r="G129" s="1"/>
      <c r="H129" s="2"/>
      <c r="I129" s="2"/>
      <c r="J129" s="2"/>
      <c r="K129" s="1"/>
      <c r="L129" s="1"/>
      <c r="M129" s="1"/>
      <c r="N129" s="1"/>
      <c r="O129" s="1"/>
      <c r="P129" s="1"/>
      <c r="Q129" s="1"/>
      <c r="R129" s="1"/>
    </row>
    <row r="130" ht="15.75" customHeight="1">
      <c r="A130" s="1"/>
      <c r="B130" s="1"/>
      <c r="C130" s="2"/>
      <c r="D130" s="2"/>
      <c r="E130" s="2"/>
      <c r="F130" s="1"/>
      <c r="G130" s="1"/>
      <c r="H130" s="2"/>
      <c r="I130" s="2"/>
      <c r="J130" s="2"/>
      <c r="K130" s="1"/>
      <c r="L130" s="1"/>
      <c r="M130" s="1"/>
      <c r="N130" s="1"/>
      <c r="O130" s="1"/>
      <c r="P130" s="1"/>
      <c r="Q130" s="1"/>
      <c r="R130" s="1"/>
    </row>
    <row r="131" ht="15.75" customHeight="1">
      <c r="A131" s="1"/>
      <c r="B131" s="1"/>
      <c r="C131" s="2"/>
      <c r="D131" s="2"/>
      <c r="E131" s="2"/>
      <c r="F131" s="1"/>
      <c r="G131" s="1"/>
      <c r="H131" s="2"/>
      <c r="I131" s="2"/>
      <c r="J131" s="2"/>
      <c r="K131" s="1"/>
      <c r="L131" s="1"/>
      <c r="M131" s="1"/>
      <c r="N131" s="1"/>
      <c r="O131" s="1"/>
      <c r="P131" s="1"/>
      <c r="Q131" s="1"/>
      <c r="R131" s="1"/>
    </row>
    <row r="132" ht="15.75" customHeight="1">
      <c r="A132" s="1"/>
      <c r="B132" s="1"/>
      <c r="C132" s="2"/>
      <c r="D132" s="2"/>
      <c r="E132" s="2"/>
      <c r="F132" s="1"/>
      <c r="G132" s="1"/>
      <c r="H132" s="2"/>
      <c r="I132" s="2"/>
      <c r="J132" s="2"/>
      <c r="K132" s="1"/>
      <c r="L132" s="1"/>
      <c r="M132" s="1"/>
      <c r="N132" s="1"/>
      <c r="O132" s="1"/>
      <c r="P132" s="1"/>
      <c r="Q132" s="1"/>
      <c r="R132" s="1"/>
    </row>
    <row r="133" ht="15.75" customHeight="1">
      <c r="A133" s="1"/>
      <c r="B133" s="1"/>
      <c r="C133" s="2"/>
      <c r="D133" s="2"/>
      <c r="E133" s="2"/>
      <c r="F133" s="1"/>
      <c r="G133" s="1"/>
      <c r="H133" s="2"/>
      <c r="I133" s="2"/>
      <c r="J133" s="2"/>
      <c r="K133" s="1"/>
      <c r="L133" s="1"/>
      <c r="M133" s="1"/>
      <c r="N133" s="1"/>
      <c r="O133" s="1"/>
      <c r="P133" s="1"/>
      <c r="Q133" s="1"/>
      <c r="R133" s="1"/>
    </row>
    <row r="134" ht="15.75" customHeight="1">
      <c r="A134" s="1"/>
      <c r="B134" s="1"/>
      <c r="C134" s="2"/>
      <c r="D134" s="2"/>
      <c r="E134" s="2"/>
      <c r="F134" s="1"/>
      <c r="G134" s="1"/>
      <c r="H134" s="2"/>
      <c r="I134" s="2"/>
      <c r="J134" s="2"/>
      <c r="K134" s="1"/>
      <c r="L134" s="1"/>
      <c r="M134" s="1"/>
      <c r="N134" s="1"/>
      <c r="O134" s="1"/>
      <c r="P134" s="1"/>
      <c r="Q134" s="1"/>
      <c r="R134" s="1"/>
    </row>
    <row r="135" ht="15.75" customHeight="1">
      <c r="A135" s="1"/>
      <c r="B135" s="1"/>
      <c r="C135" s="2"/>
      <c r="D135" s="2"/>
      <c r="E135" s="2"/>
      <c r="F135" s="1"/>
      <c r="G135" s="1"/>
      <c r="H135" s="2"/>
      <c r="I135" s="2"/>
      <c r="J135" s="2"/>
      <c r="K135" s="1"/>
      <c r="L135" s="1"/>
      <c r="M135" s="1"/>
      <c r="N135" s="1"/>
      <c r="O135" s="1"/>
      <c r="P135" s="1"/>
      <c r="Q135" s="1"/>
      <c r="R135" s="1"/>
    </row>
    <row r="136" ht="15.75" customHeight="1">
      <c r="A136" s="1"/>
      <c r="B136" s="1"/>
      <c r="C136" s="2"/>
      <c r="D136" s="2"/>
      <c r="E136" s="2"/>
      <c r="F136" s="1"/>
      <c r="G136" s="1"/>
      <c r="H136" s="2"/>
      <c r="I136" s="2"/>
      <c r="J136" s="2"/>
      <c r="K136" s="1"/>
      <c r="L136" s="1"/>
      <c r="M136" s="1"/>
      <c r="N136" s="1"/>
      <c r="O136" s="1"/>
      <c r="P136" s="1"/>
      <c r="Q136" s="1"/>
      <c r="R136" s="1"/>
    </row>
    <row r="137" ht="15.75" customHeight="1">
      <c r="A137" s="1"/>
      <c r="B137" s="1"/>
      <c r="C137" s="2"/>
      <c r="D137" s="2"/>
      <c r="E137" s="2"/>
      <c r="F137" s="1"/>
      <c r="G137" s="1"/>
      <c r="H137" s="2"/>
      <c r="I137" s="2"/>
      <c r="J137" s="2"/>
      <c r="K137" s="1"/>
      <c r="L137" s="1"/>
      <c r="M137" s="1"/>
      <c r="N137" s="1"/>
      <c r="O137" s="1"/>
      <c r="P137" s="1"/>
      <c r="Q137" s="1"/>
      <c r="R137" s="1"/>
    </row>
    <row r="138" ht="15.75" customHeight="1">
      <c r="A138" s="1"/>
      <c r="B138" s="1"/>
      <c r="C138" s="2"/>
      <c r="D138" s="2"/>
      <c r="E138" s="2"/>
      <c r="F138" s="1"/>
      <c r="G138" s="1"/>
      <c r="H138" s="2"/>
      <c r="I138" s="2"/>
      <c r="J138" s="2"/>
      <c r="K138" s="1"/>
      <c r="L138" s="1"/>
      <c r="M138" s="1"/>
      <c r="N138" s="1"/>
      <c r="O138" s="1"/>
      <c r="P138" s="1"/>
      <c r="Q138" s="1"/>
      <c r="R138" s="1"/>
    </row>
    <row r="139" ht="15.75" customHeight="1">
      <c r="A139" s="1"/>
      <c r="B139" s="1"/>
      <c r="C139" s="2"/>
      <c r="D139" s="2"/>
      <c r="E139" s="2"/>
      <c r="F139" s="1"/>
      <c r="G139" s="1"/>
      <c r="H139" s="2"/>
      <c r="I139" s="2"/>
      <c r="J139" s="2"/>
      <c r="K139" s="1"/>
      <c r="L139" s="1"/>
      <c r="M139" s="1"/>
      <c r="N139" s="1"/>
      <c r="O139" s="1"/>
      <c r="P139" s="1"/>
      <c r="Q139" s="1"/>
      <c r="R139" s="1"/>
    </row>
    <row r="140" ht="15.75" customHeight="1">
      <c r="A140" s="1"/>
      <c r="B140" s="1"/>
      <c r="C140" s="2"/>
      <c r="D140" s="2"/>
      <c r="E140" s="2"/>
      <c r="F140" s="1"/>
      <c r="G140" s="1"/>
      <c r="H140" s="2"/>
      <c r="I140" s="2"/>
      <c r="J140" s="2"/>
      <c r="K140" s="1"/>
      <c r="L140" s="1"/>
      <c r="M140" s="1"/>
      <c r="N140" s="1"/>
      <c r="O140" s="1"/>
      <c r="P140" s="1"/>
      <c r="Q140" s="1"/>
      <c r="R140" s="1"/>
    </row>
    <row r="141" ht="15.75" customHeight="1">
      <c r="A141" s="1"/>
      <c r="B141" s="1"/>
      <c r="C141" s="2"/>
      <c r="D141" s="2"/>
      <c r="E141" s="2"/>
      <c r="F141" s="1"/>
      <c r="G141" s="1"/>
      <c r="H141" s="2"/>
      <c r="I141" s="2"/>
      <c r="J141" s="2"/>
      <c r="K141" s="1"/>
      <c r="L141" s="1"/>
      <c r="M141" s="1"/>
      <c r="N141" s="1"/>
      <c r="O141" s="1"/>
      <c r="P141" s="1"/>
      <c r="Q141" s="1"/>
      <c r="R141" s="1"/>
    </row>
    <row r="142" ht="15.75" customHeight="1">
      <c r="A142" s="1"/>
      <c r="B142" s="1"/>
      <c r="C142" s="2"/>
      <c r="D142" s="2"/>
      <c r="E142" s="2"/>
      <c r="F142" s="1"/>
      <c r="G142" s="1"/>
      <c r="H142" s="2"/>
      <c r="I142" s="2"/>
      <c r="J142" s="2"/>
      <c r="K142" s="1"/>
      <c r="L142" s="1"/>
      <c r="M142" s="1"/>
      <c r="N142" s="1"/>
      <c r="O142" s="1"/>
      <c r="P142" s="1"/>
      <c r="Q142" s="1"/>
      <c r="R142" s="1"/>
    </row>
    <row r="143" ht="15.75" customHeight="1">
      <c r="A143" s="1"/>
      <c r="B143" s="1"/>
      <c r="C143" s="2"/>
      <c r="D143" s="2"/>
      <c r="E143" s="2"/>
      <c r="F143" s="1"/>
      <c r="G143" s="1"/>
      <c r="H143" s="2"/>
      <c r="I143" s="2"/>
      <c r="J143" s="2"/>
      <c r="K143" s="1"/>
      <c r="L143" s="1"/>
      <c r="M143" s="1"/>
      <c r="N143" s="1"/>
      <c r="O143" s="1"/>
      <c r="P143" s="1"/>
      <c r="Q143" s="1"/>
      <c r="R143" s="1"/>
    </row>
    <row r="144" ht="15.75" customHeight="1">
      <c r="A144" s="1"/>
      <c r="B144" s="1"/>
      <c r="C144" s="2"/>
      <c r="D144" s="2"/>
      <c r="E144" s="2"/>
      <c r="F144" s="1"/>
      <c r="G144" s="1"/>
      <c r="H144" s="2"/>
      <c r="I144" s="2"/>
      <c r="J144" s="2"/>
      <c r="K144" s="1"/>
      <c r="L144" s="1"/>
      <c r="M144" s="1"/>
      <c r="N144" s="1"/>
      <c r="O144" s="1"/>
      <c r="P144" s="1"/>
      <c r="Q144" s="1"/>
      <c r="R144" s="1"/>
    </row>
    <row r="145" ht="15.75" customHeight="1">
      <c r="A145" s="1"/>
      <c r="B145" s="1"/>
      <c r="C145" s="2"/>
      <c r="D145" s="2"/>
      <c r="E145" s="2"/>
      <c r="F145" s="1"/>
      <c r="G145" s="1"/>
      <c r="H145" s="2"/>
      <c r="I145" s="2"/>
      <c r="J145" s="2"/>
      <c r="K145" s="1"/>
      <c r="L145" s="1"/>
      <c r="M145" s="1"/>
      <c r="N145" s="1"/>
      <c r="O145" s="1"/>
      <c r="P145" s="1"/>
      <c r="Q145" s="1"/>
      <c r="R145" s="1"/>
    </row>
    <row r="146" ht="15.75" customHeight="1">
      <c r="A146" s="1"/>
      <c r="B146" s="1"/>
      <c r="C146" s="2"/>
      <c r="D146" s="2"/>
      <c r="E146" s="2"/>
      <c r="F146" s="1"/>
      <c r="G146" s="1"/>
      <c r="H146" s="2"/>
      <c r="I146" s="2"/>
      <c r="J146" s="2"/>
      <c r="K146" s="1"/>
      <c r="L146" s="1"/>
      <c r="M146" s="1"/>
      <c r="N146" s="1"/>
      <c r="O146" s="1"/>
      <c r="P146" s="1"/>
      <c r="Q146" s="1"/>
      <c r="R146" s="1"/>
    </row>
    <row r="147" ht="15.75" customHeight="1">
      <c r="A147" s="1"/>
      <c r="B147" s="1"/>
      <c r="C147" s="2"/>
      <c r="D147" s="2"/>
      <c r="E147" s="2"/>
      <c r="F147" s="1"/>
      <c r="G147" s="1"/>
      <c r="H147" s="2"/>
      <c r="I147" s="2"/>
      <c r="J147" s="2"/>
      <c r="K147" s="1"/>
      <c r="L147" s="1"/>
      <c r="M147" s="1"/>
      <c r="N147" s="1"/>
      <c r="O147" s="1"/>
      <c r="P147" s="1"/>
      <c r="Q147" s="1"/>
      <c r="R147" s="1"/>
    </row>
    <row r="148" ht="15.75" customHeight="1">
      <c r="A148" s="1"/>
      <c r="B148" s="1"/>
      <c r="C148" s="2"/>
      <c r="D148" s="2"/>
      <c r="E148" s="2"/>
      <c r="F148" s="1"/>
      <c r="G148" s="1"/>
      <c r="H148" s="2"/>
      <c r="I148" s="2"/>
      <c r="J148" s="2"/>
      <c r="K148" s="1"/>
      <c r="L148" s="1"/>
      <c r="M148" s="1"/>
      <c r="N148" s="1"/>
      <c r="O148" s="1"/>
      <c r="P148" s="1"/>
      <c r="Q148" s="1"/>
      <c r="R148" s="1"/>
    </row>
    <row r="149" ht="15.75" customHeight="1">
      <c r="A149" s="1"/>
      <c r="B149" s="1"/>
      <c r="C149" s="2"/>
      <c r="D149" s="2"/>
      <c r="E149" s="2"/>
      <c r="F149" s="1"/>
      <c r="G149" s="1"/>
      <c r="H149" s="2"/>
      <c r="I149" s="2"/>
      <c r="J149" s="2"/>
      <c r="K149" s="1"/>
      <c r="L149" s="1"/>
      <c r="M149" s="1"/>
      <c r="N149" s="1"/>
      <c r="O149" s="1"/>
      <c r="P149" s="1"/>
      <c r="Q149" s="1"/>
      <c r="R149" s="1"/>
    </row>
    <row r="150" ht="15.75" customHeight="1">
      <c r="A150" s="1"/>
      <c r="B150" s="1"/>
      <c r="C150" s="2"/>
      <c r="D150" s="2"/>
      <c r="E150" s="2"/>
      <c r="F150" s="1"/>
      <c r="G150" s="1"/>
      <c r="H150" s="2"/>
      <c r="I150" s="2"/>
      <c r="J150" s="2"/>
      <c r="K150" s="1"/>
      <c r="L150" s="1"/>
      <c r="M150" s="1"/>
      <c r="N150" s="1"/>
      <c r="O150" s="1"/>
      <c r="P150" s="1"/>
      <c r="Q150" s="1"/>
      <c r="R150" s="1"/>
    </row>
    <row r="151" ht="15.75" customHeight="1">
      <c r="A151" s="1"/>
      <c r="B151" s="1"/>
      <c r="C151" s="2"/>
      <c r="D151" s="2"/>
      <c r="E151" s="2"/>
      <c r="F151" s="1"/>
      <c r="G151" s="1"/>
      <c r="H151" s="2"/>
      <c r="I151" s="2"/>
      <c r="J151" s="2"/>
      <c r="K151" s="1"/>
      <c r="L151" s="1"/>
      <c r="M151" s="1"/>
      <c r="N151" s="1"/>
      <c r="O151" s="1"/>
      <c r="P151" s="1"/>
      <c r="Q151" s="1"/>
      <c r="R151" s="1"/>
    </row>
    <row r="152" ht="15.75" customHeight="1">
      <c r="A152" s="1"/>
      <c r="B152" s="1"/>
      <c r="C152" s="2"/>
      <c r="D152" s="2"/>
      <c r="E152" s="2"/>
      <c r="F152" s="1"/>
      <c r="G152" s="1"/>
      <c r="H152" s="2"/>
      <c r="I152" s="2"/>
      <c r="J152" s="2"/>
      <c r="K152" s="1"/>
      <c r="L152" s="1"/>
      <c r="M152" s="1"/>
      <c r="N152" s="1"/>
      <c r="O152" s="1"/>
      <c r="P152" s="1"/>
      <c r="Q152" s="1"/>
      <c r="R152" s="1"/>
    </row>
    <row r="153" ht="15.75" customHeight="1">
      <c r="A153" s="1"/>
      <c r="B153" s="1"/>
      <c r="C153" s="2"/>
      <c r="D153" s="2"/>
      <c r="E153" s="2"/>
      <c r="F153" s="1"/>
      <c r="G153" s="1"/>
      <c r="H153" s="2"/>
      <c r="I153" s="2"/>
      <c r="J153" s="2"/>
      <c r="K153" s="1"/>
      <c r="L153" s="1"/>
      <c r="M153" s="1"/>
      <c r="N153" s="1"/>
      <c r="O153" s="1"/>
      <c r="P153" s="1"/>
      <c r="Q153" s="1"/>
      <c r="R153" s="1"/>
    </row>
    <row r="154" ht="15.75" customHeight="1">
      <c r="A154" s="1"/>
      <c r="B154" s="1"/>
      <c r="C154" s="2"/>
      <c r="D154" s="2"/>
      <c r="E154" s="2"/>
      <c r="F154" s="1"/>
      <c r="G154" s="1"/>
      <c r="H154" s="2"/>
      <c r="I154" s="2"/>
      <c r="J154" s="2"/>
      <c r="K154" s="1"/>
      <c r="L154" s="1"/>
      <c r="M154" s="1"/>
      <c r="N154" s="1"/>
      <c r="O154" s="1"/>
      <c r="P154" s="1"/>
      <c r="Q154" s="1"/>
      <c r="R154" s="1"/>
    </row>
    <row r="155" ht="15.75" customHeight="1">
      <c r="A155" s="1"/>
      <c r="B155" s="1"/>
      <c r="C155" s="2"/>
      <c r="D155" s="2"/>
      <c r="E155" s="2"/>
      <c r="F155" s="1"/>
      <c r="G155" s="1"/>
      <c r="H155" s="2"/>
      <c r="I155" s="2"/>
      <c r="J155" s="2"/>
      <c r="K155" s="1"/>
      <c r="L155" s="1"/>
      <c r="M155" s="1"/>
      <c r="N155" s="1"/>
      <c r="O155" s="1"/>
      <c r="P155" s="1"/>
      <c r="Q155" s="1"/>
      <c r="R155" s="1"/>
    </row>
    <row r="156" ht="15.75" customHeight="1">
      <c r="A156" s="1"/>
      <c r="B156" s="1"/>
      <c r="C156" s="2"/>
      <c r="D156" s="2"/>
      <c r="E156" s="2"/>
      <c r="F156" s="1"/>
      <c r="G156" s="1"/>
      <c r="H156" s="2"/>
      <c r="I156" s="2"/>
      <c r="J156" s="2"/>
      <c r="K156" s="1"/>
      <c r="L156" s="1"/>
      <c r="M156" s="1"/>
      <c r="N156" s="1"/>
      <c r="O156" s="1"/>
      <c r="P156" s="1"/>
      <c r="Q156" s="1"/>
      <c r="R156" s="1"/>
    </row>
    <row r="157" ht="15.75" customHeight="1">
      <c r="A157" s="1"/>
      <c r="B157" s="1"/>
      <c r="C157" s="2"/>
      <c r="D157" s="2"/>
      <c r="E157" s="2"/>
      <c r="F157" s="1"/>
      <c r="G157" s="1"/>
      <c r="H157" s="2"/>
      <c r="I157" s="2"/>
      <c r="J157" s="2"/>
      <c r="K157" s="1"/>
      <c r="L157" s="1"/>
      <c r="M157" s="1"/>
      <c r="N157" s="1"/>
      <c r="O157" s="1"/>
      <c r="P157" s="1"/>
      <c r="Q157" s="1"/>
      <c r="R157" s="1"/>
    </row>
    <row r="158" ht="15.75" customHeight="1">
      <c r="A158" s="1"/>
      <c r="B158" s="1"/>
      <c r="C158" s="2"/>
      <c r="D158" s="2"/>
      <c r="E158" s="2"/>
      <c r="F158" s="1"/>
      <c r="G158" s="1"/>
      <c r="H158" s="2"/>
      <c r="I158" s="2"/>
      <c r="J158" s="2"/>
      <c r="K158" s="1"/>
      <c r="L158" s="1"/>
      <c r="M158" s="1"/>
      <c r="N158" s="1"/>
      <c r="O158" s="1"/>
      <c r="P158" s="1"/>
      <c r="Q158" s="1"/>
      <c r="R158" s="1"/>
    </row>
    <row r="159" ht="15.75" customHeight="1">
      <c r="A159" s="1"/>
      <c r="B159" s="1"/>
      <c r="C159" s="2"/>
      <c r="D159" s="2"/>
      <c r="E159" s="2"/>
      <c r="F159" s="1"/>
      <c r="G159" s="1"/>
      <c r="H159" s="2"/>
      <c r="I159" s="2"/>
      <c r="J159" s="2"/>
      <c r="K159" s="1"/>
      <c r="L159" s="1"/>
      <c r="M159" s="1"/>
      <c r="N159" s="1"/>
      <c r="O159" s="1"/>
      <c r="P159" s="1"/>
      <c r="Q159" s="1"/>
      <c r="R159" s="1"/>
    </row>
    <row r="160" ht="15.75" customHeight="1">
      <c r="A160" s="1"/>
      <c r="B160" s="1"/>
      <c r="C160" s="2"/>
      <c r="D160" s="2"/>
      <c r="E160" s="2"/>
      <c r="F160" s="1"/>
      <c r="G160" s="1"/>
      <c r="H160" s="2"/>
      <c r="I160" s="2"/>
      <c r="J160" s="2"/>
      <c r="K160" s="1"/>
      <c r="L160" s="1"/>
      <c r="M160" s="1"/>
      <c r="N160" s="1"/>
      <c r="O160" s="1"/>
      <c r="P160" s="1"/>
      <c r="Q160" s="1"/>
      <c r="R160" s="1"/>
    </row>
    <row r="161" ht="15.75" customHeight="1">
      <c r="A161" s="1"/>
      <c r="B161" s="1"/>
      <c r="C161" s="2"/>
      <c r="D161" s="2"/>
      <c r="E161" s="2"/>
      <c r="F161" s="1"/>
      <c r="G161" s="1"/>
      <c r="H161" s="2"/>
      <c r="I161" s="2"/>
      <c r="J161" s="2"/>
      <c r="K161" s="1"/>
      <c r="L161" s="1"/>
      <c r="M161" s="1"/>
      <c r="N161" s="1"/>
      <c r="O161" s="1"/>
      <c r="P161" s="1"/>
      <c r="Q161" s="1"/>
      <c r="R161" s="1"/>
    </row>
    <row r="162" ht="15.75" customHeight="1">
      <c r="A162" s="1"/>
      <c r="B162" s="1"/>
      <c r="C162" s="2"/>
      <c r="D162" s="2"/>
      <c r="E162" s="2"/>
      <c r="F162" s="1"/>
      <c r="G162" s="1"/>
      <c r="H162" s="2"/>
      <c r="I162" s="2"/>
      <c r="J162" s="2"/>
      <c r="K162" s="1"/>
      <c r="L162" s="1"/>
      <c r="M162" s="1"/>
      <c r="N162" s="1"/>
      <c r="O162" s="1"/>
      <c r="P162" s="1"/>
      <c r="Q162" s="1"/>
      <c r="R162" s="1"/>
    </row>
    <row r="163" ht="15.75" customHeight="1">
      <c r="A163" s="1"/>
      <c r="B163" s="1"/>
      <c r="C163" s="2"/>
      <c r="D163" s="2"/>
      <c r="E163" s="2"/>
      <c r="F163" s="1"/>
      <c r="G163" s="1"/>
      <c r="H163" s="2"/>
      <c r="I163" s="2"/>
      <c r="J163" s="2"/>
      <c r="K163" s="1"/>
      <c r="L163" s="1"/>
      <c r="M163" s="1"/>
      <c r="N163" s="1"/>
      <c r="O163" s="1"/>
      <c r="P163" s="1"/>
      <c r="Q163" s="1"/>
      <c r="R163" s="1"/>
    </row>
    <row r="164" ht="15.75" customHeight="1">
      <c r="A164" s="1"/>
      <c r="B164" s="1"/>
      <c r="C164" s="2"/>
      <c r="D164" s="2"/>
      <c r="E164" s="2"/>
      <c r="F164" s="1"/>
      <c r="G164" s="1"/>
      <c r="H164" s="2"/>
      <c r="I164" s="2"/>
      <c r="J164" s="2"/>
      <c r="K164" s="1"/>
      <c r="L164" s="1"/>
      <c r="M164" s="1"/>
      <c r="N164" s="1"/>
      <c r="O164" s="1"/>
      <c r="P164" s="1"/>
      <c r="Q164" s="1"/>
      <c r="R164" s="1"/>
    </row>
    <row r="165" ht="15.75" customHeight="1">
      <c r="A165" s="1"/>
      <c r="B165" s="1"/>
      <c r="C165" s="2"/>
      <c r="D165" s="2"/>
      <c r="E165" s="2"/>
      <c r="F165" s="1"/>
      <c r="G165" s="1"/>
      <c r="H165" s="2"/>
      <c r="I165" s="2"/>
      <c r="J165" s="2"/>
      <c r="K165" s="1"/>
      <c r="L165" s="1"/>
      <c r="M165" s="1"/>
      <c r="N165" s="1"/>
      <c r="O165" s="1"/>
      <c r="P165" s="1"/>
      <c r="Q165" s="1"/>
      <c r="R165" s="1"/>
    </row>
    <row r="166" ht="15.75" customHeight="1">
      <c r="A166" s="1"/>
      <c r="B166" s="1"/>
      <c r="C166" s="2"/>
      <c r="D166" s="2"/>
      <c r="E166" s="2"/>
      <c r="F166" s="1"/>
      <c r="G166" s="1"/>
      <c r="H166" s="2"/>
      <c r="I166" s="2"/>
      <c r="J166" s="2"/>
      <c r="K166" s="1"/>
      <c r="L166" s="1"/>
      <c r="M166" s="1"/>
      <c r="N166" s="1"/>
      <c r="O166" s="1"/>
      <c r="P166" s="1"/>
      <c r="Q166" s="1"/>
      <c r="R166" s="1"/>
    </row>
    <row r="167" ht="15.75" customHeight="1">
      <c r="A167" s="1"/>
      <c r="B167" s="1"/>
      <c r="C167" s="2"/>
      <c r="D167" s="2"/>
      <c r="E167" s="2"/>
      <c r="F167" s="1"/>
      <c r="G167" s="1"/>
      <c r="H167" s="2"/>
      <c r="I167" s="2"/>
      <c r="J167" s="2"/>
      <c r="K167" s="1"/>
      <c r="L167" s="1"/>
      <c r="M167" s="1"/>
      <c r="N167" s="1"/>
      <c r="O167" s="1"/>
      <c r="P167" s="1"/>
      <c r="Q167" s="1"/>
      <c r="R167" s="1"/>
    </row>
    <row r="168" ht="15.75" customHeight="1">
      <c r="A168" s="1"/>
      <c r="B168" s="1"/>
      <c r="C168" s="2"/>
      <c r="D168" s="2"/>
      <c r="E168" s="2"/>
      <c r="F168" s="1"/>
      <c r="G168" s="1"/>
      <c r="H168" s="2"/>
      <c r="I168" s="2"/>
      <c r="J168" s="2"/>
      <c r="K168" s="1"/>
      <c r="L168" s="1"/>
      <c r="M168" s="1"/>
      <c r="N168" s="1"/>
      <c r="O168" s="1"/>
      <c r="P168" s="1"/>
      <c r="Q168" s="1"/>
      <c r="R168" s="1"/>
    </row>
    <row r="169" ht="15.75" customHeight="1">
      <c r="A169" s="1"/>
      <c r="B169" s="1"/>
      <c r="C169" s="2"/>
      <c r="D169" s="2"/>
      <c r="E169" s="2"/>
      <c r="F169" s="1"/>
      <c r="G169" s="1"/>
      <c r="H169" s="2"/>
      <c r="I169" s="2"/>
      <c r="J169" s="2"/>
      <c r="K169" s="1"/>
      <c r="L169" s="1"/>
      <c r="M169" s="1"/>
      <c r="N169" s="1"/>
      <c r="O169" s="1"/>
      <c r="P169" s="1"/>
      <c r="Q169" s="1"/>
      <c r="R169" s="1"/>
    </row>
    <row r="170" ht="15.75" customHeight="1">
      <c r="A170" s="1"/>
      <c r="B170" s="1"/>
      <c r="C170" s="2"/>
      <c r="D170" s="2"/>
      <c r="E170" s="2"/>
      <c r="F170" s="1"/>
      <c r="G170" s="1"/>
      <c r="H170" s="2"/>
      <c r="I170" s="2"/>
      <c r="J170" s="2"/>
      <c r="K170" s="1"/>
      <c r="L170" s="1"/>
      <c r="M170" s="1"/>
      <c r="N170" s="1"/>
      <c r="O170" s="1"/>
      <c r="P170" s="1"/>
      <c r="Q170" s="1"/>
      <c r="R170" s="1"/>
    </row>
    <row r="171" ht="15.75" customHeight="1">
      <c r="A171" s="1"/>
      <c r="B171" s="1"/>
      <c r="C171" s="2"/>
      <c r="D171" s="2"/>
      <c r="E171" s="2"/>
      <c r="F171" s="1"/>
      <c r="G171" s="1"/>
      <c r="H171" s="2"/>
      <c r="I171" s="2"/>
      <c r="J171" s="2"/>
      <c r="K171" s="1"/>
      <c r="L171" s="1"/>
      <c r="M171" s="1"/>
      <c r="N171" s="1"/>
      <c r="O171" s="1"/>
      <c r="P171" s="1"/>
      <c r="Q171" s="1"/>
      <c r="R171" s="1"/>
    </row>
    <row r="172" ht="15.75" customHeight="1">
      <c r="A172" s="1"/>
      <c r="B172" s="1"/>
      <c r="C172" s="2"/>
      <c r="D172" s="2"/>
      <c r="E172" s="2"/>
      <c r="F172" s="1"/>
      <c r="G172" s="1"/>
      <c r="H172" s="2"/>
      <c r="I172" s="2"/>
      <c r="J172" s="2"/>
      <c r="K172" s="1"/>
      <c r="L172" s="1"/>
      <c r="M172" s="1"/>
      <c r="N172" s="1"/>
      <c r="O172" s="1"/>
      <c r="P172" s="1"/>
      <c r="Q172" s="1"/>
      <c r="R172" s="1"/>
    </row>
    <row r="173" ht="15.75" customHeight="1">
      <c r="A173" s="1"/>
      <c r="B173" s="1"/>
      <c r="C173" s="2"/>
      <c r="D173" s="2"/>
      <c r="E173" s="2"/>
      <c r="F173" s="1"/>
      <c r="G173" s="1"/>
      <c r="H173" s="2"/>
      <c r="I173" s="2"/>
      <c r="J173" s="2"/>
      <c r="K173" s="1"/>
      <c r="L173" s="1"/>
      <c r="M173" s="1"/>
      <c r="N173" s="1"/>
      <c r="O173" s="1"/>
      <c r="P173" s="1"/>
      <c r="Q173" s="1"/>
      <c r="R173" s="1"/>
    </row>
    <row r="174" ht="15.75" customHeight="1">
      <c r="A174" s="1"/>
      <c r="B174" s="1"/>
      <c r="C174" s="2"/>
      <c r="D174" s="2"/>
      <c r="E174" s="2"/>
      <c r="F174" s="1"/>
      <c r="G174" s="1"/>
      <c r="H174" s="2"/>
      <c r="I174" s="2"/>
      <c r="J174" s="2"/>
      <c r="K174" s="1"/>
      <c r="L174" s="1"/>
      <c r="M174" s="1"/>
      <c r="N174" s="1"/>
      <c r="O174" s="1"/>
      <c r="P174" s="1"/>
      <c r="Q174" s="1"/>
      <c r="R174" s="1"/>
    </row>
    <row r="175" ht="15.75" customHeight="1">
      <c r="A175" s="1"/>
      <c r="B175" s="1"/>
      <c r="C175" s="2"/>
      <c r="D175" s="2"/>
      <c r="E175" s="2"/>
      <c r="F175" s="1"/>
      <c r="G175" s="1"/>
      <c r="H175" s="2"/>
      <c r="I175" s="2"/>
      <c r="J175" s="2"/>
      <c r="K175" s="1"/>
      <c r="L175" s="1"/>
      <c r="M175" s="1"/>
      <c r="N175" s="1"/>
      <c r="O175" s="1"/>
      <c r="P175" s="1"/>
      <c r="Q175" s="1"/>
      <c r="R175" s="1"/>
    </row>
    <row r="176" ht="15.75" customHeight="1">
      <c r="A176" s="1"/>
      <c r="B176" s="1"/>
      <c r="C176" s="2"/>
      <c r="D176" s="2"/>
      <c r="E176" s="2"/>
      <c r="F176" s="1"/>
      <c r="G176" s="1"/>
      <c r="H176" s="2"/>
      <c r="I176" s="2"/>
      <c r="J176" s="2"/>
      <c r="K176" s="1"/>
      <c r="L176" s="1"/>
      <c r="M176" s="1"/>
      <c r="N176" s="1"/>
      <c r="O176" s="1"/>
      <c r="P176" s="1"/>
      <c r="Q176" s="1"/>
      <c r="R176" s="1"/>
    </row>
    <row r="177" ht="15.75" customHeight="1">
      <c r="A177" s="1"/>
      <c r="B177" s="1"/>
      <c r="C177" s="2"/>
      <c r="D177" s="2"/>
      <c r="E177" s="2"/>
      <c r="F177" s="1"/>
      <c r="G177" s="1"/>
      <c r="H177" s="2"/>
      <c r="I177" s="2"/>
      <c r="J177" s="2"/>
      <c r="K177" s="1"/>
      <c r="L177" s="1"/>
      <c r="M177" s="1"/>
      <c r="N177" s="1"/>
      <c r="O177" s="1"/>
      <c r="P177" s="1"/>
      <c r="Q177" s="1"/>
      <c r="R177" s="1"/>
    </row>
    <row r="178" ht="15.75" customHeight="1">
      <c r="A178" s="1"/>
      <c r="B178" s="1"/>
      <c r="C178" s="2"/>
      <c r="D178" s="2"/>
      <c r="E178" s="2"/>
      <c r="F178" s="1"/>
      <c r="G178" s="1"/>
      <c r="H178" s="2"/>
      <c r="I178" s="2"/>
      <c r="J178" s="2"/>
      <c r="K178" s="1"/>
      <c r="L178" s="1"/>
      <c r="M178" s="1"/>
      <c r="N178" s="1"/>
      <c r="O178" s="1"/>
      <c r="P178" s="1"/>
      <c r="Q178" s="1"/>
      <c r="R178" s="1"/>
    </row>
    <row r="179" ht="15.75" customHeight="1">
      <c r="A179" s="1"/>
      <c r="B179" s="1"/>
      <c r="C179" s="2"/>
      <c r="D179" s="2"/>
      <c r="E179" s="2"/>
      <c r="F179" s="1"/>
      <c r="G179" s="1"/>
      <c r="H179" s="2"/>
      <c r="I179" s="2"/>
      <c r="J179" s="2"/>
      <c r="K179" s="1"/>
      <c r="L179" s="1"/>
      <c r="M179" s="1"/>
      <c r="N179" s="1"/>
      <c r="O179" s="1"/>
      <c r="P179" s="1"/>
      <c r="Q179" s="1"/>
      <c r="R179" s="1"/>
    </row>
    <row r="180" ht="15.75" customHeight="1">
      <c r="A180" s="1"/>
      <c r="B180" s="1"/>
      <c r="C180" s="2"/>
      <c r="D180" s="2"/>
      <c r="E180" s="2"/>
      <c r="F180" s="1"/>
      <c r="G180" s="1"/>
      <c r="H180" s="2"/>
      <c r="I180" s="2"/>
      <c r="J180" s="2"/>
      <c r="K180" s="1"/>
      <c r="L180" s="1"/>
      <c r="M180" s="1"/>
      <c r="N180" s="1"/>
      <c r="O180" s="1"/>
      <c r="P180" s="1"/>
      <c r="Q180" s="1"/>
      <c r="R180" s="1"/>
    </row>
    <row r="181" ht="15.75" customHeight="1">
      <c r="A181" s="1"/>
      <c r="B181" s="1"/>
      <c r="C181" s="2"/>
      <c r="D181" s="2"/>
      <c r="E181" s="2"/>
      <c r="F181" s="1"/>
      <c r="G181" s="1"/>
      <c r="H181" s="2"/>
      <c r="I181" s="2"/>
      <c r="J181" s="2"/>
      <c r="K181" s="1"/>
      <c r="L181" s="1"/>
      <c r="M181" s="1"/>
      <c r="N181" s="1"/>
      <c r="O181" s="1"/>
      <c r="P181" s="1"/>
      <c r="Q181" s="1"/>
      <c r="R181" s="1"/>
    </row>
    <row r="182" ht="15.75" customHeight="1">
      <c r="A182" s="1"/>
      <c r="B182" s="1"/>
      <c r="C182" s="2"/>
      <c r="D182" s="2"/>
      <c r="E182" s="2"/>
      <c r="F182" s="1"/>
      <c r="G182" s="1"/>
      <c r="H182" s="2"/>
      <c r="I182" s="2"/>
      <c r="J182" s="2"/>
      <c r="K182" s="1"/>
      <c r="L182" s="1"/>
      <c r="M182" s="1"/>
      <c r="N182" s="1"/>
      <c r="O182" s="1"/>
      <c r="P182" s="1"/>
      <c r="Q182" s="1"/>
      <c r="R182" s="1"/>
    </row>
    <row r="183" ht="15.75" customHeight="1">
      <c r="A183" s="1"/>
      <c r="B183" s="1"/>
      <c r="C183" s="2"/>
      <c r="D183" s="2"/>
      <c r="E183" s="2"/>
      <c r="F183" s="1"/>
      <c r="G183" s="1"/>
      <c r="H183" s="2"/>
      <c r="I183" s="2"/>
      <c r="J183" s="2"/>
      <c r="K183" s="1"/>
      <c r="L183" s="1"/>
      <c r="M183" s="1"/>
      <c r="N183" s="1"/>
      <c r="O183" s="1"/>
      <c r="P183" s="1"/>
      <c r="Q183" s="1"/>
      <c r="R183" s="1"/>
    </row>
    <row r="184" ht="15.75" customHeight="1">
      <c r="A184" s="1"/>
      <c r="B184" s="1"/>
      <c r="C184" s="2"/>
      <c r="D184" s="2"/>
      <c r="E184" s="2"/>
      <c r="F184" s="1"/>
      <c r="G184" s="1"/>
      <c r="H184" s="2"/>
      <c r="I184" s="2"/>
      <c r="J184" s="2"/>
      <c r="K184" s="1"/>
      <c r="L184" s="1"/>
      <c r="M184" s="1"/>
      <c r="N184" s="1"/>
      <c r="O184" s="1"/>
      <c r="P184" s="1"/>
      <c r="Q184" s="1"/>
      <c r="R184" s="1"/>
    </row>
    <row r="185" ht="15.75" customHeight="1">
      <c r="A185" s="1"/>
      <c r="B185" s="1"/>
      <c r="C185" s="2"/>
      <c r="D185" s="2"/>
      <c r="E185" s="2"/>
      <c r="F185" s="1"/>
      <c r="G185" s="1"/>
      <c r="H185" s="2"/>
      <c r="I185" s="2"/>
      <c r="J185" s="2"/>
      <c r="K185" s="1"/>
      <c r="L185" s="1"/>
      <c r="M185" s="1"/>
      <c r="N185" s="1"/>
      <c r="O185" s="1"/>
      <c r="P185" s="1"/>
      <c r="Q185" s="1"/>
      <c r="R185" s="1"/>
    </row>
    <row r="186" ht="15.75" customHeight="1">
      <c r="A186" s="1"/>
      <c r="B186" s="1"/>
      <c r="C186" s="2"/>
      <c r="D186" s="2"/>
      <c r="E186" s="2"/>
      <c r="F186" s="1"/>
      <c r="G186" s="1"/>
      <c r="H186" s="2"/>
      <c r="I186" s="2"/>
      <c r="J186" s="2"/>
      <c r="K186" s="1"/>
      <c r="L186" s="1"/>
      <c r="M186" s="1"/>
      <c r="N186" s="1"/>
      <c r="O186" s="1"/>
      <c r="P186" s="1"/>
      <c r="Q186" s="1"/>
      <c r="R186" s="1"/>
    </row>
    <row r="187" ht="15.75" customHeight="1">
      <c r="A187" s="1"/>
      <c r="B187" s="1"/>
      <c r="C187" s="2"/>
      <c r="D187" s="2"/>
      <c r="E187" s="2"/>
      <c r="F187" s="1"/>
      <c r="G187" s="1"/>
      <c r="H187" s="2"/>
      <c r="I187" s="2"/>
      <c r="J187" s="2"/>
      <c r="K187" s="1"/>
      <c r="L187" s="1"/>
      <c r="M187" s="1"/>
      <c r="N187" s="1"/>
      <c r="O187" s="1"/>
      <c r="P187" s="1"/>
      <c r="Q187" s="1"/>
      <c r="R187" s="1"/>
    </row>
    <row r="188" ht="15.75" customHeight="1">
      <c r="A188" s="1"/>
      <c r="B188" s="1"/>
      <c r="C188" s="2"/>
      <c r="D188" s="2"/>
      <c r="E188" s="2"/>
      <c r="F188" s="1"/>
      <c r="G188" s="1"/>
      <c r="H188" s="2"/>
      <c r="I188" s="2"/>
      <c r="J188" s="2"/>
      <c r="K188" s="1"/>
      <c r="L188" s="1"/>
      <c r="M188" s="1"/>
      <c r="N188" s="1"/>
      <c r="O188" s="1"/>
      <c r="P188" s="1"/>
      <c r="Q188" s="1"/>
      <c r="R188" s="1"/>
    </row>
    <row r="189" ht="15.75" customHeight="1">
      <c r="A189" s="1"/>
      <c r="B189" s="1"/>
      <c r="C189" s="2"/>
      <c r="D189" s="2"/>
      <c r="E189" s="2"/>
      <c r="F189" s="1"/>
      <c r="G189" s="1"/>
      <c r="H189" s="2"/>
      <c r="I189" s="2"/>
      <c r="J189" s="2"/>
      <c r="K189" s="1"/>
      <c r="L189" s="1"/>
      <c r="M189" s="1"/>
      <c r="N189" s="1"/>
      <c r="O189" s="1"/>
      <c r="P189" s="1"/>
      <c r="Q189" s="1"/>
      <c r="R189" s="1"/>
    </row>
    <row r="190" ht="15.75" customHeight="1">
      <c r="A190" s="1"/>
      <c r="B190" s="1"/>
      <c r="C190" s="2"/>
      <c r="D190" s="2"/>
      <c r="E190" s="2"/>
      <c r="F190" s="1"/>
      <c r="G190" s="1"/>
      <c r="H190" s="2"/>
      <c r="I190" s="2"/>
      <c r="J190" s="2"/>
      <c r="K190" s="1"/>
      <c r="L190" s="1"/>
      <c r="M190" s="1"/>
      <c r="N190" s="1"/>
      <c r="O190" s="1"/>
      <c r="P190" s="1"/>
      <c r="Q190" s="1"/>
      <c r="R190" s="1"/>
    </row>
    <row r="191" ht="15.75" customHeight="1">
      <c r="A191" s="1"/>
      <c r="B191" s="1"/>
      <c r="C191" s="2"/>
      <c r="D191" s="2"/>
      <c r="E191" s="2"/>
      <c r="F191" s="1"/>
      <c r="G191" s="1"/>
      <c r="H191" s="2"/>
      <c r="I191" s="2"/>
      <c r="J191" s="2"/>
      <c r="K191" s="1"/>
      <c r="L191" s="1"/>
      <c r="M191" s="1"/>
      <c r="N191" s="1"/>
      <c r="O191" s="1"/>
      <c r="P191" s="1"/>
      <c r="Q191" s="1"/>
      <c r="R191" s="1"/>
    </row>
    <row r="192" ht="15.75" customHeight="1">
      <c r="A192" s="1"/>
      <c r="B192" s="1"/>
      <c r="C192" s="2"/>
      <c r="D192" s="2"/>
      <c r="E192" s="2"/>
      <c r="F192" s="1"/>
      <c r="G192" s="1"/>
      <c r="H192" s="2"/>
      <c r="I192" s="2"/>
      <c r="J192" s="2"/>
      <c r="K192" s="1"/>
      <c r="L192" s="1"/>
      <c r="M192" s="1"/>
      <c r="N192" s="1"/>
      <c r="O192" s="1"/>
      <c r="P192" s="1"/>
      <c r="Q192" s="1"/>
      <c r="R192" s="1"/>
    </row>
    <row r="193" ht="15.75" customHeight="1">
      <c r="A193" s="1"/>
      <c r="B193" s="1"/>
      <c r="C193" s="2"/>
      <c r="D193" s="2"/>
      <c r="E193" s="2"/>
      <c r="F193" s="1"/>
      <c r="G193" s="1"/>
      <c r="H193" s="2"/>
      <c r="I193" s="2"/>
      <c r="J193" s="2"/>
      <c r="K193" s="1"/>
      <c r="L193" s="1"/>
      <c r="M193" s="1"/>
      <c r="N193" s="1"/>
      <c r="O193" s="1"/>
      <c r="P193" s="1"/>
      <c r="Q193" s="1"/>
      <c r="R193" s="1"/>
    </row>
    <row r="194" ht="15.75" customHeight="1">
      <c r="A194" s="1"/>
      <c r="B194" s="1"/>
      <c r="C194" s="2"/>
      <c r="D194" s="2"/>
      <c r="E194" s="2"/>
      <c r="F194" s="1"/>
      <c r="G194" s="1"/>
      <c r="H194" s="2"/>
      <c r="I194" s="2"/>
      <c r="J194" s="2"/>
      <c r="K194" s="1"/>
      <c r="L194" s="1"/>
      <c r="M194" s="1"/>
      <c r="N194" s="1"/>
      <c r="O194" s="1"/>
      <c r="P194" s="1"/>
      <c r="Q194" s="1"/>
      <c r="R194" s="1"/>
    </row>
    <row r="195" ht="15.75" customHeight="1">
      <c r="A195" s="1"/>
      <c r="B195" s="1"/>
      <c r="C195" s="2"/>
      <c r="D195" s="2"/>
      <c r="E195" s="2"/>
      <c r="F195" s="1"/>
      <c r="G195" s="1"/>
      <c r="H195" s="2"/>
      <c r="I195" s="2"/>
      <c r="J195" s="2"/>
      <c r="K195" s="1"/>
      <c r="L195" s="1"/>
      <c r="M195" s="1"/>
      <c r="N195" s="1"/>
      <c r="O195" s="1"/>
      <c r="P195" s="1"/>
      <c r="Q195" s="1"/>
      <c r="R195" s="1"/>
    </row>
    <row r="196" ht="15.75" customHeight="1">
      <c r="A196" s="1"/>
      <c r="B196" s="1"/>
      <c r="C196" s="2"/>
      <c r="D196" s="2"/>
      <c r="E196" s="2"/>
      <c r="F196" s="1"/>
      <c r="G196" s="1"/>
      <c r="H196" s="2"/>
      <c r="I196" s="2"/>
      <c r="J196" s="2"/>
      <c r="K196" s="1"/>
      <c r="L196" s="1"/>
      <c r="M196" s="1"/>
      <c r="N196" s="1"/>
      <c r="O196" s="1"/>
      <c r="P196" s="1"/>
      <c r="Q196" s="1"/>
      <c r="R196" s="1"/>
    </row>
    <row r="197" ht="15.75" customHeight="1">
      <c r="A197" s="1"/>
      <c r="B197" s="1"/>
      <c r="C197" s="2"/>
      <c r="D197" s="2"/>
      <c r="E197" s="2"/>
      <c r="F197" s="1"/>
      <c r="G197" s="1"/>
      <c r="H197" s="2"/>
      <c r="I197" s="2"/>
      <c r="J197" s="2"/>
      <c r="K197" s="1"/>
      <c r="L197" s="1"/>
      <c r="M197" s="1"/>
      <c r="N197" s="1"/>
      <c r="O197" s="1"/>
      <c r="P197" s="1"/>
      <c r="Q197" s="1"/>
      <c r="R197" s="1"/>
    </row>
    <row r="198" ht="15.75" customHeight="1">
      <c r="A198" s="1"/>
      <c r="B198" s="1"/>
      <c r="C198" s="2"/>
      <c r="D198" s="2"/>
      <c r="E198" s="2"/>
      <c r="F198" s="1"/>
      <c r="G198" s="1"/>
      <c r="H198" s="2"/>
      <c r="I198" s="2"/>
      <c r="J198" s="2"/>
      <c r="K198" s="1"/>
      <c r="L198" s="1"/>
      <c r="M198" s="1"/>
      <c r="N198" s="1"/>
      <c r="O198" s="1"/>
      <c r="P198" s="1"/>
      <c r="Q198" s="1"/>
      <c r="R198" s="1"/>
    </row>
    <row r="199" ht="15.75" customHeight="1">
      <c r="A199" s="1"/>
      <c r="B199" s="1"/>
      <c r="C199" s="2"/>
      <c r="D199" s="2"/>
      <c r="E199" s="2"/>
      <c r="F199" s="1"/>
      <c r="G199" s="1"/>
      <c r="H199" s="2"/>
      <c r="I199" s="2"/>
      <c r="J199" s="2"/>
      <c r="K199" s="1"/>
      <c r="L199" s="1"/>
      <c r="M199" s="1"/>
      <c r="N199" s="1"/>
      <c r="O199" s="1"/>
      <c r="P199" s="1"/>
      <c r="Q199" s="1"/>
      <c r="R199" s="1"/>
    </row>
    <row r="200" ht="15.75" customHeight="1">
      <c r="A200" s="1"/>
      <c r="B200" s="1"/>
      <c r="C200" s="2"/>
      <c r="D200" s="2"/>
      <c r="E200" s="2"/>
      <c r="F200" s="1"/>
      <c r="G200" s="1"/>
      <c r="H200" s="2"/>
      <c r="I200" s="2"/>
      <c r="J200" s="2"/>
      <c r="K200" s="1"/>
      <c r="L200" s="1"/>
      <c r="M200" s="1"/>
      <c r="N200" s="1"/>
      <c r="O200" s="1"/>
      <c r="P200" s="1"/>
      <c r="Q200" s="1"/>
      <c r="R200" s="1"/>
    </row>
    <row r="201" ht="15.75" customHeight="1">
      <c r="A201" s="1"/>
      <c r="B201" s="1"/>
      <c r="C201" s="2"/>
      <c r="D201" s="2"/>
      <c r="E201" s="2"/>
      <c r="F201" s="1"/>
      <c r="G201" s="1"/>
      <c r="H201" s="2"/>
      <c r="I201" s="2"/>
      <c r="J201" s="2"/>
      <c r="K201" s="1"/>
      <c r="L201" s="1"/>
      <c r="M201" s="1"/>
      <c r="N201" s="1"/>
      <c r="O201" s="1"/>
      <c r="P201" s="1"/>
      <c r="Q201" s="1"/>
      <c r="R201" s="1"/>
    </row>
    <row r="202" ht="15.75" customHeight="1">
      <c r="A202" s="1"/>
      <c r="B202" s="1"/>
      <c r="C202" s="2"/>
      <c r="D202" s="2"/>
      <c r="E202" s="2"/>
      <c r="F202" s="1"/>
      <c r="G202" s="1"/>
      <c r="H202" s="2"/>
      <c r="I202" s="2"/>
      <c r="J202" s="2"/>
      <c r="K202" s="1"/>
      <c r="L202" s="1"/>
      <c r="M202" s="1"/>
      <c r="N202" s="1"/>
      <c r="O202" s="1"/>
      <c r="P202" s="1"/>
      <c r="Q202" s="1"/>
      <c r="R202" s="1"/>
    </row>
    <row r="203" ht="15.75" customHeight="1">
      <c r="A203" s="1"/>
      <c r="B203" s="1"/>
      <c r="C203" s="2"/>
      <c r="D203" s="2"/>
      <c r="E203" s="2"/>
      <c r="F203" s="1"/>
      <c r="G203" s="1"/>
      <c r="H203" s="2"/>
      <c r="I203" s="2"/>
      <c r="J203" s="2"/>
      <c r="K203" s="1"/>
      <c r="L203" s="1"/>
      <c r="M203" s="1"/>
      <c r="N203" s="1"/>
      <c r="O203" s="1"/>
      <c r="P203" s="1"/>
      <c r="Q203" s="1"/>
      <c r="R203" s="1"/>
    </row>
    <row r="204" ht="15.75" customHeight="1">
      <c r="A204" s="1"/>
      <c r="B204" s="1"/>
      <c r="C204" s="2"/>
      <c r="D204" s="2"/>
      <c r="E204" s="2"/>
      <c r="F204" s="1"/>
      <c r="G204" s="1"/>
      <c r="H204" s="2"/>
      <c r="I204" s="2"/>
      <c r="J204" s="2"/>
      <c r="K204" s="1"/>
      <c r="L204" s="1"/>
      <c r="M204" s="1"/>
      <c r="N204" s="1"/>
      <c r="O204" s="1"/>
      <c r="P204" s="1"/>
      <c r="Q204" s="1"/>
      <c r="R204" s="1"/>
    </row>
    <row r="205" ht="15.75" customHeight="1">
      <c r="A205" s="1"/>
      <c r="B205" s="1"/>
      <c r="C205" s="2"/>
      <c r="D205" s="2"/>
      <c r="E205" s="2"/>
      <c r="F205" s="1"/>
      <c r="G205" s="1"/>
      <c r="H205" s="2"/>
      <c r="I205" s="2"/>
      <c r="J205" s="2"/>
      <c r="K205" s="1"/>
      <c r="L205" s="1"/>
      <c r="M205" s="1"/>
      <c r="N205" s="1"/>
      <c r="O205" s="1"/>
      <c r="P205" s="1"/>
      <c r="Q205" s="1"/>
      <c r="R205" s="1"/>
    </row>
    <row r="206" ht="15.75" customHeight="1">
      <c r="A206" s="1"/>
      <c r="B206" s="1"/>
      <c r="C206" s="2"/>
      <c r="D206" s="2"/>
      <c r="E206" s="2"/>
      <c r="F206" s="1"/>
      <c r="G206" s="1"/>
      <c r="H206" s="2"/>
      <c r="I206" s="2"/>
      <c r="J206" s="2"/>
      <c r="K206" s="1"/>
      <c r="L206" s="1"/>
      <c r="M206" s="1"/>
      <c r="N206" s="1"/>
      <c r="O206" s="1"/>
      <c r="P206" s="1"/>
      <c r="Q206" s="1"/>
      <c r="R206" s="1"/>
    </row>
    <row r="207" ht="15.75" customHeight="1">
      <c r="A207" s="1"/>
      <c r="B207" s="1"/>
      <c r="C207" s="2"/>
      <c r="D207" s="2"/>
      <c r="E207" s="2"/>
      <c r="F207" s="1"/>
      <c r="G207" s="1"/>
      <c r="H207" s="2"/>
      <c r="I207" s="2"/>
      <c r="J207" s="2"/>
      <c r="K207" s="1"/>
      <c r="L207" s="1"/>
      <c r="M207" s="1"/>
      <c r="N207" s="1"/>
      <c r="O207" s="1"/>
      <c r="P207" s="1"/>
      <c r="Q207" s="1"/>
      <c r="R207" s="1"/>
    </row>
    <row r="208" ht="15.75" customHeight="1">
      <c r="A208" s="1"/>
      <c r="B208" s="1"/>
      <c r="C208" s="2"/>
      <c r="D208" s="2"/>
      <c r="E208" s="2"/>
      <c r="F208" s="1"/>
      <c r="G208" s="1"/>
      <c r="H208" s="2"/>
      <c r="I208" s="2"/>
      <c r="J208" s="2"/>
      <c r="K208" s="1"/>
      <c r="L208" s="1"/>
      <c r="M208" s="1"/>
      <c r="N208" s="1"/>
      <c r="O208" s="1"/>
      <c r="P208" s="1"/>
      <c r="Q208" s="1"/>
      <c r="R208" s="1"/>
    </row>
    <row r="209" ht="15.75" customHeight="1">
      <c r="A209" s="1"/>
      <c r="B209" s="1"/>
      <c r="C209" s="2"/>
      <c r="D209" s="2"/>
      <c r="E209" s="2"/>
      <c r="F209" s="1"/>
      <c r="G209" s="1"/>
      <c r="H209" s="2"/>
      <c r="I209" s="2"/>
      <c r="J209" s="2"/>
      <c r="K209" s="1"/>
      <c r="L209" s="1"/>
      <c r="M209" s="1"/>
      <c r="N209" s="1"/>
      <c r="O209" s="1"/>
      <c r="P209" s="1"/>
      <c r="Q209" s="1"/>
      <c r="R209" s="1"/>
    </row>
    <row r="210" ht="15.75" customHeight="1">
      <c r="A210" s="1"/>
      <c r="B210" s="1"/>
      <c r="C210" s="2"/>
      <c r="D210" s="2"/>
      <c r="E210" s="2"/>
      <c r="F210" s="1"/>
      <c r="G210" s="1"/>
      <c r="H210" s="2"/>
      <c r="I210" s="2"/>
      <c r="J210" s="2"/>
      <c r="K210" s="1"/>
      <c r="L210" s="1"/>
      <c r="M210" s="1"/>
      <c r="N210" s="1"/>
      <c r="O210" s="1"/>
      <c r="P210" s="1"/>
      <c r="Q210" s="1"/>
      <c r="R210" s="1"/>
    </row>
    <row r="211" ht="15.75" customHeight="1">
      <c r="A211" s="1"/>
      <c r="B211" s="1"/>
      <c r="C211" s="2"/>
      <c r="D211" s="2"/>
      <c r="E211" s="2"/>
      <c r="F211" s="1"/>
      <c r="G211" s="1"/>
      <c r="H211" s="2"/>
      <c r="I211" s="2"/>
      <c r="J211" s="2"/>
      <c r="K211" s="1"/>
      <c r="L211" s="1"/>
      <c r="M211" s="1"/>
      <c r="N211" s="1"/>
      <c r="O211" s="1"/>
      <c r="P211" s="1"/>
      <c r="Q211" s="1"/>
      <c r="R211" s="1"/>
    </row>
    <row r="212" ht="15.75" customHeight="1">
      <c r="A212" s="1"/>
      <c r="B212" s="1"/>
      <c r="C212" s="2"/>
      <c r="D212" s="2"/>
      <c r="E212" s="2"/>
      <c r="F212" s="1"/>
      <c r="G212" s="1"/>
      <c r="H212" s="2"/>
      <c r="I212" s="2"/>
      <c r="J212" s="2"/>
      <c r="K212" s="1"/>
      <c r="L212" s="1"/>
      <c r="M212" s="1"/>
      <c r="N212" s="1"/>
      <c r="O212" s="1"/>
      <c r="P212" s="1"/>
      <c r="Q212" s="1"/>
      <c r="R212" s="1"/>
    </row>
    <row r="213" ht="15.75" customHeight="1">
      <c r="A213" s="1"/>
      <c r="B213" s="1"/>
      <c r="C213" s="2"/>
      <c r="D213" s="2"/>
      <c r="E213" s="2"/>
      <c r="F213" s="1"/>
      <c r="G213" s="1"/>
      <c r="H213" s="2"/>
      <c r="I213" s="2"/>
      <c r="J213" s="2"/>
      <c r="K213" s="1"/>
      <c r="L213" s="1"/>
      <c r="M213" s="1"/>
      <c r="N213" s="1"/>
      <c r="O213" s="1"/>
      <c r="P213" s="1"/>
      <c r="Q213" s="1"/>
      <c r="R213" s="1"/>
    </row>
    <row r="214" ht="15.75" customHeight="1">
      <c r="A214" s="1"/>
      <c r="B214" s="1"/>
      <c r="C214" s="2"/>
      <c r="D214" s="2"/>
      <c r="E214" s="2"/>
      <c r="F214" s="1"/>
      <c r="G214" s="1"/>
      <c r="H214" s="2"/>
      <c r="I214" s="2"/>
      <c r="J214" s="2"/>
      <c r="K214" s="1"/>
      <c r="L214" s="1"/>
      <c r="M214" s="1"/>
      <c r="N214" s="1"/>
      <c r="O214" s="1"/>
      <c r="P214" s="1"/>
      <c r="Q214" s="1"/>
      <c r="R214" s="1"/>
    </row>
    <row r="215" ht="15.75" customHeight="1">
      <c r="A215" s="1"/>
      <c r="B215" s="1"/>
      <c r="C215" s="2"/>
      <c r="D215" s="2"/>
      <c r="E215" s="2"/>
      <c r="F215" s="1"/>
      <c r="G215" s="1"/>
      <c r="H215" s="2"/>
      <c r="I215" s="2"/>
      <c r="J215" s="2"/>
      <c r="K215" s="1"/>
      <c r="L215" s="1"/>
      <c r="M215" s="1"/>
      <c r="N215" s="1"/>
      <c r="O215" s="1"/>
      <c r="P215" s="1"/>
      <c r="Q215" s="1"/>
      <c r="R215" s="1"/>
    </row>
    <row r="216" ht="15.75" customHeight="1">
      <c r="A216" s="1"/>
      <c r="B216" s="1"/>
      <c r="C216" s="2"/>
      <c r="D216" s="2"/>
      <c r="E216" s="2"/>
      <c r="F216" s="1"/>
      <c r="G216" s="1"/>
      <c r="H216" s="2"/>
      <c r="I216" s="2"/>
      <c r="J216" s="2"/>
      <c r="K216" s="1"/>
      <c r="L216" s="1"/>
      <c r="M216" s="1"/>
      <c r="N216" s="1"/>
      <c r="O216" s="1"/>
      <c r="P216" s="1"/>
      <c r="Q216" s="1"/>
      <c r="R216" s="1"/>
    </row>
    <row r="217" ht="15.75" customHeight="1">
      <c r="A217" s="1"/>
      <c r="B217" s="1"/>
      <c r="C217" s="2"/>
      <c r="D217" s="2"/>
      <c r="E217" s="2"/>
      <c r="F217" s="1"/>
      <c r="G217" s="1"/>
      <c r="H217" s="2"/>
      <c r="I217" s="2"/>
      <c r="J217" s="2"/>
      <c r="K217" s="1"/>
      <c r="L217" s="1"/>
      <c r="M217" s="1"/>
      <c r="N217" s="1"/>
      <c r="O217" s="1"/>
      <c r="P217" s="1"/>
      <c r="Q217" s="1"/>
      <c r="R217" s="1"/>
    </row>
    <row r="218" ht="15.75" customHeight="1">
      <c r="A218" s="1"/>
      <c r="B218" s="1"/>
      <c r="C218" s="2"/>
      <c r="D218" s="2"/>
      <c r="E218" s="2"/>
      <c r="F218" s="1"/>
      <c r="G218" s="1"/>
      <c r="H218" s="2"/>
      <c r="I218" s="2"/>
      <c r="J218" s="2"/>
      <c r="K218" s="1"/>
      <c r="L218" s="1"/>
      <c r="M218" s="1"/>
      <c r="N218" s="1"/>
      <c r="O218" s="1"/>
      <c r="P218" s="1"/>
      <c r="Q218" s="1"/>
      <c r="R218" s="1"/>
    </row>
    <row r="219" ht="15.75" customHeight="1">
      <c r="A219" s="1"/>
      <c r="B219" s="1"/>
      <c r="C219" s="2"/>
      <c r="D219" s="2"/>
      <c r="E219" s="2"/>
      <c r="F219" s="1"/>
      <c r="G219" s="1"/>
      <c r="H219" s="2"/>
      <c r="I219" s="2"/>
      <c r="J219" s="2"/>
      <c r="K219" s="1"/>
      <c r="L219" s="1"/>
      <c r="M219" s="1"/>
      <c r="N219" s="1"/>
      <c r="O219" s="1"/>
      <c r="P219" s="1"/>
      <c r="Q219" s="1"/>
      <c r="R219" s="1"/>
    </row>
    <row r="220" ht="15.75" customHeight="1">
      <c r="A220" s="1"/>
      <c r="B220" s="1"/>
      <c r="C220" s="2"/>
      <c r="D220" s="2"/>
      <c r="E220" s="2"/>
      <c r="F220" s="1"/>
      <c r="G220" s="1"/>
      <c r="H220" s="2"/>
      <c r="I220" s="2"/>
      <c r="J220" s="2"/>
      <c r="K220" s="1"/>
      <c r="L220" s="1"/>
      <c r="M220" s="1"/>
      <c r="N220" s="1"/>
      <c r="O220" s="1"/>
      <c r="P220" s="1"/>
      <c r="Q220" s="1"/>
      <c r="R220" s="1"/>
    </row>
    <row r="221" ht="15.75" customHeight="1">
      <c r="A221" s="1"/>
      <c r="B221" s="1"/>
      <c r="C221" s="2"/>
      <c r="D221" s="2"/>
      <c r="E221" s="2"/>
      <c r="F221" s="1"/>
      <c r="G221" s="1"/>
      <c r="H221" s="2"/>
      <c r="I221" s="2"/>
      <c r="J221" s="2"/>
      <c r="K221" s="1"/>
      <c r="L221" s="1"/>
      <c r="M221" s="1"/>
      <c r="N221" s="1"/>
      <c r="O221" s="1"/>
      <c r="P221" s="1"/>
      <c r="Q221" s="1"/>
      <c r="R221" s="1"/>
    </row>
    <row r="222" ht="15.75" customHeight="1">
      <c r="A222" s="1"/>
      <c r="B222" s="1"/>
      <c r="C222" s="2"/>
      <c r="D222" s="2"/>
      <c r="E222" s="2"/>
      <c r="F222" s="1"/>
      <c r="G222" s="1"/>
      <c r="H222" s="2"/>
      <c r="I222" s="2"/>
      <c r="J222" s="2"/>
      <c r="K222" s="1"/>
      <c r="L222" s="1"/>
      <c r="M222" s="1"/>
      <c r="N222" s="1"/>
      <c r="O222" s="1"/>
      <c r="P222" s="1"/>
      <c r="Q222" s="1"/>
      <c r="R222" s="1"/>
    </row>
    <row r="223" ht="15.75" customHeight="1">
      <c r="A223" s="1"/>
      <c r="B223" s="1"/>
      <c r="C223" s="2"/>
      <c r="D223" s="2"/>
      <c r="E223" s="2"/>
      <c r="F223" s="1"/>
      <c r="G223" s="1"/>
      <c r="H223" s="2"/>
      <c r="I223" s="2"/>
      <c r="J223" s="2"/>
      <c r="K223" s="1"/>
      <c r="L223" s="1"/>
      <c r="M223" s="1"/>
      <c r="N223" s="1"/>
      <c r="O223" s="1"/>
      <c r="P223" s="1"/>
      <c r="Q223" s="1"/>
      <c r="R223" s="1"/>
    </row>
    <row r="224" ht="15.75" customHeight="1">
      <c r="A224" s="1"/>
      <c r="B224" s="1"/>
      <c r="C224" s="2"/>
      <c r="D224" s="2"/>
      <c r="E224" s="2"/>
      <c r="F224" s="1"/>
      <c r="G224" s="1"/>
      <c r="H224" s="2"/>
      <c r="I224" s="2"/>
      <c r="J224" s="2"/>
      <c r="K224" s="1"/>
      <c r="L224" s="1"/>
      <c r="M224" s="1"/>
      <c r="N224" s="1"/>
      <c r="O224" s="1"/>
      <c r="P224" s="1"/>
      <c r="Q224" s="1"/>
      <c r="R224" s="1"/>
    </row>
    <row r="225" ht="15.75" customHeight="1">
      <c r="A225" s="1"/>
      <c r="B225" s="1"/>
      <c r="C225" s="2"/>
      <c r="D225" s="2"/>
      <c r="E225" s="2"/>
      <c r="F225" s="1"/>
      <c r="G225" s="1"/>
      <c r="H225" s="2"/>
      <c r="I225" s="2"/>
      <c r="J225" s="2"/>
      <c r="K225" s="1"/>
      <c r="L225" s="1"/>
      <c r="M225" s="1"/>
      <c r="N225" s="1"/>
      <c r="O225" s="1"/>
      <c r="P225" s="1"/>
      <c r="Q225" s="1"/>
      <c r="R225" s="1"/>
    </row>
    <row r="226" ht="15.75" customHeight="1">
      <c r="A226" s="1"/>
      <c r="B226" s="1"/>
      <c r="C226" s="2"/>
      <c r="D226" s="2"/>
      <c r="E226" s="2"/>
      <c r="F226" s="1"/>
      <c r="G226" s="1"/>
      <c r="H226" s="2"/>
      <c r="I226" s="2"/>
      <c r="J226" s="2"/>
      <c r="K226" s="1"/>
      <c r="L226" s="1"/>
      <c r="M226" s="1"/>
      <c r="N226" s="1"/>
      <c r="O226" s="1"/>
      <c r="P226" s="1"/>
      <c r="Q226" s="1"/>
      <c r="R226" s="1"/>
    </row>
    <row r="227" ht="15.75" customHeight="1">
      <c r="A227" s="1"/>
      <c r="B227" s="1"/>
      <c r="C227" s="2"/>
      <c r="D227" s="2"/>
      <c r="E227" s="2"/>
      <c r="F227" s="1"/>
      <c r="G227" s="1"/>
      <c r="H227" s="2"/>
      <c r="I227" s="2"/>
      <c r="J227" s="2"/>
      <c r="K227" s="1"/>
      <c r="L227" s="1"/>
      <c r="M227" s="1"/>
      <c r="N227" s="1"/>
      <c r="O227" s="1"/>
      <c r="P227" s="1"/>
      <c r="Q227" s="1"/>
      <c r="R227" s="1"/>
    </row>
    <row r="228" ht="15.75" customHeight="1">
      <c r="A228" s="1"/>
      <c r="B228" s="1"/>
      <c r="C228" s="2"/>
      <c r="D228" s="2"/>
      <c r="E228" s="2"/>
      <c r="F228" s="1"/>
      <c r="G228" s="1"/>
      <c r="H228" s="2"/>
      <c r="I228" s="2"/>
      <c r="J228" s="2"/>
      <c r="K228" s="1"/>
      <c r="L228" s="1"/>
      <c r="M228" s="1"/>
      <c r="N228" s="1"/>
      <c r="O228" s="1"/>
      <c r="P228" s="1"/>
      <c r="Q228" s="1"/>
      <c r="R228" s="1"/>
    </row>
    <row r="229" ht="15.75" customHeight="1">
      <c r="A229" s="1"/>
      <c r="B229" s="1"/>
      <c r="C229" s="2"/>
      <c r="D229" s="2"/>
      <c r="E229" s="2"/>
      <c r="F229" s="1"/>
      <c r="G229" s="1"/>
      <c r="H229" s="2"/>
      <c r="I229" s="2"/>
      <c r="J229" s="2"/>
      <c r="K229" s="1"/>
      <c r="L229" s="1"/>
      <c r="M229" s="1"/>
      <c r="N229" s="1"/>
      <c r="O229" s="1"/>
      <c r="P229" s="1"/>
      <c r="Q229" s="1"/>
      <c r="R229" s="1"/>
    </row>
    <row r="230" ht="15.75" customHeight="1">
      <c r="A230" s="1"/>
      <c r="B230" s="1"/>
      <c r="C230" s="2"/>
      <c r="D230" s="2"/>
      <c r="E230" s="2"/>
      <c r="F230" s="1"/>
      <c r="G230" s="1"/>
      <c r="H230" s="2"/>
      <c r="I230" s="2"/>
      <c r="J230" s="2"/>
      <c r="K230" s="1"/>
      <c r="L230" s="1"/>
      <c r="M230" s="1"/>
      <c r="N230" s="1"/>
      <c r="O230" s="1"/>
      <c r="P230" s="1"/>
      <c r="Q230" s="1"/>
      <c r="R230" s="1"/>
    </row>
    <row r="231" ht="15.75" customHeight="1">
      <c r="A231" s="1"/>
      <c r="B231" s="1"/>
      <c r="C231" s="2"/>
      <c r="D231" s="2"/>
      <c r="E231" s="2"/>
      <c r="F231" s="1"/>
      <c r="G231" s="1"/>
      <c r="H231" s="2"/>
      <c r="I231" s="2"/>
      <c r="J231" s="2"/>
      <c r="K231" s="1"/>
      <c r="L231" s="1"/>
      <c r="M231" s="1"/>
      <c r="N231" s="1"/>
      <c r="O231" s="1"/>
      <c r="P231" s="1"/>
      <c r="Q231" s="1"/>
      <c r="R231" s="1"/>
    </row>
    <row r="232" ht="15.75" customHeight="1">
      <c r="A232" s="1"/>
      <c r="B232" s="1"/>
      <c r="C232" s="2"/>
      <c r="D232" s="2"/>
      <c r="E232" s="2"/>
      <c r="F232" s="1"/>
      <c r="G232" s="1"/>
      <c r="H232" s="2"/>
      <c r="I232" s="2"/>
      <c r="J232" s="2"/>
      <c r="K232" s="1"/>
      <c r="L232" s="1"/>
      <c r="M232" s="1"/>
      <c r="N232" s="1"/>
      <c r="O232" s="1"/>
      <c r="P232" s="1"/>
      <c r="Q232" s="1"/>
      <c r="R232" s="1"/>
    </row>
    <row r="233" ht="15.75" customHeight="1">
      <c r="A233" s="1"/>
      <c r="B233" s="1"/>
      <c r="C233" s="2"/>
      <c r="D233" s="2"/>
      <c r="E233" s="2"/>
      <c r="F233" s="1"/>
      <c r="G233" s="1"/>
      <c r="H233" s="2"/>
      <c r="I233" s="2"/>
      <c r="J233" s="2"/>
      <c r="K233" s="1"/>
      <c r="L233" s="1"/>
      <c r="M233" s="1"/>
      <c r="N233" s="1"/>
      <c r="O233" s="1"/>
      <c r="P233" s="1"/>
      <c r="Q233" s="1"/>
      <c r="R233" s="1"/>
    </row>
    <row r="234" ht="15.75" customHeight="1">
      <c r="A234" s="1"/>
      <c r="B234" s="1"/>
      <c r="C234" s="2"/>
      <c r="D234" s="2"/>
      <c r="E234" s="2"/>
      <c r="F234" s="1"/>
      <c r="G234" s="1"/>
      <c r="H234" s="2"/>
      <c r="I234" s="2"/>
      <c r="J234" s="2"/>
      <c r="K234" s="1"/>
      <c r="L234" s="1"/>
      <c r="M234" s="1"/>
      <c r="N234" s="1"/>
      <c r="O234" s="1"/>
      <c r="P234" s="1"/>
      <c r="Q234" s="1"/>
      <c r="R234" s="1"/>
    </row>
    <row r="235" ht="15.75" customHeight="1">
      <c r="A235" s="1"/>
      <c r="B235" s="1"/>
      <c r="C235" s="2"/>
      <c r="D235" s="2"/>
      <c r="E235" s="2"/>
      <c r="F235" s="1"/>
      <c r="G235" s="1"/>
      <c r="H235" s="2"/>
      <c r="I235" s="2"/>
      <c r="J235" s="2"/>
      <c r="K235" s="1"/>
      <c r="L235" s="1"/>
      <c r="M235" s="1"/>
      <c r="N235" s="1"/>
      <c r="O235" s="1"/>
      <c r="P235" s="1"/>
      <c r="Q235" s="1"/>
      <c r="R235" s="1"/>
    </row>
    <row r="236" ht="15.75" customHeight="1">
      <c r="A236" s="1"/>
      <c r="B236" s="1"/>
      <c r="C236" s="2"/>
      <c r="D236" s="2"/>
      <c r="E236" s="2"/>
      <c r="F236" s="1"/>
      <c r="G236" s="1"/>
      <c r="H236" s="2"/>
      <c r="I236" s="2"/>
      <c r="J236" s="2"/>
      <c r="K236" s="1"/>
      <c r="L236" s="1"/>
      <c r="M236" s="1"/>
      <c r="N236" s="1"/>
      <c r="O236" s="1"/>
      <c r="P236" s="1"/>
      <c r="Q236" s="1"/>
      <c r="R236" s="1"/>
    </row>
    <row r="237" ht="15.75" customHeight="1">
      <c r="A237" s="1"/>
      <c r="B237" s="1"/>
      <c r="C237" s="2"/>
      <c r="D237" s="2"/>
      <c r="E237" s="2"/>
      <c r="F237" s="1"/>
      <c r="G237" s="1"/>
      <c r="H237" s="2"/>
      <c r="I237" s="2"/>
      <c r="J237" s="2"/>
      <c r="K237" s="1"/>
      <c r="L237" s="1"/>
      <c r="M237" s="1"/>
      <c r="N237" s="1"/>
      <c r="O237" s="1"/>
      <c r="P237" s="1"/>
      <c r="Q237" s="1"/>
      <c r="R237" s="1"/>
    </row>
    <row r="238" ht="15.75" customHeight="1">
      <c r="A238" s="1"/>
      <c r="B238" s="1"/>
      <c r="C238" s="2"/>
      <c r="D238" s="2"/>
      <c r="E238" s="2"/>
      <c r="F238" s="1"/>
      <c r="G238" s="1"/>
      <c r="H238" s="2"/>
      <c r="I238" s="2"/>
      <c r="J238" s="2"/>
      <c r="K238" s="1"/>
      <c r="L238" s="1"/>
      <c r="M238" s="1"/>
      <c r="N238" s="1"/>
      <c r="O238" s="1"/>
      <c r="P238" s="1"/>
      <c r="Q238" s="1"/>
      <c r="R238" s="1"/>
    </row>
    <row r="239" ht="15.75" customHeight="1">
      <c r="A239" s="1"/>
      <c r="B239" s="1"/>
      <c r="C239" s="2"/>
      <c r="D239" s="2"/>
      <c r="E239" s="2"/>
      <c r="F239" s="1"/>
      <c r="G239" s="1"/>
      <c r="H239" s="2"/>
      <c r="I239" s="2"/>
      <c r="J239" s="2"/>
      <c r="K239" s="1"/>
      <c r="L239" s="1"/>
      <c r="M239" s="1"/>
      <c r="N239" s="1"/>
      <c r="O239" s="1"/>
      <c r="P239" s="1"/>
      <c r="Q239" s="1"/>
      <c r="R239" s="1"/>
    </row>
    <row r="240" ht="15.75" customHeight="1">
      <c r="A240" s="1"/>
      <c r="B240" s="1"/>
      <c r="C240" s="2"/>
      <c r="D240" s="2"/>
      <c r="E240" s="2"/>
      <c r="F240" s="1"/>
      <c r="G240" s="1"/>
      <c r="H240" s="2"/>
      <c r="I240" s="2"/>
      <c r="J240" s="2"/>
      <c r="K240" s="1"/>
      <c r="L240" s="1"/>
      <c r="M240" s="1"/>
      <c r="N240" s="1"/>
      <c r="O240" s="1"/>
      <c r="P240" s="1"/>
      <c r="Q240" s="1"/>
      <c r="R240" s="1"/>
    </row>
    <row r="241" ht="15.75" customHeight="1">
      <c r="A241" s="1"/>
      <c r="B241" s="1"/>
      <c r="C241" s="2"/>
      <c r="D241" s="2"/>
      <c r="E241" s="2"/>
      <c r="F241" s="1"/>
      <c r="G241" s="1"/>
      <c r="H241" s="2"/>
      <c r="I241" s="2"/>
      <c r="J241" s="2"/>
      <c r="K241" s="1"/>
      <c r="L241" s="1"/>
      <c r="M241" s="1"/>
      <c r="N241" s="1"/>
      <c r="O241" s="1"/>
      <c r="P241" s="1"/>
      <c r="Q241" s="1"/>
      <c r="R241" s="1"/>
    </row>
    <row r="242" ht="15.75" customHeight="1">
      <c r="A242" s="1"/>
      <c r="B242" s="1"/>
      <c r="C242" s="2"/>
      <c r="D242" s="2"/>
      <c r="E242" s="2"/>
      <c r="F242" s="1"/>
      <c r="G242" s="1"/>
      <c r="H242" s="2"/>
      <c r="I242" s="2"/>
      <c r="J242" s="2"/>
      <c r="K242" s="1"/>
      <c r="L242" s="1"/>
      <c r="M242" s="1"/>
      <c r="N242" s="1"/>
      <c r="O242" s="1"/>
      <c r="P242" s="1"/>
      <c r="Q242" s="1"/>
      <c r="R242" s="1"/>
    </row>
    <row r="243" ht="15.75" customHeight="1">
      <c r="A243" s="1"/>
      <c r="B243" s="1"/>
      <c r="C243" s="2"/>
      <c r="D243" s="2"/>
      <c r="E243" s="2"/>
      <c r="F243" s="1"/>
      <c r="G243" s="1"/>
      <c r="H243" s="2"/>
      <c r="I243" s="2"/>
      <c r="J243" s="2"/>
      <c r="K243" s="1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2"/>
      <c r="D244" s="2"/>
      <c r="E244" s="2"/>
      <c r="F244" s="1"/>
      <c r="G244" s="1"/>
      <c r="H244" s="2"/>
      <c r="I244" s="2"/>
      <c r="J244" s="2"/>
      <c r="K244" s="1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2"/>
      <c r="D245" s="2"/>
      <c r="E245" s="2"/>
      <c r="F245" s="1"/>
      <c r="G245" s="1"/>
      <c r="H245" s="2"/>
      <c r="I245" s="2"/>
      <c r="J245" s="2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2"/>
      <c r="D246" s="2"/>
      <c r="E246" s="2"/>
      <c r="F246" s="1"/>
      <c r="G246" s="1"/>
      <c r="H246" s="2"/>
      <c r="I246" s="2"/>
      <c r="J246" s="2"/>
      <c r="K246" s="1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2"/>
      <c r="D247" s="2"/>
      <c r="E247" s="2"/>
      <c r="F247" s="1"/>
      <c r="G247" s="1"/>
      <c r="H247" s="2"/>
      <c r="I247" s="2"/>
      <c r="J247" s="2"/>
      <c r="K247" s="1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2"/>
      <c r="D248" s="2"/>
      <c r="E248" s="2"/>
      <c r="F248" s="1"/>
      <c r="G248" s="1"/>
      <c r="H248" s="2"/>
      <c r="I248" s="2"/>
      <c r="J248" s="2"/>
      <c r="K248" s="1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2"/>
      <c r="D249" s="2"/>
      <c r="E249" s="2"/>
      <c r="F249" s="1"/>
      <c r="G249" s="1"/>
      <c r="H249" s="2"/>
      <c r="I249" s="2"/>
      <c r="J249" s="2"/>
      <c r="K249" s="1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2"/>
      <c r="D250" s="2"/>
      <c r="E250" s="2"/>
      <c r="F250" s="1"/>
      <c r="G250" s="1"/>
      <c r="H250" s="2"/>
      <c r="I250" s="2"/>
      <c r="J250" s="2"/>
      <c r="K250" s="1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2"/>
      <c r="D251" s="2"/>
      <c r="E251" s="2"/>
      <c r="F251" s="1"/>
      <c r="G251" s="1"/>
      <c r="H251" s="2"/>
      <c r="I251" s="2"/>
      <c r="J251" s="2"/>
      <c r="K251" s="1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2"/>
      <c r="D252" s="2"/>
      <c r="E252" s="2"/>
      <c r="F252" s="1"/>
      <c r="G252" s="1"/>
      <c r="H252" s="2"/>
      <c r="I252" s="2"/>
      <c r="J252" s="2"/>
      <c r="K252" s="1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2"/>
      <c r="D253" s="2"/>
      <c r="E253" s="2"/>
      <c r="F253" s="1"/>
      <c r="G253" s="1"/>
      <c r="H253" s="2"/>
      <c r="I253" s="2"/>
      <c r="J253" s="2"/>
      <c r="K253" s="1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2"/>
      <c r="D254" s="2"/>
      <c r="E254" s="2"/>
      <c r="F254" s="1"/>
      <c r="G254" s="1"/>
      <c r="H254" s="2"/>
      <c r="I254" s="2"/>
      <c r="J254" s="2"/>
      <c r="K254" s="1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2"/>
      <c r="D255" s="2"/>
      <c r="E255" s="2"/>
      <c r="F255" s="1"/>
      <c r="G255" s="1"/>
      <c r="H255" s="2"/>
      <c r="I255" s="2"/>
      <c r="J255" s="2"/>
      <c r="K255" s="1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2"/>
      <c r="D256" s="2"/>
      <c r="E256" s="2"/>
      <c r="F256" s="1"/>
      <c r="G256" s="1"/>
      <c r="H256" s="2"/>
      <c r="I256" s="2"/>
      <c r="J256" s="2"/>
      <c r="K256" s="1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2"/>
      <c r="D257" s="2"/>
      <c r="E257" s="2"/>
      <c r="F257" s="1"/>
      <c r="G257" s="1"/>
      <c r="H257" s="2"/>
      <c r="I257" s="2"/>
      <c r="J257" s="2"/>
      <c r="K257" s="1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2"/>
      <c r="D258" s="2"/>
      <c r="E258" s="2"/>
      <c r="F258" s="1"/>
      <c r="G258" s="1"/>
      <c r="H258" s="2"/>
      <c r="I258" s="2"/>
      <c r="J258" s="2"/>
      <c r="K258" s="1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2"/>
      <c r="D259" s="2"/>
      <c r="E259" s="2"/>
      <c r="F259" s="1"/>
      <c r="G259" s="1"/>
      <c r="H259" s="2"/>
      <c r="I259" s="2"/>
      <c r="J259" s="2"/>
      <c r="K259" s="1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2"/>
      <c r="D260" s="2"/>
      <c r="E260" s="2"/>
      <c r="F260" s="1"/>
      <c r="G260" s="1"/>
      <c r="H260" s="2"/>
      <c r="I260" s="2"/>
      <c r="J260" s="2"/>
      <c r="K260" s="1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2"/>
      <c r="D261" s="2"/>
      <c r="E261" s="2"/>
      <c r="F261" s="1"/>
      <c r="G261" s="1"/>
      <c r="H261" s="2"/>
      <c r="I261" s="2"/>
      <c r="J261" s="2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2"/>
      <c r="D262" s="2"/>
      <c r="E262" s="2"/>
      <c r="F262" s="1"/>
      <c r="G262" s="1"/>
      <c r="H262" s="2"/>
      <c r="I262" s="2"/>
      <c r="J262" s="2"/>
      <c r="K262" s="1"/>
      <c r="L262" s="1"/>
      <c r="M262" s="1"/>
      <c r="N262" s="1"/>
      <c r="O262" s="1"/>
      <c r="P262" s="1"/>
      <c r="Q262" s="1"/>
      <c r="R262" s="1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2.13"/>
    <col customWidth="1" min="3" max="5" width="21.88"/>
    <col customWidth="1" min="6" max="6" width="12.63"/>
  </cols>
  <sheetData>
    <row r="1" ht="15.75" customHeight="1">
      <c r="A1" s="3" t="s">
        <v>0</v>
      </c>
      <c r="B1" s="4" t="s">
        <v>2</v>
      </c>
      <c r="C1" s="3" t="s">
        <v>3</v>
      </c>
      <c r="D1" s="3" t="s">
        <v>4</v>
      </c>
      <c r="E1" s="7" t="s">
        <v>5</v>
      </c>
    </row>
    <row r="2" ht="15.75" customHeight="1">
      <c r="A2" s="9" t="s">
        <v>7</v>
      </c>
      <c r="B2" s="11" t="s">
        <v>9</v>
      </c>
      <c r="C2" s="9">
        <v>10.0</v>
      </c>
      <c r="D2" s="13" t="s">
        <v>12</v>
      </c>
      <c r="E2" s="14" t="s">
        <v>13</v>
      </c>
    </row>
    <row r="3" ht="15.75" customHeight="1">
      <c r="A3" s="15" t="s">
        <v>14</v>
      </c>
      <c r="B3" s="11" t="s">
        <v>15</v>
      </c>
      <c r="C3" s="9">
        <v>22.0</v>
      </c>
      <c r="D3" s="9" t="s">
        <v>16</v>
      </c>
      <c r="E3" s="16" t="s">
        <v>17</v>
      </c>
    </row>
    <row r="4" ht="15.75" customHeight="1">
      <c r="A4" s="9" t="s">
        <v>18</v>
      </c>
      <c r="B4" s="11" t="s">
        <v>19</v>
      </c>
      <c r="C4" s="9">
        <v>12.0</v>
      </c>
      <c r="D4" s="18" t="s">
        <v>21</v>
      </c>
      <c r="E4" s="20" t="s">
        <v>22</v>
      </c>
    </row>
    <row r="5" ht="15.75" customHeight="1">
      <c r="A5" s="9" t="s">
        <v>25</v>
      </c>
      <c r="B5" s="11" t="s">
        <v>27</v>
      </c>
      <c r="C5" s="9">
        <v>8.0</v>
      </c>
      <c r="D5" s="9" t="s">
        <v>28</v>
      </c>
      <c r="E5" s="21" t="s">
        <v>30</v>
      </c>
    </row>
    <row r="6" ht="15.75" customHeight="1">
      <c r="A6" s="9" t="s">
        <v>32</v>
      </c>
      <c r="B6" s="11" t="s">
        <v>33</v>
      </c>
      <c r="C6" s="9">
        <v>9.0</v>
      </c>
      <c r="D6" s="9" t="s">
        <v>34</v>
      </c>
      <c r="E6" s="16" t="s">
        <v>36</v>
      </c>
    </row>
    <row r="7" ht="15.75" customHeight="1">
      <c r="A7" s="9" t="s">
        <v>37</v>
      </c>
      <c r="B7" s="11" t="s">
        <v>38</v>
      </c>
      <c r="C7" s="9">
        <v>8.0</v>
      </c>
      <c r="D7" s="9" t="s">
        <v>16</v>
      </c>
      <c r="E7" s="16" t="s">
        <v>17</v>
      </c>
    </row>
    <row r="8" ht="15.75" customHeight="1">
      <c r="A8" s="9" t="s">
        <v>40</v>
      </c>
      <c r="B8" s="11" t="s">
        <v>41</v>
      </c>
      <c r="C8" s="9">
        <v>9.0</v>
      </c>
      <c r="D8" s="27" t="s">
        <v>43</v>
      </c>
      <c r="E8" s="29" t="s">
        <v>45</v>
      </c>
    </row>
    <row r="9" ht="15.75" customHeight="1">
      <c r="A9" s="9" t="s">
        <v>47</v>
      </c>
      <c r="B9" s="11" t="s">
        <v>48</v>
      </c>
      <c r="C9" s="9">
        <v>9.0</v>
      </c>
      <c r="D9" s="9" t="s">
        <v>34</v>
      </c>
      <c r="E9" s="16" t="s">
        <v>36</v>
      </c>
    </row>
    <row r="10" ht="15.75" customHeight="1">
      <c r="A10" s="9" t="s">
        <v>51</v>
      </c>
      <c r="B10" s="11" t="s">
        <v>52</v>
      </c>
      <c r="C10" s="9">
        <v>11.0</v>
      </c>
      <c r="D10" s="18" t="s">
        <v>21</v>
      </c>
      <c r="E10" s="20" t="s">
        <v>22</v>
      </c>
    </row>
    <row r="11" ht="15.75" customHeight="1">
      <c r="A11" s="9" t="s">
        <v>53</v>
      </c>
      <c r="B11" s="11" t="s">
        <v>54</v>
      </c>
      <c r="C11" s="9">
        <v>19.0</v>
      </c>
      <c r="D11" s="13" t="s">
        <v>55</v>
      </c>
      <c r="E11" s="14" t="s">
        <v>56</v>
      </c>
    </row>
    <row r="12" ht="15.75" customHeight="1">
      <c r="A12" s="9" t="s">
        <v>57</v>
      </c>
      <c r="B12" s="11" t="s">
        <v>54</v>
      </c>
      <c r="C12" s="9">
        <v>19.0</v>
      </c>
      <c r="D12" s="13" t="s">
        <v>55</v>
      </c>
      <c r="E12" s="14" t="s">
        <v>56</v>
      </c>
    </row>
    <row r="13" ht="15.75" customHeight="1">
      <c r="A13" s="9" t="s">
        <v>58</v>
      </c>
      <c r="B13" s="11" t="s">
        <v>59</v>
      </c>
      <c r="C13" s="9">
        <v>9.0</v>
      </c>
      <c r="D13" s="9" t="s">
        <v>16</v>
      </c>
      <c r="E13" s="16" t="s">
        <v>17</v>
      </c>
    </row>
    <row r="14" ht="15.75" customHeight="1">
      <c r="A14" s="9" t="s">
        <v>60</v>
      </c>
      <c r="B14" s="11" t="s">
        <v>61</v>
      </c>
      <c r="C14" s="9">
        <v>19.0</v>
      </c>
      <c r="D14" s="13" t="s">
        <v>55</v>
      </c>
      <c r="E14" s="14" t="s">
        <v>56</v>
      </c>
    </row>
    <row r="15" ht="15.75" customHeight="1">
      <c r="A15" s="9" t="s">
        <v>62</v>
      </c>
      <c r="B15" s="11" t="s">
        <v>63</v>
      </c>
      <c r="C15" s="9">
        <v>17.0</v>
      </c>
      <c r="D15" s="9" t="s">
        <v>16</v>
      </c>
      <c r="E15" s="16" t="s">
        <v>17</v>
      </c>
    </row>
    <row r="16" ht="15.75" customHeight="1">
      <c r="A16" s="9" t="s">
        <v>64</v>
      </c>
      <c r="B16" s="36" t="s">
        <v>65</v>
      </c>
      <c r="C16" s="37">
        <v>18.0</v>
      </c>
      <c r="D16" s="18" t="s">
        <v>21</v>
      </c>
      <c r="E16" s="20" t="s">
        <v>22</v>
      </c>
    </row>
    <row r="17" ht="15.75" customHeight="1">
      <c r="A17" s="9" t="s">
        <v>66</v>
      </c>
      <c r="B17" s="11" t="s">
        <v>67</v>
      </c>
      <c r="C17" s="9">
        <v>9.0</v>
      </c>
      <c r="D17" s="9" t="s">
        <v>16</v>
      </c>
      <c r="E17" s="16" t="s">
        <v>17</v>
      </c>
    </row>
    <row r="18" ht="15.75" customHeight="1">
      <c r="A18" s="9" t="s">
        <v>68</v>
      </c>
      <c r="B18" s="11" t="s">
        <v>69</v>
      </c>
      <c r="C18" s="9">
        <v>10.0</v>
      </c>
      <c r="D18" s="9" t="s">
        <v>16</v>
      </c>
      <c r="E18" s="16" t="s">
        <v>17</v>
      </c>
    </row>
    <row r="19" ht="15.75" customHeight="1">
      <c r="A19" s="9" t="s">
        <v>70</v>
      </c>
      <c r="B19" s="11" t="s">
        <v>71</v>
      </c>
      <c r="C19" s="9">
        <v>38.0</v>
      </c>
      <c r="D19" s="9" t="s">
        <v>34</v>
      </c>
      <c r="E19" s="16" t="s">
        <v>36</v>
      </c>
    </row>
    <row r="20" ht="15.75" customHeight="1">
      <c r="A20" s="9" t="s">
        <v>72</v>
      </c>
      <c r="B20" s="11" t="s">
        <v>73</v>
      </c>
      <c r="C20" s="9">
        <v>15.0</v>
      </c>
      <c r="D20" s="9" t="s">
        <v>16</v>
      </c>
      <c r="E20" s="16" t="s">
        <v>17</v>
      </c>
    </row>
    <row r="21" ht="15.75" customHeight="1">
      <c r="A21" s="9" t="s">
        <v>74</v>
      </c>
      <c r="B21" s="36" t="s">
        <v>75</v>
      </c>
      <c r="C21" s="37">
        <v>16.0</v>
      </c>
      <c r="D21" s="13" t="s">
        <v>12</v>
      </c>
      <c r="E21" s="14" t="s">
        <v>13</v>
      </c>
    </row>
    <row r="22" ht="15.75" customHeight="1">
      <c r="A22" s="9" t="s">
        <v>76</v>
      </c>
      <c r="B22" s="36" t="s">
        <v>77</v>
      </c>
      <c r="C22" s="37">
        <v>24.0</v>
      </c>
      <c r="D22" s="9" t="s">
        <v>34</v>
      </c>
      <c r="E22" s="16" t="s">
        <v>36</v>
      </c>
    </row>
    <row r="23" ht="15.75" customHeight="1">
      <c r="A23" s="9" t="s">
        <v>78</v>
      </c>
      <c r="B23" s="11" t="s">
        <v>79</v>
      </c>
      <c r="C23" s="9">
        <v>19.0</v>
      </c>
      <c r="D23" s="9" t="s">
        <v>28</v>
      </c>
      <c r="E23" s="21" t="s">
        <v>30</v>
      </c>
    </row>
    <row r="24" ht="15.75" customHeight="1">
      <c r="A24" s="9" t="s">
        <v>80</v>
      </c>
      <c r="B24" s="11" t="s">
        <v>81</v>
      </c>
      <c r="C24" s="9">
        <v>6.0</v>
      </c>
      <c r="D24" s="9" t="s">
        <v>28</v>
      </c>
      <c r="E24" s="21" t="s">
        <v>30</v>
      </c>
    </row>
    <row r="25" ht="15.75" customHeight="1">
      <c r="A25" s="9" t="s">
        <v>82</v>
      </c>
      <c r="B25" s="11" t="s">
        <v>83</v>
      </c>
      <c r="C25" s="9">
        <v>13.0</v>
      </c>
      <c r="D25" s="9" t="s">
        <v>34</v>
      </c>
      <c r="E25" s="16" t="s">
        <v>36</v>
      </c>
    </row>
    <row r="26" ht="15.75" customHeight="1">
      <c r="A26" s="9" t="s">
        <v>84</v>
      </c>
      <c r="B26" s="11" t="s">
        <v>85</v>
      </c>
      <c r="C26" s="9">
        <v>7.0</v>
      </c>
      <c r="D26" s="9" t="s">
        <v>34</v>
      </c>
      <c r="E26" s="16" t="s">
        <v>36</v>
      </c>
    </row>
    <row r="27" ht="15.75" customHeight="1">
      <c r="A27" s="9" t="s">
        <v>86</v>
      </c>
      <c r="B27" s="11" t="s">
        <v>87</v>
      </c>
      <c r="C27" s="9">
        <v>18.0</v>
      </c>
      <c r="D27" s="9" t="s">
        <v>34</v>
      </c>
      <c r="E27" s="16" t="s">
        <v>88</v>
      </c>
    </row>
    <row r="28" ht="15.75" customHeight="1">
      <c r="A28" s="9" t="s">
        <v>90</v>
      </c>
      <c r="B28" s="11" t="s">
        <v>91</v>
      </c>
      <c r="C28" s="9">
        <v>8.0</v>
      </c>
      <c r="D28" s="27" t="s">
        <v>43</v>
      </c>
      <c r="E28" s="29" t="s">
        <v>45</v>
      </c>
    </row>
    <row r="29" ht="15.75" customHeight="1">
      <c r="A29" s="9" t="s">
        <v>93</v>
      </c>
      <c r="B29" s="11" t="s">
        <v>94</v>
      </c>
      <c r="C29" s="9">
        <v>20.0</v>
      </c>
      <c r="D29" s="13" t="s">
        <v>12</v>
      </c>
      <c r="E29" s="14" t="s">
        <v>13</v>
      </c>
    </row>
    <row r="30" ht="15.75" customHeight="1">
      <c r="A30" s="9" t="s">
        <v>95</v>
      </c>
      <c r="B30" s="11" t="s">
        <v>96</v>
      </c>
      <c r="C30" s="9">
        <v>7.0</v>
      </c>
      <c r="D30" s="9" t="s">
        <v>21</v>
      </c>
      <c r="E30" s="48" t="s">
        <v>22</v>
      </c>
    </row>
    <row r="31" ht="15.75" customHeight="1">
      <c r="A31" s="27" t="s">
        <v>99</v>
      </c>
      <c r="B31" s="49" t="s">
        <v>100</v>
      </c>
      <c r="C31" s="27">
        <v>16.0</v>
      </c>
      <c r="D31" s="9" t="s">
        <v>16</v>
      </c>
      <c r="E31" s="16" t="s">
        <v>17</v>
      </c>
    </row>
    <row r="32" ht="15.75" customHeight="1">
      <c r="A32" s="27" t="s">
        <v>102</v>
      </c>
      <c r="B32" s="49" t="s">
        <v>103</v>
      </c>
      <c r="C32" s="27">
        <v>50.0</v>
      </c>
      <c r="D32" s="18" t="s">
        <v>104</v>
      </c>
      <c r="E32" s="53" t="s">
        <v>106</v>
      </c>
    </row>
    <row r="33" ht="15.75" customHeight="1">
      <c r="A33" s="27" t="s">
        <v>107</v>
      </c>
      <c r="B33" s="49" t="s">
        <v>108</v>
      </c>
      <c r="C33" s="27">
        <v>9.0</v>
      </c>
      <c r="D33" s="27" t="s">
        <v>43</v>
      </c>
      <c r="E33" s="29" t="s">
        <v>45</v>
      </c>
    </row>
    <row r="34" ht="15.75" customHeight="1">
      <c r="A34" s="27" t="s">
        <v>109</v>
      </c>
      <c r="B34" s="49" t="s">
        <v>110</v>
      </c>
      <c r="C34" s="27">
        <v>8.0</v>
      </c>
      <c r="D34" s="27" t="s">
        <v>111</v>
      </c>
      <c r="E34" s="53" t="s">
        <v>112</v>
      </c>
    </row>
    <row r="35" ht="15.75" customHeight="1">
      <c r="A35" s="27" t="s">
        <v>113</v>
      </c>
      <c r="B35" s="49" t="s">
        <v>114</v>
      </c>
      <c r="C35" s="27">
        <v>8.0</v>
      </c>
      <c r="D35" s="27" t="s">
        <v>111</v>
      </c>
      <c r="E35" s="53" t="s">
        <v>112</v>
      </c>
    </row>
    <row r="36" ht="15.75" customHeight="1">
      <c r="A36" s="56"/>
      <c r="B36" s="56"/>
      <c r="C36" s="56"/>
      <c r="D36" s="56"/>
      <c r="E36" s="56"/>
    </row>
    <row r="37" ht="15.75" customHeight="1">
      <c r="A37" s="56"/>
      <c r="B37" s="56"/>
      <c r="C37" s="56"/>
      <c r="D37" s="56"/>
      <c r="E37" s="56"/>
    </row>
    <row r="38" ht="15.75" customHeight="1">
      <c r="A38" s="56"/>
      <c r="B38" s="56"/>
      <c r="C38" s="56"/>
      <c r="D38" s="58"/>
      <c r="E38" s="59"/>
    </row>
    <row r="39" ht="15.75" customHeight="1">
      <c r="A39" s="3" t="s">
        <v>0</v>
      </c>
      <c r="B39" s="4" t="s">
        <v>2</v>
      </c>
      <c r="C39" s="3" t="s">
        <v>3</v>
      </c>
      <c r="D39" s="3" t="s">
        <v>4</v>
      </c>
      <c r="E39" s="7" t="s">
        <v>5</v>
      </c>
    </row>
    <row r="40" ht="15.75" customHeight="1">
      <c r="A40" s="27" t="s">
        <v>117</v>
      </c>
      <c r="B40" s="49" t="s">
        <v>118</v>
      </c>
      <c r="C40" s="27">
        <v>8.0</v>
      </c>
      <c r="D40" s="13" t="s">
        <v>12</v>
      </c>
      <c r="E40" s="14" t="s">
        <v>13</v>
      </c>
    </row>
    <row r="41" ht="15.75" customHeight="1">
      <c r="A41" s="27" t="s">
        <v>120</v>
      </c>
      <c r="B41" s="49" t="s">
        <v>121</v>
      </c>
      <c r="C41" s="27">
        <v>17.0</v>
      </c>
      <c r="D41" s="9" t="s">
        <v>28</v>
      </c>
      <c r="E41" s="21" t="s">
        <v>30</v>
      </c>
    </row>
    <row r="42" ht="15.75" customHeight="1">
      <c r="A42" s="27" t="s">
        <v>122</v>
      </c>
      <c r="B42" s="49" t="s">
        <v>123</v>
      </c>
      <c r="C42" s="27">
        <v>14.0</v>
      </c>
      <c r="D42" s="18" t="s">
        <v>21</v>
      </c>
      <c r="E42" s="20" t="s">
        <v>22</v>
      </c>
    </row>
    <row r="43" ht="15.75" customHeight="1">
      <c r="A43" s="27" t="s">
        <v>124</v>
      </c>
      <c r="B43" s="61" t="s">
        <v>127</v>
      </c>
      <c r="C43" s="27">
        <v>23.0</v>
      </c>
      <c r="D43" s="13" t="s">
        <v>55</v>
      </c>
      <c r="E43" s="14" t="s">
        <v>56</v>
      </c>
    </row>
    <row r="44" ht="15.75" customHeight="1">
      <c r="A44" s="27" t="s">
        <v>130</v>
      </c>
      <c r="B44" s="49" t="s">
        <v>131</v>
      </c>
      <c r="C44" s="27">
        <v>15.0</v>
      </c>
      <c r="D44" s="18" t="s">
        <v>104</v>
      </c>
      <c r="E44" s="29" t="s">
        <v>106</v>
      </c>
    </row>
    <row r="45" ht="15.75" customHeight="1">
      <c r="A45" s="27" t="s">
        <v>132</v>
      </c>
      <c r="B45" s="65" t="s">
        <v>133</v>
      </c>
      <c r="C45" s="27">
        <v>11.0</v>
      </c>
      <c r="D45" s="18" t="s">
        <v>21</v>
      </c>
      <c r="E45" s="20" t="s">
        <v>22</v>
      </c>
    </row>
    <row r="46" ht="15.75" customHeight="1">
      <c r="A46" s="27" t="s">
        <v>134</v>
      </c>
      <c r="B46" s="65" t="s">
        <v>133</v>
      </c>
      <c r="C46" s="27">
        <v>13.0</v>
      </c>
      <c r="D46" s="18" t="s">
        <v>21</v>
      </c>
      <c r="E46" s="20" t="s">
        <v>22</v>
      </c>
    </row>
    <row r="47" ht="15.75" customHeight="1">
      <c r="A47" s="27" t="s">
        <v>135</v>
      </c>
      <c r="B47" s="65" t="s">
        <v>133</v>
      </c>
      <c r="C47" s="27">
        <v>10.0</v>
      </c>
      <c r="D47" s="18" t="s">
        <v>21</v>
      </c>
      <c r="E47" s="20" t="s">
        <v>22</v>
      </c>
    </row>
    <row r="48" ht="15.75" customHeight="1">
      <c r="A48" s="27" t="s">
        <v>136</v>
      </c>
      <c r="B48" s="65" t="s">
        <v>133</v>
      </c>
      <c r="C48" s="27">
        <f>19+18</f>
        <v>37</v>
      </c>
      <c r="D48" s="18" t="s">
        <v>21</v>
      </c>
      <c r="E48" s="20" t="s">
        <v>22</v>
      </c>
    </row>
    <row r="49" ht="15.75" customHeight="1">
      <c r="A49" s="27" t="s">
        <v>138</v>
      </c>
      <c r="B49" s="65" t="s">
        <v>139</v>
      </c>
      <c r="C49" s="27">
        <v>18.0</v>
      </c>
      <c r="D49" s="18" t="s">
        <v>21</v>
      </c>
      <c r="E49" s="20" t="s">
        <v>22</v>
      </c>
    </row>
    <row r="50" ht="15.75" customHeight="1">
      <c r="A50" s="18" t="s">
        <v>141</v>
      </c>
      <c r="B50" s="65" t="s">
        <v>142</v>
      </c>
      <c r="C50" s="18">
        <v>16.0</v>
      </c>
      <c r="D50" s="18" t="s">
        <v>104</v>
      </c>
      <c r="E50" s="29" t="s">
        <v>143</v>
      </c>
    </row>
    <row r="51" ht="15.75" customHeight="1">
      <c r="A51" s="18" t="s">
        <v>144</v>
      </c>
      <c r="B51" s="65" t="s">
        <v>145</v>
      </c>
      <c r="C51" s="18">
        <v>17.0</v>
      </c>
      <c r="D51" s="27" t="s">
        <v>43</v>
      </c>
      <c r="E51" s="29" t="s">
        <v>45</v>
      </c>
    </row>
    <row r="52" ht="15.75" customHeight="1">
      <c r="A52" s="18" t="s">
        <v>147</v>
      </c>
      <c r="B52" s="65" t="s">
        <v>148</v>
      </c>
      <c r="C52" s="72"/>
      <c r="D52" s="27" t="s">
        <v>43</v>
      </c>
      <c r="E52" s="29" t="s">
        <v>45</v>
      </c>
    </row>
    <row r="53" ht="15.75" customHeight="1">
      <c r="A53" s="18" t="s">
        <v>150</v>
      </c>
      <c r="B53" s="65" t="s">
        <v>151</v>
      </c>
      <c r="C53" s="18">
        <v>10.0</v>
      </c>
      <c r="D53" s="9" t="s">
        <v>28</v>
      </c>
      <c r="E53" s="21" t="s">
        <v>30</v>
      </c>
    </row>
    <row r="54" ht="15.75" customHeight="1">
      <c r="A54" s="18" t="s">
        <v>152</v>
      </c>
      <c r="B54" s="65" t="s">
        <v>153</v>
      </c>
      <c r="C54" s="18">
        <v>12.0</v>
      </c>
      <c r="D54" s="9" t="s">
        <v>28</v>
      </c>
      <c r="E54" s="21" t="s">
        <v>30</v>
      </c>
    </row>
    <row r="55" ht="15.75" customHeight="1">
      <c r="A55" s="18" t="s">
        <v>154</v>
      </c>
      <c r="B55" s="65" t="s">
        <v>155</v>
      </c>
      <c r="C55" s="18">
        <v>9.0</v>
      </c>
      <c r="D55" s="27" t="s">
        <v>34</v>
      </c>
      <c r="E55" s="29" t="s">
        <v>88</v>
      </c>
    </row>
    <row r="56" ht="15.75" customHeight="1">
      <c r="A56" s="18" t="s">
        <v>156</v>
      </c>
      <c r="B56" s="65" t="s">
        <v>157</v>
      </c>
      <c r="C56" s="18">
        <v>9.0</v>
      </c>
      <c r="D56" s="13" t="s">
        <v>55</v>
      </c>
      <c r="E56" s="14" t="s">
        <v>56</v>
      </c>
    </row>
    <row r="57" ht="15.75" customHeight="1">
      <c r="A57" s="18" t="s">
        <v>158</v>
      </c>
      <c r="B57" s="65" t="s">
        <v>159</v>
      </c>
      <c r="C57" s="18">
        <v>21.0</v>
      </c>
      <c r="D57" s="13" t="s">
        <v>12</v>
      </c>
      <c r="E57" s="14" t="s">
        <v>13</v>
      </c>
    </row>
    <row r="58" ht="15.75" customHeight="1">
      <c r="A58" s="18" t="s">
        <v>160</v>
      </c>
      <c r="B58" s="65" t="s">
        <v>161</v>
      </c>
      <c r="C58" s="18">
        <v>29.0</v>
      </c>
      <c r="D58" s="13" t="s">
        <v>12</v>
      </c>
      <c r="E58" s="14" t="s">
        <v>13</v>
      </c>
    </row>
    <row r="59" ht="15.75" customHeight="1">
      <c r="A59" s="18" t="s">
        <v>163</v>
      </c>
      <c r="B59" s="65" t="s">
        <v>164</v>
      </c>
      <c r="C59" s="18">
        <v>7.0</v>
      </c>
      <c r="D59" s="27" t="s">
        <v>111</v>
      </c>
      <c r="E59" s="77" t="s">
        <v>112</v>
      </c>
    </row>
    <row r="60" ht="15.75" customHeight="1">
      <c r="A60" s="18" t="s">
        <v>166</v>
      </c>
      <c r="B60" s="65" t="s">
        <v>167</v>
      </c>
      <c r="C60" s="72"/>
      <c r="D60" s="27" t="s">
        <v>43</v>
      </c>
      <c r="E60" s="29" t="s">
        <v>45</v>
      </c>
    </row>
    <row r="61" ht="15.75" customHeight="1">
      <c r="A61" s="18" t="s">
        <v>168</v>
      </c>
      <c r="B61" s="65" t="s">
        <v>169</v>
      </c>
      <c r="C61" s="18">
        <v>15.0</v>
      </c>
      <c r="D61" s="27" t="s">
        <v>34</v>
      </c>
      <c r="E61" s="29" t="s">
        <v>88</v>
      </c>
    </row>
    <row r="62" ht="15.75" customHeight="1">
      <c r="A62" s="18" t="s">
        <v>171</v>
      </c>
      <c r="B62" s="65" t="s">
        <v>172</v>
      </c>
      <c r="C62" s="18">
        <v>7.0</v>
      </c>
      <c r="D62" s="27" t="s">
        <v>34</v>
      </c>
      <c r="E62" s="29" t="s">
        <v>88</v>
      </c>
    </row>
    <row r="63" ht="15.75" customHeight="1">
      <c r="A63" s="18" t="s">
        <v>174</v>
      </c>
      <c r="B63" s="65" t="s">
        <v>175</v>
      </c>
      <c r="C63" s="18">
        <v>9.0</v>
      </c>
      <c r="D63" s="27" t="s">
        <v>34</v>
      </c>
      <c r="E63" s="29" t="s">
        <v>88</v>
      </c>
    </row>
    <row r="64" ht="15.75" customHeight="1">
      <c r="A64" s="18" t="s">
        <v>176</v>
      </c>
      <c r="B64" s="65" t="s">
        <v>178</v>
      </c>
      <c r="C64" s="18">
        <v>18.0</v>
      </c>
      <c r="D64" s="13" t="s">
        <v>55</v>
      </c>
      <c r="E64" s="14" t="s">
        <v>56</v>
      </c>
    </row>
    <row r="65" ht="15.75" customHeight="1">
      <c r="A65" s="18" t="s">
        <v>181</v>
      </c>
      <c r="B65" s="65" t="s">
        <v>182</v>
      </c>
      <c r="C65" s="18">
        <v>10.0</v>
      </c>
      <c r="D65" s="9" t="s">
        <v>16</v>
      </c>
      <c r="E65" s="16" t="s">
        <v>17</v>
      </c>
    </row>
    <row r="66" ht="15.75" customHeight="1">
      <c r="A66" s="18" t="s">
        <v>183</v>
      </c>
      <c r="B66" s="65" t="s">
        <v>184</v>
      </c>
      <c r="C66" s="18">
        <v>11.0</v>
      </c>
      <c r="D66" s="13" t="s">
        <v>55</v>
      </c>
      <c r="E66" s="14" t="s">
        <v>56</v>
      </c>
    </row>
    <row r="67" ht="15.75" customHeight="1">
      <c r="A67" s="18" t="s">
        <v>185</v>
      </c>
      <c r="B67" s="65" t="s">
        <v>186</v>
      </c>
      <c r="C67" s="18">
        <v>14.0</v>
      </c>
      <c r="D67" s="27" t="s">
        <v>111</v>
      </c>
      <c r="E67" s="29" t="s">
        <v>187</v>
      </c>
    </row>
    <row r="68" ht="15.75" customHeight="1">
      <c r="A68" s="18" t="s">
        <v>188</v>
      </c>
      <c r="B68" s="65" t="s">
        <v>189</v>
      </c>
      <c r="C68" s="18">
        <v>8.0</v>
      </c>
      <c r="D68" s="13" t="s">
        <v>55</v>
      </c>
      <c r="E68" s="14" t="s">
        <v>56</v>
      </c>
    </row>
    <row r="69" ht="15.75" customHeight="1">
      <c r="A69" s="18" t="s">
        <v>192</v>
      </c>
      <c r="B69" s="65" t="s">
        <v>194</v>
      </c>
      <c r="C69" s="18">
        <v>17.0</v>
      </c>
      <c r="D69" s="13" t="s">
        <v>55</v>
      </c>
      <c r="E69" s="14" t="s">
        <v>56</v>
      </c>
    </row>
    <row r="70" ht="15.75" customHeight="1">
      <c r="A70" s="18" t="s">
        <v>196</v>
      </c>
      <c r="B70" s="65" t="s">
        <v>197</v>
      </c>
      <c r="C70" s="72"/>
      <c r="D70" s="13" t="s">
        <v>12</v>
      </c>
      <c r="E70" s="14" t="s">
        <v>13</v>
      </c>
    </row>
    <row r="71" ht="15.75" customHeight="1">
      <c r="A71" s="18" t="s">
        <v>199</v>
      </c>
      <c r="B71" s="65" t="s">
        <v>200</v>
      </c>
      <c r="C71" s="18">
        <v>14.0</v>
      </c>
      <c r="D71" s="18" t="s">
        <v>104</v>
      </c>
      <c r="E71" s="53" t="s">
        <v>106</v>
      </c>
    </row>
    <row r="72" ht="15.75" customHeight="1">
      <c r="A72" s="18" t="s">
        <v>201</v>
      </c>
      <c r="B72" s="65" t="s">
        <v>202</v>
      </c>
      <c r="C72" s="18">
        <v>17.0</v>
      </c>
      <c r="D72" s="18" t="s">
        <v>28</v>
      </c>
      <c r="E72" s="21" t="s">
        <v>30</v>
      </c>
    </row>
    <row r="73" ht="15.75" customHeight="1">
      <c r="A73" s="18" t="s">
        <v>204</v>
      </c>
      <c r="B73" s="65" t="s">
        <v>205</v>
      </c>
      <c r="C73" s="18">
        <v>9.0</v>
      </c>
      <c r="D73" s="18" t="s">
        <v>21</v>
      </c>
      <c r="E73" s="20" t="s">
        <v>22</v>
      </c>
    </row>
    <row r="74" ht="15.75" customHeight="1">
      <c r="A74" s="18" t="s">
        <v>206</v>
      </c>
      <c r="B74" s="61" t="s">
        <v>207</v>
      </c>
      <c r="C74" s="18">
        <v>7.0</v>
      </c>
      <c r="D74" s="18" t="s">
        <v>209</v>
      </c>
      <c r="E74" s="53" t="s">
        <v>210</v>
      </c>
    </row>
    <row r="75" ht="15.75" customHeight="1">
      <c r="A75" s="18" t="s">
        <v>212</v>
      </c>
      <c r="B75" s="65" t="s">
        <v>213</v>
      </c>
      <c r="C75" s="18">
        <v>10.0</v>
      </c>
      <c r="D75" s="27" t="s">
        <v>111</v>
      </c>
      <c r="E75" s="29" t="s">
        <v>187</v>
      </c>
    </row>
    <row r="76" ht="15.75" customHeight="1">
      <c r="A76" s="18" t="s">
        <v>215</v>
      </c>
      <c r="B76" s="65" t="s">
        <v>216</v>
      </c>
      <c r="C76" s="18">
        <v>22.0</v>
      </c>
      <c r="D76" s="18" t="s">
        <v>162</v>
      </c>
      <c r="E76" s="21" t="s">
        <v>217</v>
      </c>
    </row>
    <row r="77" ht="15.75" customHeight="1">
      <c r="A77" s="18" t="s">
        <v>219</v>
      </c>
      <c r="B77" s="65" t="s">
        <v>220</v>
      </c>
      <c r="C77" s="18">
        <v>10.0</v>
      </c>
      <c r="D77" s="18" t="s">
        <v>28</v>
      </c>
      <c r="E77" s="21" t="s">
        <v>30</v>
      </c>
    </row>
    <row r="78" ht="15.75" customHeight="1">
      <c r="A78" s="18" t="s">
        <v>222</v>
      </c>
      <c r="B78" s="65" t="s">
        <v>223</v>
      </c>
      <c r="C78" s="18">
        <v>15.0</v>
      </c>
      <c r="D78" s="13" t="s">
        <v>55</v>
      </c>
      <c r="E78" s="14" t="s">
        <v>56</v>
      </c>
    </row>
    <row r="79" ht="15.75" customHeight="1">
      <c r="A79" s="18" t="s">
        <v>224</v>
      </c>
      <c r="B79" s="65" t="s">
        <v>225</v>
      </c>
      <c r="C79" s="18">
        <v>26.0</v>
      </c>
      <c r="D79" s="18" t="s">
        <v>28</v>
      </c>
      <c r="E79" s="21" t="s">
        <v>30</v>
      </c>
    </row>
    <row r="80" ht="15.75" customHeight="1">
      <c r="A80" s="18" t="s">
        <v>227</v>
      </c>
      <c r="B80" s="65" t="s">
        <v>228</v>
      </c>
      <c r="C80" s="18">
        <v>9.0</v>
      </c>
      <c r="D80" s="13" t="s">
        <v>55</v>
      </c>
      <c r="E80" s="14" t="s">
        <v>56</v>
      </c>
    </row>
    <row r="81" ht="15.75" customHeight="1">
      <c r="A81" s="18" t="s">
        <v>230</v>
      </c>
      <c r="B81" s="65" t="s">
        <v>231</v>
      </c>
      <c r="C81" s="18">
        <v>8.0</v>
      </c>
      <c r="D81" s="27" t="s">
        <v>43</v>
      </c>
      <c r="E81" s="29" t="s">
        <v>45</v>
      </c>
    </row>
    <row r="82" ht="15.75" customHeight="1">
      <c r="A82" s="18" t="s">
        <v>232</v>
      </c>
      <c r="B82" s="65" t="s">
        <v>233</v>
      </c>
      <c r="C82" s="18">
        <v>9.0</v>
      </c>
      <c r="D82" s="13" t="s">
        <v>12</v>
      </c>
      <c r="E82" s="14" t="s">
        <v>13</v>
      </c>
    </row>
    <row r="83" ht="15.75" customHeight="1">
      <c r="A83" s="18" t="s">
        <v>235</v>
      </c>
      <c r="B83" s="96" t="s">
        <v>237</v>
      </c>
      <c r="C83" s="15">
        <v>18.0</v>
      </c>
      <c r="D83" s="18" t="s">
        <v>28</v>
      </c>
      <c r="E83" s="21" t="s">
        <v>30</v>
      </c>
    </row>
    <row r="84" ht="15.75" customHeight="1">
      <c r="A84" s="18" t="s">
        <v>242</v>
      </c>
      <c r="B84" s="96" t="s">
        <v>243</v>
      </c>
      <c r="C84" s="15">
        <v>15.0</v>
      </c>
      <c r="D84" s="27" t="s">
        <v>34</v>
      </c>
      <c r="E84" s="29" t="s">
        <v>88</v>
      </c>
    </row>
    <row r="85" ht="15.75" customHeight="1">
      <c r="A85" s="18" t="s">
        <v>244</v>
      </c>
      <c r="B85" s="96" t="s">
        <v>245</v>
      </c>
      <c r="C85" s="15">
        <v>9.0</v>
      </c>
      <c r="D85" s="13" t="s">
        <v>12</v>
      </c>
      <c r="E85" s="14" t="s">
        <v>13</v>
      </c>
    </row>
    <row r="86" ht="15.75" customHeight="1">
      <c r="A86" s="18" t="s">
        <v>251</v>
      </c>
      <c r="B86" s="96" t="s">
        <v>253</v>
      </c>
      <c r="C86" s="15">
        <v>8.0</v>
      </c>
      <c r="D86" s="15" t="s">
        <v>43</v>
      </c>
      <c r="E86" s="29" t="s">
        <v>45</v>
      </c>
    </row>
    <row r="87" ht="15.75" customHeight="1">
      <c r="A87" s="13" t="s">
        <v>254</v>
      </c>
      <c r="B87" s="99" t="s">
        <v>258</v>
      </c>
      <c r="C87" s="13">
        <v>10.0</v>
      </c>
      <c r="D87" s="13" t="s">
        <v>55</v>
      </c>
      <c r="E87" s="14" t="s">
        <v>56</v>
      </c>
    </row>
    <row r="88" ht="15.75" customHeight="1">
      <c r="A88" s="13" t="s">
        <v>260</v>
      </c>
      <c r="B88" s="99" t="s">
        <v>261</v>
      </c>
      <c r="C88" s="13">
        <v>27.0</v>
      </c>
      <c r="D88" s="13" t="s">
        <v>28</v>
      </c>
      <c r="E88" s="21" t="s">
        <v>30</v>
      </c>
    </row>
    <row r="89" ht="15.75" customHeight="1"/>
    <row r="90" ht="15.75" customHeight="1">
      <c r="A90" s="3" t="s">
        <v>0</v>
      </c>
      <c r="B90" s="4" t="s">
        <v>2</v>
      </c>
      <c r="C90" s="3" t="s">
        <v>3</v>
      </c>
      <c r="D90" s="3" t="s">
        <v>4</v>
      </c>
      <c r="E90" s="7" t="s">
        <v>5</v>
      </c>
    </row>
    <row r="91" ht="15.75" customHeight="1">
      <c r="A91" s="13" t="s">
        <v>264</v>
      </c>
      <c r="B91" s="105" t="s">
        <v>265</v>
      </c>
      <c r="C91" s="13">
        <v>15.0</v>
      </c>
      <c r="D91" s="13" t="s">
        <v>43</v>
      </c>
      <c r="E91" s="14" t="s">
        <v>45</v>
      </c>
    </row>
    <row r="92" ht="15.75" customHeight="1">
      <c r="A92" s="13" t="s">
        <v>267</v>
      </c>
      <c r="B92" s="105" t="s">
        <v>268</v>
      </c>
      <c r="C92" s="13">
        <v>5.0</v>
      </c>
      <c r="D92" s="13" t="s">
        <v>55</v>
      </c>
      <c r="E92" s="14" t="s">
        <v>56</v>
      </c>
    </row>
    <row r="93" ht="15.75" customHeight="1">
      <c r="A93" s="13" t="s">
        <v>271</v>
      </c>
      <c r="B93" s="105" t="s">
        <v>273</v>
      </c>
      <c r="C93" s="13">
        <v>17.0</v>
      </c>
      <c r="D93" s="13" t="s">
        <v>16</v>
      </c>
      <c r="E93" s="14" t="s">
        <v>17</v>
      </c>
    </row>
    <row r="94" ht="15.75" customHeight="1">
      <c r="A94" s="13" t="s">
        <v>274</v>
      </c>
      <c r="B94" s="105" t="s">
        <v>275</v>
      </c>
      <c r="C94" s="13">
        <v>17.0</v>
      </c>
      <c r="D94" s="13" t="s">
        <v>21</v>
      </c>
      <c r="E94" s="14" t="s">
        <v>277</v>
      </c>
    </row>
    <row r="95" ht="15.75" customHeight="1">
      <c r="A95" s="13" t="s">
        <v>279</v>
      </c>
      <c r="B95" s="105" t="s">
        <v>280</v>
      </c>
      <c r="C95" s="13">
        <v>23.0</v>
      </c>
      <c r="D95" s="13" t="s">
        <v>43</v>
      </c>
      <c r="E95" s="14" t="s">
        <v>45</v>
      </c>
    </row>
    <row r="96" ht="15.75" customHeight="1">
      <c r="A96" s="13" t="s">
        <v>281</v>
      </c>
      <c r="B96" s="105" t="s">
        <v>282</v>
      </c>
      <c r="C96" s="13">
        <v>26.0</v>
      </c>
      <c r="D96" s="13" t="s">
        <v>16</v>
      </c>
      <c r="E96" s="14" t="s">
        <v>17</v>
      </c>
    </row>
    <row r="97" ht="15.75" customHeight="1">
      <c r="A97" s="13" t="s">
        <v>283</v>
      </c>
      <c r="B97" s="105" t="s">
        <v>284</v>
      </c>
      <c r="C97" s="13">
        <v>13.0</v>
      </c>
      <c r="D97" s="13" t="s">
        <v>12</v>
      </c>
      <c r="E97" s="14" t="s">
        <v>13</v>
      </c>
    </row>
    <row r="98" ht="15.75" customHeight="1">
      <c r="A98" s="109" t="s">
        <v>286</v>
      </c>
      <c r="B98" s="99" t="s">
        <v>287</v>
      </c>
      <c r="C98" s="13">
        <v>20.0</v>
      </c>
      <c r="D98" s="13" t="s">
        <v>162</v>
      </c>
      <c r="E98" s="21" t="s">
        <v>217</v>
      </c>
    </row>
    <row r="99" ht="15.75" customHeight="1">
      <c r="A99" s="109" t="s">
        <v>288</v>
      </c>
      <c r="B99" s="99" t="s">
        <v>289</v>
      </c>
      <c r="C99" s="13">
        <v>10.0</v>
      </c>
      <c r="D99" s="13" t="s">
        <v>111</v>
      </c>
      <c r="E99" s="77" t="s">
        <v>112</v>
      </c>
    </row>
    <row r="100" ht="15.75" customHeight="1">
      <c r="A100" s="13" t="s">
        <v>290</v>
      </c>
      <c r="B100" s="99" t="s">
        <v>291</v>
      </c>
      <c r="C100" s="13">
        <v>9.0</v>
      </c>
      <c r="D100" s="13" t="s">
        <v>111</v>
      </c>
      <c r="E100" s="77" t="s">
        <v>112</v>
      </c>
    </row>
    <row r="101" ht="15.75" customHeight="1">
      <c r="A101" s="13" t="s">
        <v>292</v>
      </c>
      <c r="B101" s="99" t="s">
        <v>293</v>
      </c>
      <c r="C101" s="13">
        <v>9.0</v>
      </c>
      <c r="D101" s="13" t="s">
        <v>294</v>
      </c>
      <c r="E101" s="11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