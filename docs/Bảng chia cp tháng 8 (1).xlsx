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ngoc oi\TÀI CHÍNH THÁNG 8.2026\"/>
    </mc:Choice>
  </mc:AlternateContent>
  <xr:revisionPtr revIDLastSave="0" documentId="13_ncr:1_{3006B1EA-58D1-4A7C-A329-001CE20788B6}" xr6:coauthVersionLast="47" xr6:coauthVersionMax="47" xr10:uidLastSave="{00000000-0000-0000-0000-000000000000}"/>
  <bookViews>
    <workbookView xWindow="-110" yWindow="-110" windowWidth="19420" windowHeight="11500" firstSheet="23" activeTab="29" xr2:uid="{A37F05A3-1E06-453A-A9AF-E7B69AFD44BB}"/>
  </bookViews>
  <sheets>
    <sheet name="LNR THÁNG  1" sheetId="3" state="hidden" r:id="rId1"/>
    <sheet name="Tháng 1 nhà T  " sheetId="2" state="hidden" r:id="rId2"/>
    <sheet name="Tháng 3 nhà T  " sheetId="9" state="hidden" r:id="rId3"/>
    <sheet name="Tháng 2 nhà T   " sheetId="5" state="hidden" r:id="rId4"/>
    <sheet name="Tháng 2 nhà S " sheetId="4" state="hidden" r:id="rId5"/>
    <sheet name="Tháng 2 nhà G " sheetId="6" state="hidden" r:id="rId6"/>
    <sheet name="LNR THÁNG  2 " sheetId="7" state="hidden" r:id="rId7"/>
    <sheet name="Tháng 3 nhà S " sheetId="8" state="hidden" r:id="rId8"/>
    <sheet name="Tháng 3 nhà G  " sheetId="10" state="hidden" r:id="rId9"/>
    <sheet name="LNR THÁNG  3" sheetId="11" state="hidden" r:id="rId10"/>
    <sheet name="Tháng 4 nhà T  " sheetId="13" state="hidden" r:id="rId11"/>
    <sheet name="Tháng 4 nhà S " sheetId="12" state="hidden" r:id="rId12"/>
    <sheet name="Tháng 4 nhà G  " sheetId="14" state="hidden" r:id="rId13"/>
    <sheet name="LNR THÁNG  4" sheetId="15" state="hidden" r:id="rId14"/>
    <sheet name="Tháng 5 nhà T " sheetId="18" state="hidden" r:id="rId15"/>
    <sheet name="Tháng 5 nhà S  " sheetId="16" state="hidden" r:id="rId16"/>
    <sheet name="Tháng 5 nhà G  " sheetId="17" state="hidden" r:id="rId17"/>
    <sheet name="LNR THÁNG  5" sheetId="19" state="hidden" r:id="rId18"/>
    <sheet name="Tháng 6 nhà T  " sheetId="21" state="hidden" r:id="rId19"/>
    <sheet name="Tháng 6 nhà S   " sheetId="20" state="hidden" r:id="rId20"/>
    <sheet name="Tháng 6 nhà G   " sheetId="22" state="hidden" r:id="rId21"/>
    <sheet name="LNR THÁNG  6" sheetId="23" state="hidden" r:id="rId22"/>
    <sheet name="Tháng 7 nhà T " sheetId="24" state="hidden" r:id="rId23"/>
    <sheet name="Tháng 8 nhà T " sheetId="30" r:id="rId24"/>
    <sheet name="Tháng 7 nhà S   " sheetId="25" state="hidden" r:id="rId25"/>
    <sheet name="Tháng 7 nhà G   " sheetId="26" state="hidden" r:id="rId26"/>
    <sheet name="LNR THÁNG  7" sheetId="27" state="hidden" r:id="rId27"/>
    <sheet name="Tháng 8 nhà S " sheetId="29" r:id="rId28"/>
    <sheet name="Tháng 8 nhà G  " sheetId="28" r:id="rId29"/>
    <sheet name="LNR THÁNG  8" sheetId="31" r:id="rId30"/>
    <sheet name="Tháng 1 nhà S" sheetId="1" state="hidden" r:id="rId31"/>
  </sheets>
  <externalReferences>
    <externalReference r:id="rId32"/>
  </externalReferences>
  <definedNames>
    <definedName name="_xlnm._FilterDatabase" localSheetId="1" hidden="1">'Tháng 1 nhà T  '!$K$2:$O$17</definedName>
    <definedName name="_xlnm._FilterDatabase" localSheetId="3" hidden="1">'Tháng 2 nhà T   '!$K$2:$O$17</definedName>
    <definedName name="_xlnm._FilterDatabase" localSheetId="2" hidden="1">'Tháng 3 nhà T  '!$K$2:$O$17</definedName>
    <definedName name="_xlnm._FilterDatabase" localSheetId="10" hidden="1">'Tháng 4 nhà T  '!$K$2:$O$17</definedName>
    <definedName name="_xlnm._FilterDatabase" localSheetId="14" hidden="1">'Tháng 5 nhà T '!$K$2:$O$17</definedName>
    <definedName name="_xlnm._FilterDatabase" localSheetId="18" hidden="1">'Tháng 6 nhà T  '!$K$2:$O$17</definedName>
    <definedName name="_xlnm._FilterDatabase" localSheetId="22" hidden="1">'Tháng 7 nhà T '!$K$2:$O$17</definedName>
    <definedName name="_xlnm._FilterDatabase" localSheetId="23" hidden="1">'Tháng 8 nhà T '!$K$2:$O$17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8" l="1"/>
  <c r="G3" i="28"/>
  <c r="G5" i="28" l="1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B29" i="31" l="1"/>
  <c r="D155" i="30" l="1"/>
  <c r="F155" i="30"/>
  <c r="M5" i="30"/>
  <c r="E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O16" i="30" s="1"/>
  <c r="G22" i="30"/>
  <c r="G21" i="30"/>
  <c r="G20" i="30"/>
  <c r="G19" i="30"/>
  <c r="G18" i="30"/>
  <c r="G17" i="30"/>
  <c r="N16" i="30"/>
  <c r="M16" i="30"/>
  <c r="L16" i="30"/>
  <c r="G16" i="30"/>
  <c r="N15" i="30"/>
  <c r="M15" i="30"/>
  <c r="L15" i="30"/>
  <c r="G15" i="30"/>
  <c r="N14" i="30"/>
  <c r="M14" i="30"/>
  <c r="L14" i="30"/>
  <c r="G14" i="30"/>
  <c r="N13" i="30"/>
  <c r="D16" i="31" s="1"/>
  <c r="M13" i="30"/>
  <c r="C16" i="31" s="1"/>
  <c r="L13" i="30"/>
  <c r="B16" i="31" s="1"/>
  <c r="G13" i="30"/>
  <c r="N12" i="30"/>
  <c r="M12" i="30"/>
  <c r="L12" i="30"/>
  <c r="G12" i="30"/>
  <c r="N11" i="30"/>
  <c r="M11" i="30"/>
  <c r="G11" i="30"/>
  <c r="N10" i="30"/>
  <c r="M10" i="30"/>
  <c r="L10" i="30"/>
  <c r="G10" i="30"/>
  <c r="O7" i="30" s="1"/>
  <c r="N9" i="30"/>
  <c r="M9" i="30"/>
  <c r="L9" i="30"/>
  <c r="G9" i="30"/>
  <c r="N8" i="30"/>
  <c r="M8" i="30"/>
  <c r="L8" i="30"/>
  <c r="G8" i="30"/>
  <c r="N7" i="30"/>
  <c r="M7" i="30"/>
  <c r="L7" i="30"/>
  <c r="G7" i="30"/>
  <c r="N6" i="30"/>
  <c r="M6" i="30"/>
  <c r="L6" i="30"/>
  <c r="G6" i="30"/>
  <c r="N5" i="30"/>
  <c r="G5" i="30"/>
  <c r="N4" i="30"/>
  <c r="D4" i="31" s="1"/>
  <c r="M4" i="30"/>
  <c r="C4" i="31" s="1"/>
  <c r="L4" i="30"/>
  <c r="B4" i="31" s="1"/>
  <c r="G4" i="30"/>
  <c r="N3" i="30"/>
  <c r="M3" i="30"/>
  <c r="L3" i="30"/>
  <c r="F4" i="31" l="1"/>
  <c r="F16" i="31"/>
  <c r="O3" i="30"/>
  <c r="O14" i="30"/>
  <c r="O10" i="30"/>
  <c r="O13" i="30"/>
  <c r="E16" i="31" s="1"/>
  <c r="O6" i="30"/>
  <c r="O15" i="30"/>
  <c r="O9" i="30"/>
  <c r="L11" i="30"/>
  <c r="G69" i="30"/>
  <c r="G155" i="30" s="1"/>
  <c r="L5" i="30"/>
  <c r="O4" i="30"/>
  <c r="E4" i="31" s="1"/>
  <c r="O12" i="30"/>
  <c r="O8" i="30"/>
  <c r="O11" i="30"/>
  <c r="N17" i="30"/>
  <c r="M17" i="30"/>
  <c r="L17" i="30" l="1"/>
  <c r="O5" i="30"/>
  <c r="O17" i="30" s="1"/>
  <c r="F410" i="29" l="1"/>
  <c r="E410" i="29"/>
  <c r="D410" i="29"/>
  <c r="G409" i="29"/>
  <c r="G408" i="29"/>
  <c r="G407" i="29"/>
  <c r="G406" i="29"/>
  <c r="G405" i="29"/>
  <c r="G404" i="29"/>
  <c r="G403" i="29"/>
  <c r="G402" i="29"/>
  <c r="G401" i="29"/>
  <c r="G400" i="29"/>
  <c r="G399" i="29"/>
  <c r="G398" i="29"/>
  <c r="G397" i="29"/>
  <c r="G396" i="29"/>
  <c r="G395" i="29"/>
  <c r="G394" i="29"/>
  <c r="G393" i="29"/>
  <c r="G392" i="29"/>
  <c r="G391" i="29"/>
  <c r="G390" i="29"/>
  <c r="G389" i="29"/>
  <c r="G388" i="29"/>
  <c r="G387" i="29"/>
  <c r="G386" i="29"/>
  <c r="G385" i="29"/>
  <c r="G384" i="29"/>
  <c r="G383" i="29"/>
  <c r="G382" i="29"/>
  <c r="G381" i="29"/>
  <c r="G380" i="29"/>
  <c r="G379" i="29"/>
  <c r="G378" i="29"/>
  <c r="G377" i="29"/>
  <c r="G376" i="29"/>
  <c r="G375" i="29"/>
  <c r="G374" i="29"/>
  <c r="G373" i="29"/>
  <c r="G372" i="29"/>
  <c r="G371" i="29"/>
  <c r="G370" i="29"/>
  <c r="G369" i="29"/>
  <c r="G368" i="29"/>
  <c r="G367" i="29"/>
  <c r="G366" i="29"/>
  <c r="G365" i="29"/>
  <c r="G364" i="29"/>
  <c r="G363" i="29"/>
  <c r="G362" i="29"/>
  <c r="G361" i="29"/>
  <c r="G360" i="29"/>
  <c r="G359" i="29"/>
  <c r="G358" i="29"/>
  <c r="G357" i="29"/>
  <c r="G356" i="29"/>
  <c r="G355" i="29"/>
  <c r="G354" i="29"/>
  <c r="G353" i="29"/>
  <c r="G352" i="29"/>
  <c r="G351" i="29"/>
  <c r="G350" i="29"/>
  <c r="G349" i="29"/>
  <c r="G348" i="29"/>
  <c r="G347" i="29"/>
  <c r="G346" i="29"/>
  <c r="G345" i="29"/>
  <c r="G344" i="29"/>
  <c r="G343" i="29"/>
  <c r="G342" i="29"/>
  <c r="G341" i="29"/>
  <c r="G340" i="29"/>
  <c r="G339" i="29"/>
  <c r="G338" i="29"/>
  <c r="G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21" i="29"/>
  <c r="G320" i="29"/>
  <c r="G319" i="29"/>
  <c r="G318" i="29"/>
  <c r="G317" i="29"/>
  <c r="G316" i="29"/>
  <c r="G315" i="29"/>
  <c r="G314" i="29"/>
  <c r="G313" i="29"/>
  <c r="G312" i="29"/>
  <c r="G311" i="29"/>
  <c r="G310" i="29"/>
  <c r="G309" i="29"/>
  <c r="G308" i="29"/>
  <c r="G307" i="29"/>
  <c r="G306" i="29"/>
  <c r="G305" i="29"/>
  <c r="G304" i="29"/>
  <c r="G303" i="29"/>
  <c r="G302" i="29"/>
  <c r="G301" i="29"/>
  <c r="G300" i="29"/>
  <c r="G299" i="29"/>
  <c r="G298" i="29"/>
  <c r="G297" i="29"/>
  <c r="G296" i="29"/>
  <c r="G295" i="29"/>
  <c r="G294" i="29"/>
  <c r="G293" i="29"/>
  <c r="G292" i="29"/>
  <c r="G291" i="29"/>
  <c r="G290" i="29"/>
  <c r="G289" i="29"/>
  <c r="G288" i="29"/>
  <c r="G287" i="29"/>
  <c r="G286" i="29"/>
  <c r="G285" i="29"/>
  <c r="G284" i="29"/>
  <c r="G283" i="29"/>
  <c r="G282" i="29"/>
  <c r="G281" i="29"/>
  <c r="G280" i="29"/>
  <c r="G279" i="29"/>
  <c r="G278" i="29"/>
  <c r="G277" i="29"/>
  <c r="G276" i="29"/>
  <c r="G275" i="29"/>
  <c r="G274" i="29"/>
  <c r="G273" i="29"/>
  <c r="G272" i="29"/>
  <c r="G271" i="29"/>
  <c r="G270" i="29"/>
  <c r="G269" i="29"/>
  <c r="G268" i="29"/>
  <c r="G267" i="29"/>
  <c r="G266" i="29"/>
  <c r="G265" i="29"/>
  <c r="G264" i="29"/>
  <c r="G263" i="29"/>
  <c r="G262" i="29"/>
  <c r="G261" i="29"/>
  <c r="G260" i="29"/>
  <c r="G259" i="29"/>
  <c r="G258" i="29"/>
  <c r="G257" i="29"/>
  <c r="G256" i="29"/>
  <c r="G255" i="29"/>
  <c r="G254" i="29"/>
  <c r="G253" i="29"/>
  <c r="G252" i="29"/>
  <c r="G251" i="29"/>
  <c r="G250" i="29"/>
  <c r="G249" i="29"/>
  <c r="G248" i="29"/>
  <c r="G247" i="29"/>
  <c r="G246" i="29"/>
  <c r="G245" i="29"/>
  <c r="G244" i="29"/>
  <c r="G243" i="29"/>
  <c r="G242" i="29"/>
  <c r="G241" i="29"/>
  <c r="G240" i="29"/>
  <c r="G239" i="29"/>
  <c r="G238" i="29"/>
  <c r="G237" i="29"/>
  <c r="G236" i="29"/>
  <c r="G235" i="29"/>
  <c r="G234" i="29"/>
  <c r="G233" i="29"/>
  <c r="G232" i="29"/>
  <c r="G231" i="29"/>
  <c r="G230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9" i="29"/>
  <c r="G198" i="29"/>
  <c r="G197" i="29"/>
  <c r="G196" i="29"/>
  <c r="G195" i="29"/>
  <c r="G194" i="29"/>
  <c r="G193" i="29"/>
  <c r="G192" i="29"/>
  <c r="O18" i="29" s="1"/>
  <c r="E20" i="31" s="1"/>
  <c r="G191" i="29"/>
  <c r="G190" i="29"/>
  <c r="G189" i="29"/>
  <c r="G188" i="29"/>
  <c r="G187" i="29"/>
  <c r="G186" i="29"/>
  <c r="G185" i="29"/>
  <c r="G184" i="29"/>
  <c r="G183" i="29"/>
  <c r="G182" i="29"/>
  <c r="G181" i="29"/>
  <c r="G180" i="29"/>
  <c r="G179" i="29"/>
  <c r="G177" i="29"/>
  <c r="G176" i="29"/>
  <c r="G175" i="29"/>
  <c r="G174" i="29"/>
  <c r="G173" i="29"/>
  <c r="G172" i="29"/>
  <c r="G171" i="29"/>
  <c r="G170" i="29"/>
  <c r="G169" i="29"/>
  <c r="G168" i="29"/>
  <c r="G167" i="29"/>
  <c r="G166" i="29"/>
  <c r="G165" i="29"/>
  <c r="G164" i="29"/>
  <c r="G163" i="29"/>
  <c r="G162" i="29"/>
  <c r="G161" i="29"/>
  <c r="G160" i="29"/>
  <c r="G159" i="29"/>
  <c r="G158" i="29"/>
  <c r="G157" i="29"/>
  <c r="G156" i="29"/>
  <c r="G155" i="29"/>
  <c r="G154" i="29"/>
  <c r="G153" i="29"/>
  <c r="G152" i="29"/>
  <c r="G151" i="29"/>
  <c r="G150" i="29"/>
  <c r="G149" i="29"/>
  <c r="G148" i="29"/>
  <c r="G147" i="29"/>
  <c r="G146" i="29"/>
  <c r="G145" i="29"/>
  <c r="G144" i="29"/>
  <c r="G143" i="29"/>
  <c r="G142" i="29"/>
  <c r="G141" i="29"/>
  <c r="G140" i="29"/>
  <c r="G139" i="29"/>
  <c r="G138" i="29"/>
  <c r="G137" i="29"/>
  <c r="G136" i="29"/>
  <c r="G135" i="29"/>
  <c r="G134" i="29"/>
  <c r="G133" i="29"/>
  <c r="G131" i="29"/>
  <c r="G130" i="29"/>
  <c r="G129" i="29"/>
  <c r="G128" i="29"/>
  <c r="G127" i="29"/>
  <c r="G126" i="29"/>
  <c r="G124" i="29"/>
  <c r="G123" i="29"/>
  <c r="G122" i="29"/>
  <c r="G121" i="29"/>
  <c r="G120" i="29"/>
  <c r="G119" i="29"/>
  <c r="G118" i="29"/>
  <c r="G117" i="29"/>
  <c r="G116" i="29"/>
  <c r="G115" i="29"/>
  <c r="G114" i="29"/>
  <c r="G113" i="29"/>
  <c r="G112" i="29"/>
  <c r="G111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7" i="29"/>
  <c r="G96" i="29"/>
  <c r="G95" i="29"/>
  <c r="G94" i="29"/>
  <c r="G93" i="29"/>
  <c r="G92" i="29"/>
  <c r="G90" i="29"/>
  <c r="G89" i="29"/>
  <c r="G88" i="29"/>
  <c r="G87" i="29"/>
  <c r="G86" i="29"/>
  <c r="G85" i="29"/>
  <c r="G84" i="29"/>
  <c r="G83" i="29"/>
  <c r="G82" i="29"/>
  <c r="G81" i="29"/>
  <c r="G80" i="29"/>
  <c r="G79" i="29"/>
  <c r="G77" i="29"/>
  <c r="G76" i="29"/>
  <c r="G75" i="29"/>
  <c r="G74" i="29"/>
  <c r="G73" i="29"/>
  <c r="G72" i="29"/>
  <c r="G71" i="29"/>
  <c r="G70" i="29"/>
  <c r="G69" i="29"/>
  <c r="G68" i="29"/>
  <c r="G67" i="29"/>
  <c r="G66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3" i="29"/>
  <c r="G32" i="29"/>
  <c r="G31" i="29"/>
  <c r="G30" i="29"/>
  <c r="G29" i="29"/>
  <c r="G28" i="29"/>
  <c r="G27" i="29"/>
  <c r="G26" i="29"/>
  <c r="G25" i="29"/>
  <c r="N24" i="29"/>
  <c r="M24" i="29"/>
  <c r="L24" i="29"/>
  <c r="G24" i="29"/>
  <c r="N23" i="29"/>
  <c r="M23" i="29"/>
  <c r="L23" i="29"/>
  <c r="G23" i="29"/>
  <c r="N22" i="29"/>
  <c r="M22" i="29"/>
  <c r="L22" i="29"/>
  <c r="G22" i="29"/>
  <c r="N21" i="29"/>
  <c r="M21" i="29"/>
  <c r="L21" i="29"/>
  <c r="G21" i="29"/>
  <c r="N20" i="29"/>
  <c r="D22" i="31" s="1"/>
  <c r="M20" i="29"/>
  <c r="C22" i="31" s="1"/>
  <c r="L20" i="29"/>
  <c r="B22" i="31" s="1"/>
  <c r="G20" i="29"/>
  <c r="N19" i="29"/>
  <c r="D21" i="31" s="1"/>
  <c r="M19" i="29"/>
  <c r="C21" i="31" s="1"/>
  <c r="L19" i="29"/>
  <c r="B21" i="31" s="1"/>
  <c r="G19" i="29"/>
  <c r="N18" i="29"/>
  <c r="D20" i="31" s="1"/>
  <c r="M18" i="29"/>
  <c r="C20" i="31" s="1"/>
  <c r="L18" i="29"/>
  <c r="B20" i="31" s="1"/>
  <c r="G18" i="29"/>
  <c r="N17" i="29"/>
  <c r="M17" i="29"/>
  <c r="L17" i="29"/>
  <c r="G17" i="29"/>
  <c r="N16" i="29"/>
  <c r="M16" i="29"/>
  <c r="L16" i="29"/>
  <c r="G16" i="29"/>
  <c r="N15" i="29"/>
  <c r="M15" i="29"/>
  <c r="L15" i="29"/>
  <c r="G15" i="29"/>
  <c r="N14" i="29"/>
  <c r="M14" i="29"/>
  <c r="L14" i="29"/>
  <c r="G14" i="29"/>
  <c r="N13" i="29"/>
  <c r="M13" i="29"/>
  <c r="L13" i="29"/>
  <c r="N12" i="29"/>
  <c r="M12" i="29"/>
  <c r="L12" i="29"/>
  <c r="G12" i="29"/>
  <c r="N11" i="29"/>
  <c r="M11" i="29"/>
  <c r="L11" i="29"/>
  <c r="G11" i="29"/>
  <c r="N10" i="29"/>
  <c r="D11" i="31" s="1"/>
  <c r="M10" i="29"/>
  <c r="C11" i="31" s="1"/>
  <c r="L10" i="29"/>
  <c r="B11" i="31" s="1"/>
  <c r="G10" i="29"/>
  <c r="N9" i="29"/>
  <c r="M9" i="29"/>
  <c r="L9" i="29"/>
  <c r="G9" i="29"/>
  <c r="N8" i="29"/>
  <c r="M8" i="29"/>
  <c r="L8" i="29"/>
  <c r="G8" i="29"/>
  <c r="N7" i="29"/>
  <c r="D8" i="31" s="1"/>
  <c r="M7" i="29"/>
  <c r="C8" i="31" s="1"/>
  <c r="L7" i="29"/>
  <c r="B8" i="31" s="1"/>
  <c r="G7" i="29"/>
  <c r="N6" i="29"/>
  <c r="D7" i="31" s="1"/>
  <c r="M6" i="29"/>
  <c r="C7" i="31" s="1"/>
  <c r="L6" i="29"/>
  <c r="B7" i="31" s="1"/>
  <c r="G6" i="29"/>
  <c r="N5" i="29"/>
  <c r="M5" i="29"/>
  <c r="L5" i="29"/>
  <c r="G5" i="29"/>
  <c r="N4" i="29"/>
  <c r="M4" i="29"/>
  <c r="L4" i="29"/>
  <c r="G4" i="29"/>
  <c r="N3" i="29"/>
  <c r="M3" i="29"/>
  <c r="L3" i="29"/>
  <c r="G3" i="29"/>
  <c r="F22" i="31" l="1"/>
  <c r="F20" i="31"/>
  <c r="F7" i="31"/>
  <c r="F11" i="31"/>
  <c r="F21" i="31"/>
  <c r="F8" i="31"/>
  <c r="O20" i="29"/>
  <c r="E22" i="31" s="1"/>
  <c r="O10" i="29"/>
  <c r="E11" i="31" s="1"/>
  <c r="O19" i="29"/>
  <c r="E21" i="31" s="1"/>
  <c r="O24" i="29"/>
  <c r="O12" i="29"/>
  <c r="O6" i="29"/>
  <c r="E7" i="31" s="1"/>
  <c r="O7" i="29"/>
  <c r="E8" i="31" s="1"/>
  <c r="O23" i="29"/>
  <c r="O8" i="29"/>
  <c r="O22" i="29"/>
  <c r="O4" i="29"/>
  <c r="G410" i="29"/>
  <c r="O9" i="29"/>
  <c r="O11" i="29"/>
  <c r="O14" i="29"/>
  <c r="O15" i="29"/>
  <c r="O17" i="29"/>
  <c r="O3" i="29"/>
  <c r="O16" i="29"/>
  <c r="O21" i="29"/>
  <c r="O13" i="29"/>
  <c r="M25" i="29"/>
  <c r="L25" i="29"/>
  <c r="N25" i="29"/>
  <c r="L37" i="29" s="1"/>
  <c r="O5" i="29"/>
  <c r="O25" i="29" l="1"/>
  <c r="L11" i="28" l="1"/>
  <c r="B12" i="31" s="1"/>
  <c r="N3" i="28"/>
  <c r="D3" i="31" s="1"/>
  <c r="M3" i="28"/>
  <c r="C3" i="31" s="1"/>
  <c r="G420" i="28"/>
  <c r="G419" i="28"/>
  <c r="G418" i="28"/>
  <c r="G417" i="28"/>
  <c r="G416" i="28"/>
  <c r="G415" i="28"/>
  <c r="G414" i="28"/>
  <c r="G413" i="28"/>
  <c r="G412" i="28"/>
  <c r="G411" i="28"/>
  <c r="G410" i="28"/>
  <c r="G409" i="28"/>
  <c r="G408" i="28"/>
  <c r="G407" i="28"/>
  <c r="G406" i="28"/>
  <c r="G405" i="28"/>
  <c r="G404" i="28"/>
  <c r="G403" i="28"/>
  <c r="G402" i="28"/>
  <c r="G401" i="28"/>
  <c r="G400" i="28"/>
  <c r="G399" i="28"/>
  <c r="G398" i="28"/>
  <c r="G397" i="28"/>
  <c r="G396" i="28"/>
  <c r="G395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80" i="28"/>
  <c r="G379" i="28"/>
  <c r="G378" i="28"/>
  <c r="G377" i="28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3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7" i="28"/>
  <c r="G276" i="28"/>
  <c r="G275" i="28"/>
  <c r="G274" i="28"/>
  <c r="G273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O24" i="28"/>
  <c r="E26" i="31" s="1"/>
  <c r="N24" i="28"/>
  <c r="D26" i="31" s="1"/>
  <c r="M24" i="28"/>
  <c r="C26" i="31" s="1"/>
  <c r="L24" i="28"/>
  <c r="B26" i="31" s="1"/>
  <c r="O23" i="28"/>
  <c r="E25" i="31" s="1"/>
  <c r="N23" i="28"/>
  <c r="D25" i="31" s="1"/>
  <c r="M23" i="28"/>
  <c r="C25" i="31" s="1"/>
  <c r="L23" i="28"/>
  <c r="B25" i="31" s="1"/>
  <c r="O22" i="28"/>
  <c r="E24" i="31" s="1"/>
  <c r="N22" i="28"/>
  <c r="D24" i="31" s="1"/>
  <c r="M22" i="28"/>
  <c r="C24" i="31" s="1"/>
  <c r="L22" i="28"/>
  <c r="B24" i="31" s="1"/>
  <c r="N21" i="28"/>
  <c r="D23" i="31" s="1"/>
  <c r="M21" i="28"/>
  <c r="C23" i="31" s="1"/>
  <c r="L21" i="28"/>
  <c r="B23" i="31" s="1"/>
  <c r="O20" i="28"/>
  <c r="N20" i="28"/>
  <c r="M20" i="28"/>
  <c r="L20" i="28"/>
  <c r="O19" i="28"/>
  <c r="N19" i="28"/>
  <c r="M19" i="28"/>
  <c r="L19" i="28"/>
  <c r="O18" i="28"/>
  <c r="E28" i="31" s="1"/>
  <c r="N18" i="28"/>
  <c r="D28" i="31" s="1"/>
  <c r="M18" i="28"/>
  <c r="C28" i="31" s="1"/>
  <c r="L18" i="28"/>
  <c r="B28" i="31" s="1"/>
  <c r="N17" i="28"/>
  <c r="D19" i="31" s="1"/>
  <c r="M17" i="28"/>
  <c r="C19" i="31" s="1"/>
  <c r="L17" i="28"/>
  <c r="B19" i="31" s="1"/>
  <c r="O16" i="28"/>
  <c r="E18" i="31" s="1"/>
  <c r="N16" i="28"/>
  <c r="D18" i="31" s="1"/>
  <c r="M16" i="28"/>
  <c r="C18" i="31" s="1"/>
  <c r="L16" i="28"/>
  <c r="B18" i="31" s="1"/>
  <c r="N15" i="28"/>
  <c r="D17" i="31" s="1"/>
  <c r="M15" i="28"/>
  <c r="C17" i="31" s="1"/>
  <c r="L15" i="28"/>
  <c r="B17" i="31" s="1"/>
  <c r="N14" i="28"/>
  <c r="D15" i="31" s="1"/>
  <c r="M14" i="28"/>
  <c r="C15" i="31" s="1"/>
  <c r="N13" i="28"/>
  <c r="D14" i="31" s="1"/>
  <c r="M13" i="28"/>
  <c r="C14" i="31" s="1"/>
  <c r="L13" i="28"/>
  <c r="B14" i="31" s="1"/>
  <c r="N12" i="28"/>
  <c r="D13" i="31" s="1"/>
  <c r="M12" i="28"/>
  <c r="C13" i="31" s="1"/>
  <c r="L12" i="28"/>
  <c r="B13" i="31" s="1"/>
  <c r="N11" i="28"/>
  <c r="D12" i="31" s="1"/>
  <c r="M11" i="28"/>
  <c r="C12" i="31" s="1"/>
  <c r="O10" i="28"/>
  <c r="N10" i="28"/>
  <c r="M10" i="28"/>
  <c r="L10" i="28"/>
  <c r="N9" i="28"/>
  <c r="D10" i="31" s="1"/>
  <c r="M9" i="28"/>
  <c r="C10" i="31" s="1"/>
  <c r="L9" i="28"/>
  <c r="B10" i="31" s="1"/>
  <c r="N8" i="28"/>
  <c r="D9" i="31" s="1"/>
  <c r="M8" i="28"/>
  <c r="C9" i="31" s="1"/>
  <c r="L8" i="28"/>
  <c r="B9" i="31" s="1"/>
  <c r="O7" i="28"/>
  <c r="N7" i="28"/>
  <c r="M7" i="28"/>
  <c r="L7" i="28"/>
  <c r="O6" i="28"/>
  <c r="E27" i="31" s="1"/>
  <c r="N6" i="28"/>
  <c r="D27" i="31" s="1"/>
  <c r="M6" i="28"/>
  <c r="C27" i="31" s="1"/>
  <c r="L6" i="28"/>
  <c r="B27" i="31" s="1"/>
  <c r="O5" i="28"/>
  <c r="E6" i="31" s="1"/>
  <c r="N5" i="28"/>
  <c r="D6" i="31" s="1"/>
  <c r="M5" i="28"/>
  <c r="C6" i="31" s="1"/>
  <c r="L5" i="28"/>
  <c r="B6" i="31" s="1"/>
  <c r="N4" i="28"/>
  <c r="D5" i="31" s="1"/>
  <c r="M4" i="28"/>
  <c r="C5" i="31" s="1"/>
  <c r="L4" i="28"/>
  <c r="B5" i="31" s="1"/>
  <c r="L3" i="28"/>
  <c r="B3" i="31" s="1"/>
  <c r="B29" i="27"/>
  <c r="F12" i="31" l="1"/>
  <c r="F26" i="31"/>
  <c r="F6" i="31"/>
  <c r="F10" i="31"/>
  <c r="F14" i="31"/>
  <c r="F19" i="31"/>
  <c r="F18" i="31"/>
  <c r="F9" i="31"/>
  <c r="C29" i="31"/>
  <c r="F23" i="31"/>
  <c r="F27" i="31"/>
  <c r="F13" i="31"/>
  <c r="F28" i="31"/>
  <c r="F17" i="31"/>
  <c r="F24" i="31"/>
  <c r="D29" i="31"/>
  <c r="F29" i="31" s="1"/>
  <c r="F3" i="31"/>
  <c r="F5" i="31"/>
  <c r="F25" i="31"/>
  <c r="O12" i="28"/>
  <c r="E13" i="31" s="1"/>
  <c r="O13" i="28"/>
  <c r="E14" i="31" s="1"/>
  <c r="O3" i="28"/>
  <c r="E3" i="31" s="1"/>
  <c r="E421" i="28"/>
  <c r="L14" i="28"/>
  <c r="D421" i="28"/>
  <c r="F421" i="28"/>
  <c r="O15" i="28"/>
  <c r="E17" i="31" s="1"/>
  <c r="O21" i="28"/>
  <c r="E23" i="31" s="1"/>
  <c r="M25" i="28"/>
  <c r="O14" i="28"/>
  <c r="E15" i="31" s="1"/>
  <c r="O4" i="28"/>
  <c r="E5" i="31" s="1"/>
  <c r="O9" i="28"/>
  <c r="E10" i="31" s="1"/>
  <c r="N25" i="28"/>
  <c r="O8" i="28"/>
  <c r="E9" i="31" s="1"/>
  <c r="O11" i="28"/>
  <c r="E12" i="31" s="1"/>
  <c r="O17" i="28"/>
  <c r="E19" i="31" s="1"/>
  <c r="F421" i="26"/>
  <c r="E421" i="26"/>
  <c r="D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O24" i="26"/>
  <c r="N24" i="26"/>
  <c r="M24" i="26"/>
  <c r="L24" i="26"/>
  <c r="G24" i="26"/>
  <c r="O23" i="26"/>
  <c r="N23" i="26"/>
  <c r="M23" i="26"/>
  <c r="L23" i="26"/>
  <c r="G23" i="26"/>
  <c r="O22" i="26"/>
  <c r="N22" i="26"/>
  <c r="M22" i="26"/>
  <c r="L22" i="26"/>
  <c r="G22" i="26"/>
  <c r="N21" i="26"/>
  <c r="M21" i="26"/>
  <c r="L21" i="26"/>
  <c r="G21" i="26"/>
  <c r="O20" i="26"/>
  <c r="N20" i="26"/>
  <c r="M20" i="26"/>
  <c r="L20" i="26"/>
  <c r="G20" i="26"/>
  <c r="O19" i="26"/>
  <c r="N19" i="26"/>
  <c r="M19" i="26"/>
  <c r="L19" i="26"/>
  <c r="G19" i="26"/>
  <c r="O18" i="26"/>
  <c r="E28" i="27" s="1"/>
  <c r="N18" i="26"/>
  <c r="D28" i="27" s="1"/>
  <c r="M18" i="26"/>
  <c r="C28" i="27" s="1"/>
  <c r="L18" i="26"/>
  <c r="B28" i="27" s="1"/>
  <c r="G18" i="26"/>
  <c r="N17" i="26"/>
  <c r="M17" i="26"/>
  <c r="L17" i="26"/>
  <c r="G17" i="26"/>
  <c r="O16" i="26"/>
  <c r="N16" i="26"/>
  <c r="M16" i="26"/>
  <c r="L16" i="26"/>
  <c r="G16" i="26"/>
  <c r="N15" i="26"/>
  <c r="M15" i="26"/>
  <c r="L15" i="26"/>
  <c r="G15" i="26"/>
  <c r="N14" i="26"/>
  <c r="M14" i="26"/>
  <c r="L14" i="26"/>
  <c r="G14" i="26"/>
  <c r="N13" i="26"/>
  <c r="M13" i="26"/>
  <c r="L13" i="26"/>
  <c r="G13" i="26"/>
  <c r="N12" i="26"/>
  <c r="M12" i="26"/>
  <c r="L12" i="26"/>
  <c r="G12" i="26"/>
  <c r="N11" i="26"/>
  <c r="M11" i="26"/>
  <c r="L11" i="26"/>
  <c r="G11" i="26"/>
  <c r="O10" i="26"/>
  <c r="N10" i="26"/>
  <c r="M10" i="26"/>
  <c r="L10" i="26"/>
  <c r="G10" i="26"/>
  <c r="N9" i="26"/>
  <c r="M9" i="26"/>
  <c r="L9" i="26"/>
  <c r="G9" i="26"/>
  <c r="N8" i="26"/>
  <c r="M8" i="26"/>
  <c r="L8" i="26"/>
  <c r="G8" i="26"/>
  <c r="O7" i="26"/>
  <c r="N7" i="26"/>
  <c r="M7" i="26"/>
  <c r="L7" i="26"/>
  <c r="G7" i="26"/>
  <c r="O6" i="26"/>
  <c r="N6" i="26"/>
  <c r="M6" i="26"/>
  <c r="L6" i="26"/>
  <c r="G6" i="26"/>
  <c r="O5" i="26"/>
  <c r="N5" i="26"/>
  <c r="M5" i="26"/>
  <c r="L5" i="26"/>
  <c r="G5" i="26"/>
  <c r="N4" i="26"/>
  <c r="M4" i="26"/>
  <c r="L4" i="26"/>
  <c r="G4" i="26"/>
  <c r="N3" i="26"/>
  <c r="M3" i="26"/>
  <c r="L3" i="26"/>
  <c r="G3" i="26"/>
  <c r="G421" i="28" l="1"/>
  <c r="L25" i="28"/>
  <c r="B15" i="31"/>
  <c r="F15" i="31" s="1"/>
  <c r="E29" i="31"/>
  <c r="O25" i="28"/>
  <c r="G421" i="26"/>
  <c r="F28" i="27"/>
  <c r="O12" i="26"/>
  <c r="B27" i="27"/>
  <c r="D27" i="27"/>
  <c r="C27" i="27"/>
  <c r="E27" i="27"/>
  <c r="O11" i="26"/>
  <c r="O4" i="26"/>
  <c r="O8" i="26"/>
  <c r="O3" i="26"/>
  <c r="N25" i="26"/>
  <c r="O14" i="26"/>
  <c r="O13" i="26"/>
  <c r="O9" i="26"/>
  <c r="O21" i="26"/>
  <c r="L25" i="26"/>
  <c r="O17" i="26"/>
  <c r="M25" i="26"/>
  <c r="O15" i="26"/>
  <c r="G63" i="25"/>
  <c r="F27" i="27" l="1"/>
  <c r="O25" i="26"/>
  <c r="F410" i="25"/>
  <c r="E410" i="25"/>
  <c r="D410" i="25"/>
  <c r="G409" i="25"/>
  <c r="G408" i="25"/>
  <c r="G407" i="25"/>
  <c r="G406" i="25"/>
  <c r="G405" i="25"/>
  <c r="G404" i="25"/>
  <c r="G403" i="25"/>
  <c r="G402" i="25"/>
  <c r="G401" i="25"/>
  <c r="G400" i="25"/>
  <c r="G399" i="25"/>
  <c r="G398" i="25"/>
  <c r="G397" i="25"/>
  <c r="G396" i="25"/>
  <c r="G395" i="25"/>
  <c r="G394" i="25"/>
  <c r="G393" i="25"/>
  <c r="G392" i="25"/>
  <c r="G391" i="25"/>
  <c r="G390" i="25"/>
  <c r="G389" i="25"/>
  <c r="G388" i="25"/>
  <c r="G387" i="25"/>
  <c r="G386" i="25"/>
  <c r="G385" i="25"/>
  <c r="G384" i="25"/>
  <c r="G383" i="25"/>
  <c r="G382" i="25"/>
  <c r="G381" i="25"/>
  <c r="G380" i="25"/>
  <c r="G379" i="25"/>
  <c r="G378" i="25"/>
  <c r="G377" i="25"/>
  <c r="G376" i="25"/>
  <c r="G375" i="25"/>
  <c r="G374" i="25"/>
  <c r="G373" i="25"/>
  <c r="G372" i="25"/>
  <c r="G371" i="25"/>
  <c r="G370" i="25"/>
  <c r="G369" i="25"/>
  <c r="G368" i="25"/>
  <c r="G367" i="25"/>
  <c r="G366" i="25"/>
  <c r="G365" i="25"/>
  <c r="G364" i="25"/>
  <c r="G363" i="25"/>
  <c r="G362" i="25"/>
  <c r="G361" i="25"/>
  <c r="G360" i="25"/>
  <c r="G359" i="25"/>
  <c r="G358" i="25"/>
  <c r="G357" i="25"/>
  <c r="G356" i="25"/>
  <c r="G355" i="25"/>
  <c r="G354" i="25"/>
  <c r="G353" i="25"/>
  <c r="G352" i="25"/>
  <c r="G351" i="25"/>
  <c r="G350" i="25"/>
  <c r="G349" i="25"/>
  <c r="G348" i="25"/>
  <c r="G347" i="25"/>
  <c r="G346" i="25"/>
  <c r="G345" i="25"/>
  <c r="G344" i="25"/>
  <c r="G343" i="25"/>
  <c r="G342" i="25"/>
  <c r="G341" i="25"/>
  <c r="G340" i="25"/>
  <c r="G339" i="25"/>
  <c r="G338" i="25"/>
  <c r="G337" i="25"/>
  <c r="G336" i="25"/>
  <c r="G335" i="25"/>
  <c r="G334" i="25"/>
  <c r="G333" i="25"/>
  <c r="G332" i="25"/>
  <c r="G331" i="25"/>
  <c r="G330" i="25"/>
  <c r="G329" i="25"/>
  <c r="G328" i="25"/>
  <c r="G327" i="25"/>
  <c r="G326" i="25"/>
  <c r="G325" i="25"/>
  <c r="G324" i="25"/>
  <c r="G323" i="25"/>
  <c r="G322" i="25"/>
  <c r="G321" i="25"/>
  <c r="G320" i="25"/>
  <c r="G319" i="25"/>
  <c r="G318" i="25"/>
  <c r="G317" i="25"/>
  <c r="G316" i="25"/>
  <c r="G315" i="25"/>
  <c r="G314" i="25"/>
  <c r="G313" i="25"/>
  <c r="G312" i="25"/>
  <c r="G311" i="25"/>
  <c r="G310" i="25"/>
  <c r="G309" i="25"/>
  <c r="G308" i="25"/>
  <c r="G307" i="25"/>
  <c r="G306" i="25"/>
  <c r="G305" i="25"/>
  <c r="G304" i="25"/>
  <c r="G303" i="25"/>
  <c r="G302" i="25"/>
  <c r="G301" i="25"/>
  <c r="G300" i="25"/>
  <c r="G299" i="25"/>
  <c r="G298" i="25"/>
  <c r="G297" i="25"/>
  <c r="G296" i="25"/>
  <c r="G295" i="25"/>
  <c r="G294" i="25"/>
  <c r="G293" i="25"/>
  <c r="G292" i="25"/>
  <c r="G291" i="25"/>
  <c r="G290" i="25"/>
  <c r="G289" i="25"/>
  <c r="G288" i="25"/>
  <c r="G287" i="25"/>
  <c r="G286" i="25"/>
  <c r="G285" i="25"/>
  <c r="G284" i="25"/>
  <c r="G283" i="25"/>
  <c r="G282" i="25"/>
  <c r="G281" i="25"/>
  <c r="G280" i="25"/>
  <c r="G279" i="25"/>
  <c r="G278" i="25"/>
  <c r="G277" i="25"/>
  <c r="G276" i="25"/>
  <c r="G275" i="25"/>
  <c r="G274" i="25"/>
  <c r="G273" i="25"/>
  <c r="G272" i="25"/>
  <c r="G271" i="25"/>
  <c r="G270" i="25"/>
  <c r="G269" i="25"/>
  <c r="G268" i="25"/>
  <c r="G267" i="25"/>
  <c r="G266" i="25"/>
  <c r="G265" i="25"/>
  <c r="G264" i="25"/>
  <c r="G263" i="25"/>
  <c r="G262" i="25"/>
  <c r="G261" i="25"/>
  <c r="G260" i="25"/>
  <c r="G259" i="25"/>
  <c r="G258" i="25"/>
  <c r="G257" i="25"/>
  <c r="G256" i="25"/>
  <c r="G255" i="25"/>
  <c r="G254" i="25"/>
  <c r="G253" i="25"/>
  <c r="G252" i="25"/>
  <c r="G251" i="25"/>
  <c r="G250" i="25"/>
  <c r="G249" i="25"/>
  <c r="G248" i="25"/>
  <c r="G247" i="25"/>
  <c r="G246" i="25"/>
  <c r="G245" i="25"/>
  <c r="G244" i="25"/>
  <c r="G243" i="25"/>
  <c r="G242" i="25"/>
  <c r="G241" i="25"/>
  <c r="G240" i="25"/>
  <c r="G239" i="25"/>
  <c r="G238" i="25"/>
  <c r="G237" i="25"/>
  <c r="G236" i="25"/>
  <c r="G235" i="25"/>
  <c r="G234" i="25"/>
  <c r="G233" i="25"/>
  <c r="G232" i="25"/>
  <c r="G231" i="25"/>
  <c r="G230" i="25"/>
  <c r="G229" i="25"/>
  <c r="G228" i="25"/>
  <c r="G227" i="25"/>
  <c r="G226" i="25"/>
  <c r="G225" i="25"/>
  <c r="G224" i="25"/>
  <c r="G223" i="25"/>
  <c r="G222" i="25"/>
  <c r="G221" i="25"/>
  <c r="G220" i="25"/>
  <c r="G219" i="25"/>
  <c r="G218" i="25"/>
  <c r="G217" i="25"/>
  <c r="G216" i="25"/>
  <c r="G215" i="25"/>
  <c r="G214" i="25"/>
  <c r="G213" i="25"/>
  <c r="G212" i="25"/>
  <c r="G211" i="25"/>
  <c r="G210" i="25"/>
  <c r="G209" i="25"/>
  <c r="G208" i="25"/>
  <c r="G207" i="25"/>
  <c r="G206" i="25"/>
  <c r="G205" i="25"/>
  <c r="G204" i="25"/>
  <c r="G203" i="25"/>
  <c r="G202" i="25"/>
  <c r="G201" i="25"/>
  <c r="G200" i="25"/>
  <c r="G199" i="25"/>
  <c r="G198" i="25"/>
  <c r="G197" i="25"/>
  <c r="G196" i="25"/>
  <c r="G195" i="25"/>
  <c r="G194" i="25"/>
  <c r="G193" i="25"/>
  <c r="G192" i="25"/>
  <c r="O18" i="25" s="1"/>
  <c r="E20" i="27" s="1"/>
  <c r="G191" i="25"/>
  <c r="G190" i="25"/>
  <c r="G189" i="25"/>
  <c r="G188" i="25"/>
  <c r="G187" i="25"/>
  <c r="G186" i="25"/>
  <c r="G185" i="25"/>
  <c r="G184" i="25"/>
  <c r="G183" i="25"/>
  <c r="G182" i="25"/>
  <c r="G181" i="25"/>
  <c r="G180" i="25"/>
  <c r="G179" i="25"/>
  <c r="G178" i="25"/>
  <c r="G177" i="25"/>
  <c r="G176" i="25"/>
  <c r="G175" i="25"/>
  <c r="G174" i="25"/>
  <c r="G173" i="25"/>
  <c r="G172" i="25"/>
  <c r="G171" i="25"/>
  <c r="G170" i="25"/>
  <c r="G169" i="25"/>
  <c r="G168" i="25"/>
  <c r="G167" i="25"/>
  <c r="G166" i="25"/>
  <c r="G165" i="25"/>
  <c r="G164" i="25"/>
  <c r="G163" i="25"/>
  <c r="G162" i="25"/>
  <c r="G161" i="25"/>
  <c r="G160" i="25"/>
  <c r="G159" i="25"/>
  <c r="G158" i="25"/>
  <c r="G157" i="25"/>
  <c r="G156" i="25"/>
  <c r="G155" i="25"/>
  <c r="G154" i="25"/>
  <c r="G153" i="25"/>
  <c r="G152" i="25"/>
  <c r="G151" i="25"/>
  <c r="G150" i="25"/>
  <c r="G149" i="25"/>
  <c r="G148" i="25"/>
  <c r="G147" i="25"/>
  <c r="G146" i="25"/>
  <c r="G145" i="25"/>
  <c r="G144" i="25"/>
  <c r="G143" i="25"/>
  <c r="G142" i="25"/>
  <c r="G141" i="25"/>
  <c r="G140" i="25"/>
  <c r="G139" i="25"/>
  <c r="G138" i="25"/>
  <c r="G137" i="25"/>
  <c r="G136" i="25"/>
  <c r="G135" i="25"/>
  <c r="G134" i="25"/>
  <c r="G133" i="25"/>
  <c r="G132" i="25"/>
  <c r="G131" i="25"/>
  <c r="G130" i="25"/>
  <c r="G129" i="25"/>
  <c r="G128" i="25"/>
  <c r="G127" i="25"/>
  <c r="G126" i="25"/>
  <c r="G125" i="25"/>
  <c r="G124" i="25"/>
  <c r="G123" i="25"/>
  <c r="G122" i="25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03" i="25"/>
  <c r="G102" i="25"/>
  <c r="G101" i="25"/>
  <c r="G100" i="25"/>
  <c r="G99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4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3" i="25"/>
  <c r="G32" i="25"/>
  <c r="G31" i="25"/>
  <c r="G30" i="25"/>
  <c r="G29" i="25"/>
  <c r="G28" i="25"/>
  <c r="G27" i="25"/>
  <c r="G26" i="25"/>
  <c r="G25" i="25"/>
  <c r="N24" i="25"/>
  <c r="D26" i="27" s="1"/>
  <c r="M24" i="25"/>
  <c r="C26" i="27" s="1"/>
  <c r="L24" i="25"/>
  <c r="B26" i="27" s="1"/>
  <c r="G24" i="25"/>
  <c r="N23" i="25"/>
  <c r="D25" i="27" s="1"/>
  <c r="M23" i="25"/>
  <c r="C25" i="27" s="1"/>
  <c r="L23" i="25"/>
  <c r="B25" i="27" s="1"/>
  <c r="G23" i="25"/>
  <c r="N22" i="25"/>
  <c r="D24" i="27" s="1"/>
  <c r="M22" i="25"/>
  <c r="C24" i="27" s="1"/>
  <c r="L22" i="25"/>
  <c r="B24" i="27" s="1"/>
  <c r="G22" i="25"/>
  <c r="N21" i="25"/>
  <c r="D23" i="27" s="1"/>
  <c r="M21" i="25"/>
  <c r="C23" i="27" s="1"/>
  <c r="L21" i="25"/>
  <c r="B23" i="27" s="1"/>
  <c r="G21" i="25"/>
  <c r="N20" i="25"/>
  <c r="D22" i="27" s="1"/>
  <c r="M20" i="25"/>
  <c r="C22" i="27" s="1"/>
  <c r="L20" i="25"/>
  <c r="B22" i="27" s="1"/>
  <c r="G20" i="25"/>
  <c r="N19" i="25"/>
  <c r="D21" i="27" s="1"/>
  <c r="M19" i="25"/>
  <c r="C21" i="27" s="1"/>
  <c r="L19" i="25"/>
  <c r="B21" i="27" s="1"/>
  <c r="G19" i="25"/>
  <c r="N18" i="25"/>
  <c r="D20" i="27" s="1"/>
  <c r="M18" i="25"/>
  <c r="C20" i="27" s="1"/>
  <c r="L18" i="25"/>
  <c r="B20" i="27" s="1"/>
  <c r="G18" i="25"/>
  <c r="N17" i="25"/>
  <c r="M17" i="25"/>
  <c r="L17" i="25"/>
  <c r="G17" i="25"/>
  <c r="N16" i="25"/>
  <c r="D18" i="27" s="1"/>
  <c r="M16" i="25"/>
  <c r="C18" i="27" s="1"/>
  <c r="L16" i="25"/>
  <c r="B18" i="27" s="1"/>
  <c r="G16" i="25"/>
  <c r="N15" i="25"/>
  <c r="M15" i="25"/>
  <c r="L15" i="25"/>
  <c r="G15" i="25"/>
  <c r="N14" i="25"/>
  <c r="M14" i="25"/>
  <c r="L14" i="25"/>
  <c r="G14" i="25"/>
  <c r="N13" i="25"/>
  <c r="D14" i="27" s="1"/>
  <c r="M13" i="25"/>
  <c r="C14" i="27" s="1"/>
  <c r="L13" i="25"/>
  <c r="B14" i="27" s="1"/>
  <c r="N12" i="25"/>
  <c r="M12" i="25"/>
  <c r="L12" i="25"/>
  <c r="G12" i="25"/>
  <c r="N11" i="25"/>
  <c r="M11" i="25"/>
  <c r="L11" i="25"/>
  <c r="G11" i="25"/>
  <c r="N10" i="25"/>
  <c r="M10" i="25"/>
  <c r="L10" i="25"/>
  <c r="G10" i="25"/>
  <c r="N9" i="25"/>
  <c r="M9" i="25"/>
  <c r="L9" i="25"/>
  <c r="G9" i="25"/>
  <c r="N8" i="25"/>
  <c r="M8" i="25"/>
  <c r="L8" i="25"/>
  <c r="G8" i="25"/>
  <c r="N7" i="25"/>
  <c r="D8" i="27" s="1"/>
  <c r="M7" i="25"/>
  <c r="C8" i="27" s="1"/>
  <c r="L7" i="25"/>
  <c r="B8" i="27" s="1"/>
  <c r="G7" i="25"/>
  <c r="N6" i="25"/>
  <c r="M6" i="25"/>
  <c r="L6" i="25"/>
  <c r="G6" i="25"/>
  <c r="N5" i="25"/>
  <c r="M5" i="25"/>
  <c r="L5" i="25"/>
  <c r="G5" i="25"/>
  <c r="N4" i="25"/>
  <c r="M4" i="25"/>
  <c r="L4" i="25"/>
  <c r="G4" i="25"/>
  <c r="N3" i="25"/>
  <c r="M3" i="25"/>
  <c r="L3" i="25"/>
  <c r="G3" i="25"/>
  <c r="F8" i="27" l="1"/>
  <c r="F20" i="27"/>
  <c r="F22" i="27"/>
  <c r="F24" i="27"/>
  <c r="F18" i="27"/>
  <c r="F26" i="27"/>
  <c r="F14" i="27"/>
  <c r="F21" i="27"/>
  <c r="F23" i="27"/>
  <c r="F25" i="27"/>
  <c r="O19" i="25"/>
  <c r="E21" i="27" s="1"/>
  <c r="O12" i="25"/>
  <c r="O10" i="25"/>
  <c r="O11" i="25"/>
  <c r="O24" i="25"/>
  <c r="E26" i="27" s="1"/>
  <c r="O3" i="25"/>
  <c r="O16" i="25"/>
  <c r="E18" i="27" s="1"/>
  <c r="O6" i="25"/>
  <c r="O20" i="25"/>
  <c r="E22" i="27" s="1"/>
  <c r="O17" i="25"/>
  <c r="O9" i="25"/>
  <c r="O14" i="25"/>
  <c r="L25" i="25"/>
  <c r="O7" i="25"/>
  <c r="E8" i="27" s="1"/>
  <c r="M25" i="25"/>
  <c r="O23" i="25"/>
  <c r="E25" i="27" s="1"/>
  <c r="O4" i="25"/>
  <c r="N25" i="25"/>
  <c r="L37" i="25" s="1"/>
  <c r="O5" i="25"/>
  <c r="O21" i="25"/>
  <c r="E23" i="27" s="1"/>
  <c r="O13" i="25"/>
  <c r="E14" i="27" s="1"/>
  <c r="G410" i="25"/>
  <c r="O15" i="25"/>
  <c r="O22" i="25"/>
  <c r="E24" i="27" s="1"/>
  <c r="O8" i="25"/>
  <c r="G89" i="24"/>
  <c r="O25" i="25" l="1"/>
  <c r="F155" i="24"/>
  <c r="E155" i="24"/>
  <c r="D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O16" i="24" s="1"/>
  <c r="E12" i="27" s="1"/>
  <c r="G22" i="24"/>
  <c r="G21" i="24"/>
  <c r="G20" i="24"/>
  <c r="G19" i="24"/>
  <c r="G18" i="24"/>
  <c r="G17" i="24"/>
  <c r="N16" i="24"/>
  <c r="D12" i="27" s="1"/>
  <c r="M16" i="24"/>
  <c r="C12" i="27" s="1"/>
  <c r="L16" i="24"/>
  <c r="B12" i="27" s="1"/>
  <c r="G16" i="24"/>
  <c r="N15" i="24"/>
  <c r="D19" i="27" s="1"/>
  <c r="M15" i="24"/>
  <c r="C19" i="27" s="1"/>
  <c r="L15" i="24"/>
  <c r="B19" i="27" s="1"/>
  <c r="G15" i="24"/>
  <c r="N14" i="24"/>
  <c r="D17" i="27" s="1"/>
  <c r="M14" i="24"/>
  <c r="C17" i="27" s="1"/>
  <c r="L14" i="24"/>
  <c r="B17" i="27" s="1"/>
  <c r="G14" i="24"/>
  <c r="N13" i="24"/>
  <c r="D16" i="27" s="1"/>
  <c r="M13" i="24"/>
  <c r="C16" i="27" s="1"/>
  <c r="L13" i="24"/>
  <c r="B16" i="27" s="1"/>
  <c r="G13" i="24"/>
  <c r="N12" i="24"/>
  <c r="D15" i="27" s="1"/>
  <c r="M12" i="24"/>
  <c r="C15" i="27" s="1"/>
  <c r="L12" i="24"/>
  <c r="B15" i="27" s="1"/>
  <c r="G12" i="24"/>
  <c r="N11" i="24"/>
  <c r="D13" i="27" s="1"/>
  <c r="M11" i="24"/>
  <c r="C13" i="27" s="1"/>
  <c r="L11" i="24"/>
  <c r="B13" i="27" s="1"/>
  <c r="G11" i="24"/>
  <c r="N10" i="24"/>
  <c r="D11" i="27" s="1"/>
  <c r="M10" i="24"/>
  <c r="C11" i="27" s="1"/>
  <c r="L10" i="24"/>
  <c r="B11" i="27" s="1"/>
  <c r="G10" i="24"/>
  <c r="O7" i="24" s="1"/>
  <c r="E7" i="27" s="1"/>
  <c r="N9" i="24"/>
  <c r="D10" i="27" s="1"/>
  <c r="M9" i="24"/>
  <c r="C10" i="27" s="1"/>
  <c r="L9" i="24"/>
  <c r="B10" i="27" s="1"/>
  <c r="G9" i="24"/>
  <c r="N8" i="24"/>
  <c r="D9" i="27" s="1"/>
  <c r="M8" i="24"/>
  <c r="C9" i="27" s="1"/>
  <c r="L8" i="24"/>
  <c r="B9" i="27" s="1"/>
  <c r="G8" i="24"/>
  <c r="N7" i="24"/>
  <c r="D7" i="27" s="1"/>
  <c r="M7" i="24"/>
  <c r="C7" i="27" s="1"/>
  <c r="L7" i="24"/>
  <c r="B7" i="27" s="1"/>
  <c r="G7" i="24"/>
  <c r="N6" i="24"/>
  <c r="D6" i="27" s="1"/>
  <c r="M6" i="24"/>
  <c r="C6" i="27" s="1"/>
  <c r="L6" i="24"/>
  <c r="B6" i="27" s="1"/>
  <c r="G6" i="24"/>
  <c r="N5" i="24"/>
  <c r="D5" i="27" s="1"/>
  <c r="M5" i="24"/>
  <c r="C5" i="27" s="1"/>
  <c r="L5" i="24"/>
  <c r="B5" i="27" s="1"/>
  <c r="G5" i="24"/>
  <c r="N4" i="24"/>
  <c r="D4" i="27" s="1"/>
  <c r="M4" i="24"/>
  <c r="C4" i="27" s="1"/>
  <c r="L4" i="24"/>
  <c r="B4" i="27" s="1"/>
  <c r="G4" i="24"/>
  <c r="N3" i="24"/>
  <c r="D3" i="27" s="1"/>
  <c r="M3" i="24"/>
  <c r="C3" i="27" s="1"/>
  <c r="L3" i="24"/>
  <c r="B3" i="27" s="1"/>
  <c r="B27" i="23"/>
  <c r="F16" i="27" l="1"/>
  <c r="F4" i="27"/>
  <c r="F6" i="27"/>
  <c r="F11" i="27"/>
  <c r="F12" i="27"/>
  <c r="F13" i="27"/>
  <c r="F9" i="27"/>
  <c r="F15" i="27"/>
  <c r="F17" i="27"/>
  <c r="F10" i="27"/>
  <c r="F19" i="27"/>
  <c r="F7" i="27"/>
  <c r="C29" i="27"/>
  <c r="D29" i="27"/>
  <c r="F29" i="27" s="1"/>
  <c r="F3" i="27"/>
  <c r="F5" i="27"/>
  <c r="O3" i="24"/>
  <c r="E3" i="27" s="1"/>
  <c r="O15" i="24"/>
  <c r="E19" i="27" s="1"/>
  <c r="O4" i="24"/>
  <c r="E4" i="27" s="1"/>
  <c r="O14" i="24"/>
  <c r="E17" i="27" s="1"/>
  <c r="L17" i="24"/>
  <c r="O13" i="24"/>
  <c r="E16" i="27" s="1"/>
  <c r="O8" i="24"/>
  <c r="E9" i="27" s="1"/>
  <c r="O5" i="24"/>
  <c r="E5" i="27" s="1"/>
  <c r="O9" i="24"/>
  <c r="E10" i="27" s="1"/>
  <c r="O6" i="24"/>
  <c r="E6" i="27" s="1"/>
  <c r="O12" i="24"/>
  <c r="E15" i="27" s="1"/>
  <c r="O10" i="24"/>
  <c r="E11" i="27" s="1"/>
  <c r="N17" i="24"/>
  <c r="O11" i="24"/>
  <c r="E13" i="27" s="1"/>
  <c r="G155" i="24"/>
  <c r="M17" i="24"/>
  <c r="L21" i="22"/>
  <c r="N9" i="22"/>
  <c r="M9" i="22"/>
  <c r="L9" i="22"/>
  <c r="N14" i="22"/>
  <c r="M14" i="22"/>
  <c r="G31" i="22"/>
  <c r="G30" i="22"/>
  <c r="M8" i="22"/>
  <c r="G420" i="22"/>
  <c r="G419" i="22"/>
  <c r="G418" i="22"/>
  <c r="G417" i="22"/>
  <c r="G416" i="22"/>
  <c r="G415" i="22"/>
  <c r="G414" i="22"/>
  <c r="G413" i="22"/>
  <c r="G412" i="22"/>
  <c r="G411" i="22"/>
  <c r="G410" i="22"/>
  <c r="G409" i="22"/>
  <c r="G408" i="22"/>
  <c r="G407" i="22"/>
  <c r="G406" i="22"/>
  <c r="G405" i="22"/>
  <c r="G404" i="22"/>
  <c r="G403" i="22"/>
  <c r="G402" i="22"/>
  <c r="G401" i="22"/>
  <c r="G400" i="22"/>
  <c r="G399" i="22"/>
  <c r="G398" i="22"/>
  <c r="G397" i="22"/>
  <c r="G396" i="22"/>
  <c r="G395" i="22"/>
  <c r="G394" i="22"/>
  <c r="G393" i="22"/>
  <c r="G392" i="22"/>
  <c r="G391" i="22"/>
  <c r="G390" i="22"/>
  <c r="G389" i="22"/>
  <c r="G388" i="22"/>
  <c r="G387" i="22"/>
  <c r="G386" i="22"/>
  <c r="G385" i="22"/>
  <c r="G384" i="22"/>
  <c r="G383" i="22"/>
  <c r="G382" i="22"/>
  <c r="G381" i="22"/>
  <c r="G380" i="22"/>
  <c r="G379" i="22"/>
  <c r="G378" i="22"/>
  <c r="G377" i="22"/>
  <c r="G376" i="22"/>
  <c r="G375" i="22"/>
  <c r="G374" i="22"/>
  <c r="G373" i="22"/>
  <c r="G372" i="22"/>
  <c r="G371" i="22"/>
  <c r="G370" i="22"/>
  <c r="G369" i="22"/>
  <c r="G368" i="22"/>
  <c r="G367" i="22"/>
  <c r="G366" i="22"/>
  <c r="G365" i="22"/>
  <c r="G364" i="22"/>
  <c r="G363" i="22"/>
  <c r="G362" i="22"/>
  <c r="G361" i="22"/>
  <c r="G360" i="22"/>
  <c r="G359" i="22"/>
  <c r="G358" i="22"/>
  <c r="G357" i="22"/>
  <c r="G356" i="22"/>
  <c r="G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G342" i="22"/>
  <c r="G341" i="22"/>
  <c r="G340" i="22"/>
  <c r="G339" i="22"/>
  <c r="G338" i="22"/>
  <c r="G337" i="22"/>
  <c r="G336" i="22"/>
  <c r="G335" i="22"/>
  <c r="G334" i="22"/>
  <c r="G333" i="22"/>
  <c r="G332" i="22"/>
  <c r="G331" i="22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G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G287" i="22"/>
  <c r="G286" i="22"/>
  <c r="G285" i="22"/>
  <c r="G284" i="22"/>
  <c r="G283" i="22"/>
  <c r="G282" i="22"/>
  <c r="G281" i="22"/>
  <c r="G280" i="22"/>
  <c r="G279" i="22"/>
  <c r="G278" i="22"/>
  <c r="G277" i="22"/>
  <c r="G276" i="22"/>
  <c r="G275" i="22"/>
  <c r="G274" i="22"/>
  <c r="G273" i="22"/>
  <c r="G272" i="22"/>
  <c r="G271" i="22"/>
  <c r="G270" i="22"/>
  <c r="G269" i="22"/>
  <c r="G268" i="22"/>
  <c r="G267" i="22"/>
  <c r="G266" i="22"/>
  <c r="G265" i="22"/>
  <c r="G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G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G188" i="22"/>
  <c r="G187" i="22"/>
  <c r="G186" i="22"/>
  <c r="G185" i="22"/>
  <c r="G184" i="22"/>
  <c r="G183" i="22"/>
  <c r="G182" i="22"/>
  <c r="G181" i="22"/>
  <c r="G180" i="22"/>
  <c r="G179" i="22"/>
  <c r="G178" i="22"/>
  <c r="G177" i="22"/>
  <c r="G176" i="22"/>
  <c r="G175" i="22"/>
  <c r="G174" i="22"/>
  <c r="G173" i="22"/>
  <c r="G172" i="22"/>
  <c r="G171" i="22"/>
  <c r="G170" i="22"/>
  <c r="G169" i="22"/>
  <c r="G168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29" i="22"/>
  <c r="G28" i="22"/>
  <c r="G27" i="22"/>
  <c r="G26" i="22"/>
  <c r="G25" i="22"/>
  <c r="O24" i="22"/>
  <c r="N24" i="22"/>
  <c r="M24" i="22"/>
  <c r="L24" i="22"/>
  <c r="G24" i="22"/>
  <c r="O23" i="22"/>
  <c r="N23" i="22"/>
  <c r="M23" i="22"/>
  <c r="L23" i="22"/>
  <c r="G23" i="22"/>
  <c r="O22" i="22"/>
  <c r="N22" i="22"/>
  <c r="M22" i="22"/>
  <c r="L22" i="22"/>
  <c r="G22" i="22"/>
  <c r="N21" i="22"/>
  <c r="M21" i="22"/>
  <c r="G21" i="22"/>
  <c r="O20" i="22"/>
  <c r="N20" i="22"/>
  <c r="M20" i="22"/>
  <c r="L20" i="22"/>
  <c r="G20" i="22"/>
  <c r="O19" i="22"/>
  <c r="N19" i="22"/>
  <c r="M19" i="22"/>
  <c r="L19" i="22"/>
  <c r="G19" i="22"/>
  <c r="O18" i="22"/>
  <c r="N18" i="22"/>
  <c r="M18" i="22"/>
  <c r="L18" i="22"/>
  <c r="G18" i="22"/>
  <c r="N17" i="22"/>
  <c r="M17" i="22"/>
  <c r="L17" i="22"/>
  <c r="G17" i="22"/>
  <c r="O16" i="22"/>
  <c r="N16" i="22"/>
  <c r="M16" i="22"/>
  <c r="L16" i="22"/>
  <c r="G16" i="22"/>
  <c r="N15" i="22"/>
  <c r="M15" i="22"/>
  <c r="L15" i="22"/>
  <c r="G15" i="22"/>
  <c r="L14" i="22"/>
  <c r="G14" i="22"/>
  <c r="N13" i="22"/>
  <c r="M13" i="22"/>
  <c r="L13" i="22"/>
  <c r="G13" i="22"/>
  <c r="N12" i="22"/>
  <c r="M12" i="22"/>
  <c r="L12" i="22"/>
  <c r="G12" i="22"/>
  <c r="N11" i="22"/>
  <c r="M11" i="22"/>
  <c r="L11" i="22"/>
  <c r="G11" i="22"/>
  <c r="O10" i="22"/>
  <c r="N10" i="22"/>
  <c r="M10" i="22"/>
  <c r="L10" i="22"/>
  <c r="G10" i="22"/>
  <c r="G9" i="22"/>
  <c r="L8" i="22"/>
  <c r="G8" i="22"/>
  <c r="O7" i="22"/>
  <c r="N7" i="22"/>
  <c r="M7" i="22"/>
  <c r="L7" i="22"/>
  <c r="G7" i="22"/>
  <c r="O6" i="22"/>
  <c r="N6" i="22"/>
  <c r="M6" i="22"/>
  <c r="L6" i="22"/>
  <c r="G6" i="22"/>
  <c r="O5" i="22"/>
  <c r="N5" i="22"/>
  <c r="M5" i="22"/>
  <c r="L5" i="22"/>
  <c r="G5" i="22"/>
  <c r="N4" i="22"/>
  <c r="M4" i="22"/>
  <c r="L4" i="22"/>
  <c r="G4" i="22"/>
  <c r="N3" i="22"/>
  <c r="M3" i="22"/>
  <c r="L3" i="22"/>
  <c r="G3" i="22"/>
  <c r="E29" i="27" l="1"/>
  <c r="O17" i="24"/>
  <c r="O12" i="22"/>
  <c r="O11" i="22"/>
  <c r="D421" i="22"/>
  <c r="E421" i="22"/>
  <c r="N8" i="22"/>
  <c r="N25" i="22" s="1"/>
  <c r="F421" i="22"/>
  <c r="O4" i="22"/>
  <c r="O8" i="22"/>
  <c r="G421" i="22"/>
  <c r="O13" i="22"/>
  <c r="O9" i="22"/>
  <c r="O21" i="22"/>
  <c r="O14" i="22"/>
  <c r="O3" i="22"/>
  <c r="L25" i="22"/>
  <c r="O17" i="22"/>
  <c r="M25" i="22"/>
  <c r="O15" i="22"/>
  <c r="O25" i="22" l="1"/>
  <c r="D155" i="21" l="1"/>
  <c r="F155" i="21"/>
  <c r="E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O16" i="21" s="1"/>
  <c r="G22" i="21"/>
  <c r="G21" i="21"/>
  <c r="G20" i="21"/>
  <c r="G19" i="21"/>
  <c r="G18" i="21"/>
  <c r="G17" i="21"/>
  <c r="N16" i="21"/>
  <c r="M16" i="21"/>
  <c r="L16" i="21"/>
  <c r="G16" i="21"/>
  <c r="N15" i="21"/>
  <c r="M15" i="21"/>
  <c r="L15" i="21"/>
  <c r="G15" i="21"/>
  <c r="N14" i="21"/>
  <c r="M14" i="21"/>
  <c r="L14" i="21"/>
  <c r="G14" i="21"/>
  <c r="N13" i="21"/>
  <c r="D16" i="23" s="1"/>
  <c r="M13" i="21"/>
  <c r="C16" i="23" s="1"/>
  <c r="L13" i="21"/>
  <c r="B16" i="23" s="1"/>
  <c r="G13" i="21"/>
  <c r="N12" i="21"/>
  <c r="M12" i="21"/>
  <c r="L12" i="21"/>
  <c r="G12" i="21"/>
  <c r="N11" i="21"/>
  <c r="M11" i="21"/>
  <c r="L11" i="21"/>
  <c r="G11" i="21"/>
  <c r="N10" i="21"/>
  <c r="M10" i="21"/>
  <c r="L10" i="21"/>
  <c r="G10" i="21"/>
  <c r="O7" i="21" s="1"/>
  <c r="N9" i="21"/>
  <c r="M9" i="21"/>
  <c r="L9" i="21"/>
  <c r="G9" i="21"/>
  <c r="N8" i="21"/>
  <c r="M8" i="21"/>
  <c r="L8" i="21"/>
  <c r="G8" i="21"/>
  <c r="N7" i="21"/>
  <c r="M7" i="21"/>
  <c r="L7" i="21"/>
  <c r="G7" i="21"/>
  <c r="N6" i="21"/>
  <c r="M6" i="21"/>
  <c r="L6" i="21"/>
  <c r="G6" i="21"/>
  <c r="N5" i="21"/>
  <c r="M5" i="21"/>
  <c r="G5" i="21"/>
  <c r="N4" i="21"/>
  <c r="D4" i="23" s="1"/>
  <c r="M4" i="21"/>
  <c r="C4" i="23" s="1"/>
  <c r="L4" i="21"/>
  <c r="B4" i="23" s="1"/>
  <c r="G4" i="21"/>
  <c r="N3" i="21"/>
  <c r="M3" i="21"/>
  <c r="L3" i="21"/>
  <c r="F4" i="23" l="1"/>
  <c r="F16" i="23"/>
  <c r="O6" i="21"/>
  <c r="O13" i="21"/>
  <c r="E16" i="23" s="1"/>
  <c r="O14" i="21"/>
  <c r="O9" i="21"/>
  <c r="O15" i="21"/>
  <c r="O3" i="21"/>
  <c r="O4" i="21"/>
  <c r="E4" i="23" s="1"/>
  <c r="L5" i="21"/>
  <c r="L17" i="21" s="1"/>
  <c r="O10" i="21"/>
  <c r="O8" i="21"/>
  <c r="O5" i="21"/>
  <c r="O12" i="21"/>
  <c r="M17" i="21"/>
  <c r="G155" i="21"/>
  <c r="N17" i="21"/>
  <c r="O11" i="21"/>
  <c r="O17" i="21" l="1"/>
  <c r="F410" i="20" l="1"/>
  <c r="E410" i="20"/>
  <c r="D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O18" i="20" s="1"/>
  <c r="E20" i="23" s="1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3" i="20"/>
  <c r="G32" i="20"/>
  <c r="G31" i="20"/>
  <c r="G30" i="20"/>
  <c r="G29" i="20"/>
  <c r="G28" i="20"/>
  <c r="G27" i="20"/>
  <c r="G26" i="20"/>
  <c r="G25" i="20"/>
  <c r="N24" i="20"/>
  <c r="D26" i="23" s="1"/>
  <c r="M24" i="20"/>
  <c r="C26" i="23" s="1"/>
  <c r="L24" i="20"/>
  <c r="B26" i="23" s="1"/>
  <c r="G24" i="20"/>
  <c r="N23" i="20"/>
  <c r="D25" i="23" s="1"/>
  <c r="M23" i="20"/>
  <c r="C25" i="23" s="1"/>
  <c r="L23" i="20"/>
  <c r="B25" i="23" s="1"/>
  <c r="F25" i="23" s="1"/>
  <c r="G23" i="20"/>
  <c r="N22" i="20"/>
  <c r="D24" i="23" s="1"/>
  <c r="M22" i="20"/>
  <c r="C24" i="23" s="1"/>
  <c r="L22" i="20"/>
  <c r="B24" i="23" s="1"/>
  <c r="G22" i="20"/>
  <c r="N21" i="20"/>
  <c r="D23" i="23" s="1"/>
  <c r="M21" i="20"/>
  <c r="C23" i="23" s="1"/>
  <c r="L21" i="20"/>
  <c r="B23" i="23" s="1"/>
  <c r="G21" i="20"/>
  <c r="N20" i="20"/>
  <c r="D22" i="23" s="1"/>
  <c r="M20" i="20"/>
  <c r="C22" i="23" s="1"/>
  <c r="L20" i="20"/>
  <c r="B22" i="23" s="1"/>
  <c r="G20" i="20"/>
  <c r="N19" i="20"/>
  <c r="D21" i="23" s="1"/>
  <c r="M19" i="20"/>
  <c r="C21" i="23" s="1"/>
  <c r="L19" i="20"/>
  <c r="B21" i="23" s="1"/>
  <c r="G19" i="20"/>
  <c r="N18" i="20"/>
  <c r="D20" i="23" s="1"/>
  <c r="M18" i="20"/>
  <c r="C20" i="23" s="1"/>
  <c r="L18" i="20"/>
  <c r="B20" i="23" s="1"/>
  <c r="G18" i="20"/>
  <c r="N17" i="20"/>
  <c r="D19" i="23" s="1"/>
  <c r="M17" i="20"/>
  <c r="C19" i="23" s="1"/>
  <c r="L17" i="20"/>
  <c r="B19" i="23" s="1"/>
  <c r="F19" i="23" s="1"/>
  <c r="G17" i="20"/>
  <c r="N16" i="20"/>
  <c r="D18" i="23" s="1"/>
  <c r="M16" i="20"/>
  <c r="C18" i="23" s="1"/>
  <c r="L16" i="20"/>
  <c r="B18" i="23" s="1"/>
  <c r="G16" i="20"/>
  <c r="N15" i="20"/>
  <c r="D17" i="23" s="1"/>
  <c r="M15" i="20"/>
  <c r="C17" i="23" s="1"/>
  <c r="L15" i="20"/>
  <c r="B17" i="23" s="1"/>
  <c r="G15" i="20"/>
  <c r="N14" i="20"/>
  <c r="D15" i="23" s="1"/>
  <c r="M14" i="20"/>
  <c r="C15" i="23" s="1"/>
  <c r="L14" i="20"/>
  <c r="B15" i="23" s="1"/>
  <c r="G14" i="20"/>
  <c r="N13" i="20"/>
  <c r="D14" i="23" s="1"/>
  <c r="M13" i="20"/>
  <c r="C14" i="23" s="1"/>
  <c r="L13" i="20"/>
  <c r="B14" i="23" s="1"/>
  <c r="N12" i="20"/>
  <c r="D13" i="23" s="1"/>
  <c r="M12" i="20"/>
  <c r="C13" i="23" s="1"/>
  <c r="L12" i="20"/>
  <c r="B13" i="23" s="1"/>
  <c r="G12" i="20"/>
  <c r="N11" i="20"/>
  <c r="D12" i="23" s="1"/>
  <c r="M11" i="20"/>
  <c r="C12" i="23" s="1"/>
  <c r="L11" i="20"/>
  <c r="B12" i="23" s="1"/>
  <c r="G11" i="20"/>
  <c r="N10" i="20"/>
  <c r="D11" i="23" s="1"/>
  <c r="M10" i="20"/>
  <c r="C11" i="23" s="1"/>
  <c r="L10" i="20"/>
  <c r="B11" i="23" s="1"/>
  <c r="G10" i="20"/>
  <c r="N9" i="20"/>
  <c r="D10" i="23" s="1"/>
  <c r="M9" i="20"/>
  <c r="C10" i="23" s="1"/>
  <c r="L9" i="20"/>
  <c r="B10" i="23" s="1"/>
  <c r="G9" i="20"/>
  <c r="N8" i="20"/>
  <c r="D9" i="23" s="1"/>
  <c r="M8" i="20"/>
  <c r="C9" i="23" s="1"/>
  <c r="L8" i="20"/>
  <c r="B9" i="23" s="1"/>
  <c r="G8" i="20"/>
  <c r="N7" i="20"/>
  <c r="D8" i="23" s="1"/>
  <c r="M7" i="20"/>
  <c r="C8" i="23" s="1"/>
  <c r="L7" i="20"/>
  <c r="B8" i="23" s="1"/>
  <c r="G7" i="20"/>
  <c r="N6" i="20"/>
  <c r="D7" i="23" s="1"/>
  <c r="M6" i="20"/>
  <c r="C7" i="23" s="1"/>
  <c r="L6" i="20"/>
  <c r="B7" i="23" s="1"/>
  <c r="G6" i="20"/>
  <c r="N5" i="20"/>
  <c r="D6" i="23" s="1"/>
  <c r="M5" i="20"/>
  <c r="C6" i="23" s="1"/>
  <c r="L5" i="20"/>
  <c r="B6" i="23" s="1"/>
  <c r="G5" i="20"/>
  <c r="N4" i="20"/>
  <c r="D5" i="23" s="1"/>
  <c r="M4" i="20"/>
  <c r="C5" i="23" s="1"/>
  <c r="L4" i="20"/>
  <c r="B5" i="23" s="1"/>
  <c r="G4" i="20"/>
  <c r="N3" i="20"/>
  <c r="D3" i="23" s="1"/>
  <c r="M3" i="20"/>
  <c r="C3" i="23" s="1"/>
  <c r="L3" i="20"/>
  <c r="B3" i="23" s="1"/>
  <c r="G3" i="20"/>
  <c r="B27" i="19"/>
  <c r="F15" i="23" l="1"/>
  <c r="F22" i="23"/>
  <c r="F7" i="23"/>
  <c r="F11" i="23"/>
  <c r="F14" i="23"/>
  <c r="F23" i="23"/>
  <c r="F18" i="23"/>
  <c r="F5" i="23"/>
  <c r="F9" i="23"/>
  <c r="F13" i="23"/>
  <c r="F17" i="23"/>
  <c r="F21" i="23"/>
  <c r="C27" i="23"/>
  <c r="D27" i="23"/>
  <c r="F27" i="23" s="1"/>
  <c r="F3" i="23"/>
  <c r="F6" i="23"/>
  <c r="F8" i="23"/>
  <c r="F10" i="23"/>
  <c r="F12" i="23"/>
  <c r="F24" i="23"/>
  <c r="F26" i="23"/>
  <c r="F20" i="23"/>
  <c r="O20" i="20"/>
  <c r="E22" i="23" s="1"/>
  <c r="O22" i="20"/>
  <c r="E24" i="23" s="1"/>
  <c r="O7" i="20"/>
  <c r="E8" i="23" s="1"/>
  <c r="O6" i="20"/>
  <c r="E7" i="23" s="1"/>
  <c r="O23" i="20"/>
  <c r="E25" i="23" s="1"/>
  <c r="O19" i="20"/>
  <c r="E21" i="23" s="1"/>
  <c r="O12" i="20"/>
  <c r="E13" i="23" s="1"/>
  <c r="O9" i="20"/>
  <c r="E10" i="23" s="1"/>
  <c r="O14" i="20"/>
  <c r="E15" i="23" s="1"/>
  <c r="O4" i="20"/>
  <c r="E5" i="23" s="1"/>
  <c r="O10" i="20"/>
  <c r="E11" i="23" s="1"/>
  <c r="O24" i="20"/>
  <c r="E26" i="23" s="1"/>
  <c r="L25" i="20"/>
  <c r="M25" i="20"/>
  <c r="O5" i="20"/>
  <c r="E6" i="23" s="1"/>
  <c r="G410" i="20"/>
  <c r="O11" i="20"/>
  <c r="E12" i="23" s="1"/>
  <c r="O15" i="20"/>
  <c r="E17" i="23" s="1"/>
  <c r="O17" i="20"/>
  <c r="E19" i="23" s="1"/>
  <c r="O3" i="20"/>
  <c r="E3" i="23" s="1"/>
  <c r="O16" i="20"/>
  <c r="E18" i="23" s="1"/>
  <c r="O21" i="20"/>
  <c r="E23" i="23" s="1"/>
  <c r="O13" i="20"/>
  <c r="E14" i="23" s="1"/>
  <c r="N25" i="20"/>
  <c r="L37" i="20" s="1"/>
  <c r="O8" i="20"/>
  <c r="E9" i="23" s="1"/>
  <c r="F155" i="18"/>
  <c r="E155" i="18"/>
  <c r="L11" i="18"/>
  <c r="G69" i="18"/>
  <c r="D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0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O16" i="18" s="1"/>
  <c r="G22" i="18"/>
  <c r="G21" i="18"/>
  <c r="G20" i="18"/>
  <c r="G19" i="18"/>
  <c r="G18" i="18"/>
  <c r="G17" i="18"/>
  <c r="N16" i="18"/>
  <c r="M16" i="18"/>
  <c r="L16" i="18"/>
  <c r="G16" i="18"/>
  <c r="N15" i="18"/>
  <c r="M15" i="18"/>
  <c r="L15" i="18"/>
  <c r="G15" i="18"/>
  <c r="N14" i="18"/>
  <c r="M14" i="18"/>
  <c r="L14" i="18"/>
  <c r="G14" i="18"/>
  <c r="N13" i="18"/>
  <c r="D16" i="19" s="1"/>
  <c r="M13" i="18"/>
  <c r="C16" i="19" s="1"/>
  <c r="L13" i="18"/>
  <c r="B16" i="19" s="1"/>
  <c r="G13" i="18"/>
  <c r="N12" i="18"/>
  <c r="M12" i="18"/>
  <c r="L12" i="18"/>
  <c r="G12" i="18"/>
  <c r="N11" i="18"/>
  <c r="M11" i="18"/>
  <c r="G11" i="18"/>
  <c r="N10" i="18"/>
  <c r="M10" i="18"/>
  <c r="L10" i="18"/>
  <c r="G10" i="18"/>
  <c r="O7" i="18" s="1"/>
  <c r="N9" i="18"/>
  <c r="M9" i="18"/>
  <c r="L9" i="18"/>
  <c r="G9" i="18"/>
  <c r="N8" i="18"/>
  <c r="M8" i="18"/>
  <c r="L8" i="18"/>
  <c r="G8" i="18"/>
  <c r="N7" i="18"/>
  <c r="M7" i="18"/>
  <c r="L7" i="18"/>
  <c r="G7" i="18"/>
  <c r="N6" i="18"/>
  <c r="M6" i="18"/>
  <c r="L6" i="18"/>
  <c r="G6" i="18"/>
  <c r="N5" i="18"/>
  <c r="M5" i="18"/>
  <c r="L5" i="18"/>
  <c r="G5" i="18"/>
  <c r="N4" i="18"/>
  <c r="D4" i="19" s="1"/>
  <c r="M4" i="18"/>
  <c r="C4" i="19" s="1"/>
  <c r="L4" i="18"/>
  <c r="B4" i="19" s="1"/>
  <c r="F4" i="19" s="1"/>
  <c r="G4" i="18"/>
  <c r="N3" i="18"/>
  <c r="M3" i="18"/>
  <c r="L3" i="18"/>
  <c r="E27" i="23" l="1"/>
  <c r="O25" i="20"/>
  <c r="F16" i="19"/>
  <c r="O15" i="18"/>
  <c r="O6" i="18"/>
  <c r="O10" i="18"/>
  <c r="O4" i="18"/>
  <c r="E4" i="19" s="1"/>
  <c r="O9" i="18"/>
  <c r="O14" i="18"/>
  <c r="O13" i="18"/>
  <c r="E16" i="19" s="1"/>
  <c r="O3" i="18"/>
  <c r="G71" i="18"/>
  <c r="O11" i="18" s="1"/>
  <c r="O8" i="18"/>
  <c r="O5" i="18"/>
  <c r="O12" i="18"/>
  <c r="M17" i="18"/>
  <c r="N17" i="18"/>
  <c r="L17" i="18"/>
  <c r="G155" i="18" l="1"/>
  <c r="O17" i="18"/>
  <c r="G66" i="17" l="1"/>
  <c r="G63" i="17"/>
  <c r="G61" i="17"/>
  <c r="G59" i="17"/>
  <c r="G58" i="17"/>
  <c r="G60" i="17"/>
  <c r="G62" i="17"/>
  <c r="G64" i="17"/>
  <c r="G65" i="17"/>
  <c r="G67" i="17"/>
  <c r="G56" i="17" l="1"/>
  <c r="G55" i="17"/>
  <c r="G52" i="17"/>
  <c r="G51" i="17"/>
  <c r="G50" i="17"/>
  <c r="G53" i="17"/>
  <c r="G54" i="17"/>
  <c r="G57" i="17"/>
  <c r="G49" i="17"/>
  <c r="G43" i="17" l="1"/>
  <c r="G42" i="17"/>
  <c r="G40" i="17"/>
  <c r="G39" i="17"/>
  <c r="G38" i="17"/>
  <c r="G41" i="17"/>
  <c r="G44" i="17"/>
  <c r="G45" i="17"/>
  <c r="G46" i="17"/>
  <c r="G47" i="17"/>
  <c r="G48" i="17"/>
  <c r="F421" i="17" l="1"/>
  <c r="E421" i="17"/>
  <c r="L14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7" i="17"/>
  <c r="G76" i="17"/>
  <c r="G75" i="17"/>
  <c r="G74" i="17"/>
  <c r="G73" i="17"/>
  <c r="G72" i="17"/>
  <c r="G71" i="17"/>
  <c r="G70" i="17"/>
  <c r="G69" i="17"/>
  <c r="G6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O24" i="17"/>
  <c r="N24" i="17"/>
  <c r="M24" i="17"/>
  <c r="L24" i="17"/>
  <c r="G24" i="17"/>
  <c r="O23" i="17"/>
  <c r="N23" i="17"/>
  <c r="M23" i="17"/>
  <c r="L23" i="17"/>
  <c r="G23" i="17"/>
  <c r="O22" i="17"/>
  <c r="N22" i="17"/>
  <c r="M22" i="17"/>
  <c r="L22" i="17"/>
  <c r="G22" i="17"/>
  <c r="N21" i="17"/>
  <c r="M21" i="17"/>
  <c r="L21" i="17"/>
  <c r="G21" i="17"/>
  <c r="O20" i="17"/>
  <c r="N20" i="17"/>
  <c r="M20" i="17"/>
  <c r="L20" i="17"/>
  <c r="G20" i="17"/>
  <c r="O19" i="17"/>
  <c r="N19" i="17"/>
  <c r="M19" i="17"/>
  <c r="L19" i="17"/>
  <c r="G19" i="17"/>
  <c r="O18" i="17"/>
  <c r="N18" i="17"/>
  <c r="M18" i="17"/>
  <c r="L18" i="17"/>
  <c r="G18" i="17"/>
  <c r="N17" i="17"/>
  <c r="M17" i="17"/>
  <c r="L17" i="17"/>
  <c r="G17" i="17"/>
  <c r="O16" i="17"/>
  <c r="N16" i="17"/>
  <c r="M16" i="17"/>
  <c r="L16" i="17"/>
  <c r="G16" i="17"/>
  <c r="M15" i="17"/>
  <c r="L15" i="17"/>
  <c r="G15" i="17"/>
  <c r="N14" i="17"/>
  <c r="M14" i="17"/>
  <c r="G14" i="17"/>
  <c r="N13" i="17"/>
  <c r="M13" i="17"/>
  <c r="L13" i="17"/>
  <c r="G13" i="17"/>
  <c r="O12" i="17"/>
  <c r="N12" i="17"/>
  <c r="M12" i="17"/>
  <c r="L12" i="17"/>
  <c r="G12" i="17"/>
  <c r="N11" i="17"/>
  <c r="M11" i="17"/>
  <c r="L11" i="17"/>
  <c r="G11" i="17"/>
  <c r="O10" i="17"/>
  <c r="N10" i="17"/>
  <c r="M10" i="17"/>
  <c r="L10" i="17"/>
  <c r="G10" i="17"/>
  <c r="N9" i="17"/>
  <c r="M9" i="17"/>
  <c r="L9" i="17"/>
  <c r="G9" i="17"/>
  <c r="O3" i="17" s="1"/>
  <c r="N8" i="17"/>
  <c r="M8" i="17"/>
  <c r="L8" i="17"/>
  <c r="G8" i="17"/>
  <c r="O7" i="17"/>
  <c r="N7" i="17"/>
  <c r="M7" i="17"/>
  <c r="L7" i="17"/>
  <c r="O6" i="17"/>
  <c r="N6" i="17"/>
  <c r="M6" i="17"/>
  <c r="L6" i="17"/>
  <c r="O5" i="17"/>
  <c r="N5" i="17"/>
  <c r="M5" i="17"/>
  <c r="L5" i="17"/>
  <c r="G5" i="17"/>
  <c r="N4" i="17"/>
  <c r="L4" i="17"/>
  <c r="G4" i="17"/>
  <c r="N3" i="17"/>
  <c r="L3" i="17"/>
  <c r="G3" i="17"/>
  <c r="O8" i="17" l="1"/>
  <c r="O11" i="17"/>
  <c r="O21" i="17"/>
  <c r="O17" i="17"/>
  <c r="M3" i="17"/>
  <c r="G6" i="17"/>
  <c r="O15" i="17" s="1"/>
  <c r="N15" i="17"/>
  <c r="N25" i="17" s="1"/>
  <c r="D421" i="17"/>
  <c r="G7" i="17"/>
  <c r="O14" i="17" s="1"/>
  <c r="M4" i="17"/>
  <c r="O4" i="17"/>
  <c r="O9" i="17"/>
  <c r="O13" i="17"/>
  <c r="L25" i="17"/>
  <c r="G421" i="17" l="1"/>
  <c r="M25" i="17"/>
  <c r="O25" i="17"/>
  <c r="G84" i="16" l="1"/>
  <c r="F410" i="16"/>
  <c r="G23" i="16"/>
  <c r="G27" i="16"/>
  <c r="E410" i="16"/>
  <c r="G409" i="16"/>
  <c r="G408" i="16"/>
  <c r="G407" i="16"/>
  <c r="G406" i="16"/>
  <c r="G405" i="16"/>
  <c r="G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G377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1" i="16"/>
  <c r="G360" i="16"/>
  <c r="G359" i="16"/>
  <c r="G358" i="16"/>
  <c r="G357" i="16"/>
  <c r="G356" i="16"/>
  <c r="G355" i="16"/>
  <c r="G354" i="16"/>
  <c r="G353" i="16"/>
  <c r="G352" i="16"/>
  <c r="G351" i="16"/>
  <c r="G350" i="16"/>
  <c r="G349" i="16"/>
  <c r="G348" i="16"/>
  <c r="G347" i="16"/>
  <c r="G346" i="16"/>
  <c r="G345" i="16"/>
  <c r="G344" i="16"/>
  <c r="G343" i="16"/>
  <c r="G342" i="16"/>
  <c r="G341" i="16"/>
  <c r="G340" i="16"/>
  <c r="G339" i="16"/>
  <c r="G338" i="16"/>
  <c r="G337" i="16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G264" i="16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O18" i="16" s="1"/>
  <c r="E20" i="19" s="1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3" i="16"/>
  <c r="G82" i="16"/>
  <c r="G81" i="16"/>
  <c r="G80" i="16"/>
  <c r="G79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3" i="16"/>
  <c r="G32" i="16"/>
  <c r="G31" i="16"/>
  <c r="G30" i="16"/>
  <c r="G29" i="16"/>
  <c r="G28" i="16"/>
  <c r="G26" i="16"/>
  <c r="G25" i="16"/>
  <c r="N24" i="16"/>
  <c r="D26" i="19" s="1"/>
  <c r="M24" i="16"/>
  <c r="C26" i="19" s="1"/>
  <c r="L24" i="16"/>
  <c r="B26" i="19" s="1"/>
  <c r="G24" i="16"/>
  <c r="N23" i="16"/>
  <c r="D25" i="19" s="1"/>
  <c r="M23" i="16"/>
  <c r="C25" i="19" s="1"/>
  <c r="L23" i="16"/>
  <c r="B25" i="19" s="1"/>
  <c r="N22" i="16"/>
  <c r="D24" i="19" s="1"/>
  <c r="M22" i="16"/>
  <c r="C24" i="19" s="1"/>
  <c r="L22" i="16"/>
  <c r="B24" i="19" s="1"/>
  <c r="G22" i="16"/>
  <c r="N21" i="16"/>
  <c r="D23" i="19" s="1"/>
  <c r="M21" i="16"/>
  <c r="C23" i="19" s="1"/>
  <c r="L21" i="16"/>
  <c r="B23" i="19" s="1"/>
  <c r="G21" i="16"/>
  <c r="N20" i="16"/>
  <c r="D22" i="19" s="1"/>
  <c r="M20" i="16"/>
  <c r="C22" i="19" s="1"/>
  <c r="L20" i="16"/>
  <c r="B22" i="19" s="1"/>
  <c r="G20" i="16"/>
  <c r="N19" i="16"/>
  <c r="D21" i="19" s="1"/>
  <c r="M19" i="16"/>
  <c r="C21" i="19" s="1"/>
  <c r="L19" i="16"/>
  <c r="B21" i="19" s="1"/>
  <c r="G19" i="16"/>
  <c r="N18" i="16"/>
  <c r="D20" i="19" s="1"/>
  <c r="M18" i="16"/>
  <c r="C20" i="19" s="1"/>
  <c r="L18" i="16"/>
  <c r="B20" i="19" s="1"/>
  <c r="G18" i="16"/>
  <c r="N17" i="16"/>
  <c r="D19" i="19" s="1"/>
  <c r="M17" i="16"/>
  <c r="C19" i="19" s="1"/>
  <c r="L17" i="16"/>
  <c r="B19" i="19" s="1"/>
  <c r="G17" i="16"/>
  <c r="N16" i="16"/>
  <c r="D18" i="19" s="1"/>
  <c r="M16" i="16"/>
  <c r="C18" i="19" s="1"/>
  <c r="L16" i="16"/>
  <c r="B18" i="19" s="1"/>
  <c r="G16" i="16"/>
  <c r="N15" i="16"/>
  <c r="D17" i="19" s="1"/>
  <c r="M15" i="16"/>
  <c r="C17" i="19" s="1"/>
  <c r="L15" i="16"/>
  <c r="B17" i="19" s="1"/>
  <c r="G15" i="16"/>
  <c r="N14" i="16"/>
  <c r="D15" i="19" s="1"/>
  <c r="M14" i="16"/>
  <c r="C15" i="19" s="1"/>
  <c r="L14" i="16"/>
  <c r="B15" i="19" s="1"/>
  <c r="G14" i="16"/>
  <c r="N13" i="16"/>
  <c r="D14" i="19" s="1"/>
  <c r="M13" i="16"/>
  <c r="C14" i="19" s="1"/>
  <c r="L13" i="16"/>
  <c r="B14" i="19" s="1"/>
  <c r="N12" i="16"/>
  <c r="D13" i="19" s="1"/>
  <c r="M12" i="16"/>
  <c r="C13" i="19" s="1"/>
  <c r="L12" i="16"/>
  <c r="B13" i="19" s="1"/>
  <c r="G12" i="16"/>
  <c r="N11" i="16"/>
  <c r="D12" i="19" s="1"/>
  <c r="M11" i="16"/>
  <c r="C12" i="19" s="1"/>
  <c r="L11" i="16"/>
  <c r="B12" i="19" s="1"/>
  <c r="G11" i="16"/>
  <c r="N10" i="16"/>
  <c r="D11" i="19" s="1"/>
  <c r="M10" i="16"/>
  <c r="C11" i="19" s="1"/>
  <c r="L10" i="16"/>
  <c r="B11" i="19" s="1"/>
  <c r="G10" i="16"/>
  <c r="N9" i="16"/>
  <c r="D10" i="19" s="1"/>
  <c r="M9" i="16"/>
  <c r="C10" i="19" s="1"/>
  <c r="L9" i="16"/>
  <c r="B10" i="19" s="1"/>
  <c r="G9" i="16"/>
  <c r="N8" i="16"/>
  <c r="D9" i="19" s="1"/>
  <c r="M8" i="16"/>
  <c r="C9" i="19" s="1"/>
  <c r="L8" i="16"/>
  <c r="B9" i="19" s="1"/>
  <c r="G8" i="16"/>
  <c r="N7" i="16"/>
  <c r="D8" i="19" s="1"/>
  <c r="M7" i="16"/>
  <c r="C8" i="19" s="1"/>
  <c r="L7" i="16"/>
  <c r="B8" i="19" s="1"/>
  <c r="G7" i="16"/>
  <c r="N6" i="16"/>
  <c r="D7" i="19" s="1"/>
  <c r="M6" i="16"/>
  <c r="C7" i="19" s="1"/>
  <c r="L6" i="16"/>
  <c r="B7" i="19" s="1"/>
  <c r="G6" i="16"/>
  <c r="N5" i="16"/>
  <c r="D6" i="19" s="1"/>
  <c r="M5" i="16"/>
  <c r="C6" i="19" s="1"/>
  <c r="L5" i="16"/>
  <c r="B6" i="19" s="1"/>
  <c r="G5" i="16"/>
  <c r="N4" i="16"/>
  <c r="D5" i="19" s="1"/>
  <c r="M4" i="16"/>
  <c r="C5" i="19" s="1"/>
  <c r="L4" i="16"/>
  <c r="B5" i="19" s="1"/>
  <c r="G4" i="16"/>
  <c r="N3" i="16"/>
  <c r="D3" i="19" s="1"/>
  <c r="M3" i="16"/>
  <c r="C3" i="19" s="1"/>
  <c r="L3" i="16"/>
  <c r="B3" i="19" s="1"/>
  <c r="G3" i="16"/>
  <c r="B27" i="15"/>
  <c r="G30" i="14"/>
  <c r="G31" i="14"/>
  <c r="G32" i="14"/>
  <c r="G33" i="14"/>
  <c r="G34" i="14"/>
  <c r="G35" i="14"/>
  <c r="G36" i="14"/>
  <c r="G37" i="14"/>
  <c r="G29" i="14"/>
  <c r="G21" i="14"/>
  <c r="G22" i="14"/>
  <c r="G23" i="14"/>
  <c r="G24" i="14"/>
  <c r="G25" i="14"/>
  <c r="G26" i="14"/>
  <c r="G27" i="14"/>
  <c r="G28" i="14"/>
  <c r="G20" i="14"/>
  <c r="F421" i="14"/>
  <c r="E421" i="14"/>
  <c r="D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G368" i="14"/>
  <c r="G367" i="14"/>
  <c r="G366" i="14"/>
  <c r="G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7" i="14"/>
  <c r="G76" i="14"/>
  <c r="G75" i="14"/>
  <c r="G74" i="14"/>
  <c r="G73" i="14"/>
  <c r="G72" i="14"/>
  <c r="G71" i="14"/>
  <c r="G70" i="14"/>
  <c r="G69" i="14"/>
  <c r="G68" i="14"/>
  <c r="O24" i="14"/>
  <c r="N24" i="14"/>
  <c r="M24" i="14"/>
  <c r="L24" i="14"/>
  <c r="O23" i="14"/>
  <c r="N23" i="14"/>
  <c r="M23" i="14"/>
  <c r="L23" i="14"/>
  <c r="O22" i="14"/>
  <c r="N22" i="14"/>
  <c r="M22" i="14"/>
  <c r="L22" i="14"/>
  <c r="N21" i="14"/>
  <c r="M21" i="14"/>
  <c r="L21" i="14"/>
  <c r="O20" i="14"/>
  <c r="N20" i="14"/>
  <c r="M20" i="14"/>
  <c r="L20" i="14"/>
  <c r="O19" i="14"/>
  <c r="N19" i="14"/>
  <c r="M19" i="14"/>
  <c r="L19" i="14"/>
  <c r="G19" i="14"/>
  <c r="O18" i="14"/>
  <c r="N18" i="14"/>
  <c r="M18" i="14"/>
  <c r="L18" i="14"/>
  <c r="G18" i="14"/>
  <c r="N17" i="14"/>
  <c r="M17" i="14"/>
  <c r="L17" i="14"/>
  <c r="G17" i="14"/>
  <c r="O13" i="14" s="1"/>
  <c r="O16" i="14"/>
  <c r="N16" i="14"/>
  <c r="M16" i="14"/>
  <c r="L16" i="14"/>
  <c r="G16" i="14"/>
  <c r="N15" i="14"/>
  <c r="M15" i="14"/>
  <c r="L15" i="14"/>
  <c r="G15" i="14"/>
  <c r="N14" i="14"/>
  <c r="M14" i="14"/>
  <c r="L14" i="14"/>
  <c r="G14" i="14"/>
  <c r="N13" i="14"/>
  <c r="M13" i="14"/>
  <c r="L13" i="14"/>
  <c r="G13" i="14"/>
  <c r="O12" i="14"/>
  <c r="N12" i="14"/>
  <c r="M12" i="14"/>
  <c r="L12" i="14"/>
  <c r="G12" i="14"/>
  <c r="N11" i="14"/>
  <c r="M11" i="14"/>
  <c r="L11" i="14"/>
  <c r="G11" i="14"/>
  <c r="O10" i="14"/>
  <c r="N10" i="14"/>
  <c r="M10" i="14"/>
  <c r="L10" i="14"/>
  <c r="G10" i="14"/>
  <c r="N9" i="14"/>
  <c r="M9" i="14"/>
  <c r="L9" i="14"/>
  <c r="G9" i="14"/>
  <c r="N8" i="14"/>
  <c r="M8" i="14"/>
  <c r="L8" i="14"/>
  <c r="G8" i="14"/>
  <c r="O9" i="14" s="1"/>
  <c r="O7" i="14"/>
  <c r="N7" i="14"/>
  <c r="M7" i="14"/>
  <c r="L7" i="14"/>
  <c r="G7" i="14"/>
  <c r="O6" i="14"/>
  <c r="N6" i="14"/>
  <c r="M6" i="14"/>
  <c r="L6" i="14"/>
  <c r="G6" i="14"/>
  <c r="O5" i="14"/>
  <c r="N5" i="14"/>
  <c r="M5" i="14"/>
  <c r="L5" i="14"/>
  <c r="G5" i="14"/>
  <c r="O17" i="14" s="1"/>
  <c r="N4" i="14"/>
  <c r="M4" i="14"/>
  <c r="L4" i="14"/>
  <c r="G4" i="14"/>
  <c r="O8" i="14" s="1"/>
  <c r="O3" i="14"/>
  <c r="N3" i="14"/>
  <c r="M3" i="14"/>
  <c r="L3" i="14"/>
  <c r="G3" i="14"/>
  <c r="O4" i="14" s="1"/>
  <c r="D155" i="13"/>
  <c r="E155" i="13"/>
  <c r="F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O16" i="13"/>
  <c r="N16" i="13"/>
  <c r="M16" i="13"/>
  <c r="L16" i="13"/>
  <c r="G16" i="13"/>
  <c r="N15" i="13"/>
  <c r="M15" i="13"/>
  <c r="L15" i="13"/>
  <c r="G15" i="13"/>
  <c r="O15" i="13" s="1"/>
  <c r="O14" i="13"/>
  <c r="N14" i="13"/>
  <c r="M14" i="13"/>
  <c r="L14" i="13"/>
  <c r="G14" i="13"/>
  <c r="O13" i="13"/>
  <c r="E16" i="15" s="1"/>
  <c r="N13" i="13"/>
  <c r="D16" i="15" s="1"/>
  <c r="M13" i="13"/>
  <c r="C16" i="15" s="1"/>
  <c r="L13" i="13"/>
  <c r="B16" i="15" s="1"/>
  <c r="G13" i="13"/>
  <c r="N12" i="13"/>
  <c r="M12" i="13"/>
  <c r="L12" i="13"/>
  <c r="G12" i="13"/>
  <c r="N11" i="13"/>
  <c r="M11" i="13"/>
  <c r="L11" i="13"/>
  <c r="G11" i="13"/>
  <c r="O10" i="13"/>
  <c r="N10" i="13"/>
  <c r="M10" i="13"/>
  <c r="L10" i="13"/>
  <c r="G10" i="13"/>
  <c r="N9" i="13"/>
  <c r="M9" i="13"/>
  <c r="L9" i="13"/>
  <c r="G9" i="13"/>
  <c r="N8" i="13"/>
  <c r="M8" i="13"/>
  <c r="L8" i="13"/>
  <c r="G8" i="13"/>
  <c r="O12" i="13" s="1"/>
  <c r="O7" i="13"/>
  <c r="N7" i="13"/>
  <c r="M7" i="13"/>
  <c r="L7" i="13"/>
  <c r="G7" i="13"/>
  <c r="O11" i="13" s="1"/>
  <c r="O6" i="13"/>
  <c r="N6" i="13"/>
  <c r="M6" i="13"/>
  <c r="L6" i="13"/>
  <c r="G6" i="13"/>
  <c r="O9" i="13" s="1"/>
  <c r="N5" i="13"/>
  <c r="M5" i="13"/>
  <c r="L5" i="13"/>
  <c r="G5" i="13"/>
  <c r="O4" i="13"/>
  <c r="E4" i="15" s="1"/>
  <c r="N4" i="13"/>
  <c r="D4" i="15" s="1"/>
  <c r="M4" i="13"/>
  <c r="C4" i="15" s="1"/>
  <c r="L4" i="13"/>
  <c r="B4" i="15" s="1"/>
  <c r="G4" i="13"/>
  <c r="O3" i="13"/>
  <c r="N3" i="13"/>
  <c r="M3" i="13"/>
  <c r="L3" i="13"/>
  <c r="E410" i="12"/>
  <c r="D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3" i="12"/>
  <c r="G32" i="12"/>
  <c r="G31" i="12"/>
  <c r="G30" i="12"/>
  <c r="G28" i="12"/>
  <c r="G27" i="12"/>
  <c r="G26" i="12"/>
  <c r="G25" i="12"/>
  <c r="O24" i="12"/>
  <c r="N24" i="12"/>
  <c r="M24" i="12"/>
  <c r="L24" i="12"/>
  <c r="G24" i="12"/>
  <c r="O23" i="12"/>
  <c r="E25" i="15" s="1"/>
  <c r="N23" i="12"/>
  <c r="D25" i="15" s="1"/>
  <c r="M23" i="12"/>
  <c r="C25" i="15" s="1"/>
  <c r="L23" i="12"/>
  <c r="B25" i="15" s="1"/>
  <c r="G23" i="12"/>
  <c r="O22" i="12"/>
  <c r="E24" i="15" s="1"/>
  <c r="N22" i="12"/>
  <c r="D24" i="15" s="1"/>
  <c r="M22" i="12"/>
  <c r="C24" i="15" s="1"/>
  <c r="L22" i="12"/>
  <c r="B24" i="15" s="1"/>
  <c r="G22" i="12"/>
  <c r="O21" i="12"/>
  <c r="N21" i="12"/>
  <c r="M21" i="12"/>
  <c r="L21" i="12"/>
  <c r="G21" i="12"/>
  <c r="O20" i="12"/>
  <c r="E22" i="15" s="1"/>
  <c r="N20" i="12"/>
  <c r="D22" i="15" s="1"/>
  <c r="M20" i="12"/>
  <c r="C22" i="15" s="1"/>
  <c r="L20" i="12"/>
  <c r="B22" i="15" s="1"/>
  <c r="G20" i="12"/>
  <c r="O19" i="12"/>
  <c r="E21" i="15" s="1"/>
  <c r="N19" i="12"/>
  <c r="D21" i="15" s="1"/>
  <c r="M19" i="12"/>
  <c r="C21" i="15" s="1"/>
  <c r="L19" i="12"/>
  <c r="B21" i="15" s="1"/>
  <c r="G19" i="12"/>
  <c r="O18" i="12"/>
  <c r="E20" i="15" s="1"/>
  <c r="N18" i="12"/>
  <c r="D20" i="15" s="1"/>
  <c r="M18" i="12"/>
  <c r="C20" i="15" s="1"/>
  <c r="L18" i="12"/>
  <c r="B20" i="15" s="1"/>
  <c r="G18" i="12"/>
  <c r="O17" i="12"/>
  <c r="N17" i="12"/>
  <c r="M17" i="12"/>
  <c r="L17" i="12"/>
  <c r="G17" i="12"/>
  <c r="O16" i="12"/>
  <c r="N16" i="12"/>
  <c r="M16" i="12"/>
  <c r="L16" i="12"/>
  <c r="G16" i="12"/>
  <c r="O15" i="12"/>
  <c r="N15" i="12"/>
  <c r="M15" i="12"/>
  <c r="L15" i="12"/>
  <c r="G15" i="12"/>
  <c r="O14" i="12"/>
  <c r="N14" i="12"/>
  <c r="M14" i="12"/>
  <c r="L14" i="12"/>
  <c r="G14" i="12"/>
  <c r="O13" i="12"/>
  <c r="N13" i="12"/>
  <c r="M13" i="12"/>
  <c r="L13" i="12"/>
  <c r="O12" i="12"/>
  <c r="N12" i="12"/>
  <c r="M12" i="12"/>
  <c r="L12" i="12"/>
  <c r="G12" i="12"/>
  <c r="O11" i="12"/>
  <c r="N11" i="12"/>
  <c r="M11" i="12"/>
  <c r="L11" i="12"/>
  <c r="G11" i="12"/>
  <c r="O10" i="12"/>
  <c r="N10" i="12"/>
  <c r="M10" i="12"/>
  <c r="L10" i="12"/>
  <c r="G10" i="12"/>
  <c r="O9" i="12"/>
  <c r="N9" i="12"/>
  <c r="M9" i="12"/>
  <c r="L9" i="12"/>
  <c r="G9" i="12"/>
  <c r="N8" i="12"/>
  <c r="M8" i="12"/>
  <c r="L8" i="12"/>
  <c r="G8" i="12"/>
  <c r="O7" i="12"/>
  <c r="E8" i="15" s="1"/>
  <c r="N7" i="12"/>
  <c r="D8" i="15" s="1"/>
  <c r="M7" i="12"/>
  <c r="C8" i="15" s="1"/>
  <c r="L7" i="12"/>
  <c r="B8" i="15" s="1"/>
  <c r="G7" i="12"/>
  <c r="O6" i="12"/>
  <c r="N6" i="12"/>
  <c r="M6" i="12"/>
  <c r="L6" i="12"/>
  <c r="G6" i="12"/>
  <c r="O5" i="12"/>
  <c r="N5" i="12"/>
  <c r="M5" i="12"/>
  <c r="L5" i="12"/>
  <c r="G5" i="12"/>
  <c r="N4" i="12"/>
  <c r="M4" i="12"/>
  <c r="L4" i="12"/>
  <c r="G4" i="12"/>
  <c r="O3" i="12"/>
  <c r="N3" i="12"/>
  <c r="M3" i="12"/>
  <c r="L3" i="12"/>
  <c r="G3" i="12"/>
  <c r="O4" i="12" s="1"/>
  <c r="B27" i="11"/>
  <c r="F11" i="19" l="1"/>
  <c r="F13" i="19"/>
  <c r="F18" i="19"/>
  <c r="F8" i="19"/>
  <c r="F6" i="19"/>
  <c r="F10" i="19"/>
  <c r="F12" i="19"/>
  <c r="F15" i="19"/>
  <c r="F20" i="19"/>
  <c r="F22" i="19"/>
  <c r="F24" i="19"/>
  <c r="F5" i="19"/>
  <c r="F25" i="19"/>
  <c r="D27" i="19"/>
  <c r="F27" i="19" s="1"/>
  <c r="F3" i="19"/>
  <c r="F7" i="19"/>
  <c r="C27" i="19"/>
  <c r="F14" i="19"/>
  <c r="F17" i="19"/>
  <c r="F19" i="19"/>
  <c r="F21" i="19"/>
  <c r="F23" i="19"/>
  <c r="F9" i="19"/>
  <c r="F26" i="19"/>
  <c r="O20" i="16"/>
  <c r="E22" i="19" s="1"/>
  <c r="O24" i="16"/>
  <c r="E26" i="19" s="1"/>
  <c r="O19" i="16"/>
  <c r="E21" i="19" s="1"/>
  <c r="O7" i="16"/>
  <c r="E8" i="19" s="1"/>
  <c r="O9" i="16"/>
  <c r="E10" i="19" s="1"/>
  <c r="O12" i="16"/>
  <c r="E13" i="19" s="1"/>
  <c r="O15" i="16"/>
  <c r="E17" i="19" s="1"/>
  <c r="O14" i="16"/>
  <c r="E15" i="19" s="1"/>
  <c r="D410" i="16"/>
  <c r="O11" i="16"/>
  <c r="E12" i="19" s="1"/>
  <c r="O3" i="16"/>
  <c r="E3" i="19" s="1"/>
  <c r="O10" i="16"/>
  <c r="E11" i="19" s="1"/>
  <c r="O16" i="16"/>
  <c r="E18" i="19" s="1"/>
  <c r="O5" i="16"/>
  <c r="E6" i="19" s="1"/>
  <c r="O4" i="16"/>
  <c r="E5" i="19" s="1"/>
  <c r="O6" i="16"/>
  <c r="E7" i="19" s="1"/>
  <c r="O13" i="16"/>
  <c r="E14" i="19" s="1"/>
  <c r="O8" i="16"/>
  <c r="E9" i="19" s="1"/>
  <c r="L25" i="16"/>
  <c r="G410" i="16"/>
  <c r="M25" i="16"/>
  <c r="O17" i="16"/>
  <c r="E19" i="19" s="1"/>
  <c r="O23" i="16"/>
  <c r="E25" i="19" s="1"/>
  <c r="N25" i="16"/>
  <c r="L37" i="16" s="1"/>
  <c r="O21" i="16"/>
  <c r="E23" i="19" s="1"/>
  <c r="O22" i="16"/>
  <c r="E24" i="19" s="1"/>
  <c r="O5" i="13"/>
  <c r="E5" i="15" s="1"/>
  <c r="O11" i="14"/>
  <c r="E12" i="15" s="1"/>
  <c r="O21" i="14"/>
  <c r="E23" i="15" s="1"/>
  <c r="F4" i="15"/>
  <c r="O14" i="14"/>
  <c r="E15" i="15" s="1"/>
  <c r="F25" i="15"/>
  <c r="E26" i="15"/>
  <c r="D26" i="15"/>
  <c r="B26" i="15"/>
  <c r="C26" i="15"/>
  <c r="D23" i="15"/>
  <c r="C23" i="15"/>
  <c r="B23" i="15"/>
  <c r="E14" i="15"/>
  <c r="E18" i="15"/>
  <c r="D18" i="15"/>
  <c r="C18" i="15"/>
  <c r="B18" i="15"/>
  <c r="D14" i="15"/>
  <c r="C14" i="15"/>
  <c r="B14" i="15"/>
  <c r="F24" i="15"/>
  <c r="F22" i="15"/>
  <c r="F21" i="15"/>
  <c r="F20" i="15"/>
  <c r="F8" i="15"/>
  <c r="B10" i="15"/>
  <c r="E3" i="15"/>
  <c r="C19" i="15"/>
  <c r="D17" i="15"/>
  <c r="C15" i="15"/>
  <c r="C13" i="15"/>
  <c r="B13" i="15"/>
  <c r="B12" i="15"/>
  <c r="C11" i="15"/>
  <c r="D10" i="15"/>
  <c r="F10" i="15" s="1"/>
  <c r="C9" i="15"/>
  <c r="D7" i="15"/>
  <c r="E6" i="15"/>
  <c r="B6" i="15"/>
  <c r="C3" i="15"/>
  <c r="B19" i="15"/>
  <c r="B17" i="15"/>
  <c r="B15" i="15"/>
  <c r="E13" i="15"/>
  <c r="C12" i="15"/>
  <c r="E11" i="15"/>
  <c r="B11" i="15"/>
  <c r="D9" i="15"/>
  <c r="E10" i="15"/>
  <c r="C7" i="15"/>
  <c r="D6" i="15"/>
  <c r="E19" i="15"/>
  <c r="C5" i="15"/>
  <c r="D3" i="15"/>
  <c r="D19" i="15"/>
  <c r="C17" i="15"/>
  <c r="D15" i="15"/>
  <c r="D13" i="15"/>
  <c r="F13" i="15" s="1"/>
  <c r="D12" i="15"/>
  <c r="F12" i="15" s="1"/>
  <c r="D11" i="15"/>
  <c r="C10" i="15"/>
  <c r="B9" i="15"/>
  <c r="E7" i="15"/>
  <c r="B7" i="15"/>
  <c r="C6" i="15"/>
  <c r="D5" i="15"/>
  <c r="B5" i="15"/>
  <c r="B3" i="15"/>
  <c r="F16" i="15"/>
  <c r="N25" i="14"/>
  <c r="M25" i="14"/>
  <c r="L25" i="14"/>
  <c r="G421" i="14"/>
  <c r="O15" i="14"/>
  <c r="O8" i="13"/>
  <c r="L17" i="13"/>
  <c r="N17" i="13"/>
  <c r="G155" i="13"/>
  <c r="M17" i="13"/>
  <c r="G29" i="12"/>
  <c r="O8" i="12" s="1"/>
  <c r="O25" i="12" s="1"/>
  <c r="F410" i="12"/>
  <c r="L25" i="12"/>
  <c r="N25" i="12"/>
  <c r="L37" i="12" s="1"/>
  <c r="M25" i="12"/>
  <c r="G410" i="12"/>
  <c r="G12" i="10"/>
  <c r="G13" i="10"/>
  <c r="G14" i="10"/>
  <c r="G15" i="10"/>
  <c r="G16" i="10"/>
  <c r="G17" i="10"/>
  <c r="G18" i="10"/>
  <c r="G19" i="10"/>
  <c r="E27" i="19" l="1"/>
  <c r="O25" i="16"/>
  <c r="F6" i="15"/>
  <c r="F26" i="15"/>
  <c r="F23" i="15"/>
  <c r="F18" i="15"/>
  <c r="F14" i="15"/>
  <c r="F17" i="15"/>
  <c r="F7" i="15"/>
  <c r="C27" i="15"/>
  <c r="F19" i="15"/>
  <c r="F15" i="15"/>
  <c r="F11" i="15"/>
  <c r="F9" i="15"/>
  <c r="F5" i="15"/>
  <c r="D27" i="15"/>
  <c r="F27" i="15" s="1"/>
  <c r="F3" i="15"/>
  <c r="O17" i="13"/>
  <c r="E9" i="15"/>
  <c r="O25" i="14"/>
  <c r="E17" i="15"/>
  <c r="G10" i="10"/>
  <c r="O21" i="10" s="1"/>
  <c r="M3" i="10"/>
  <c r="N14" i="10"/>
  <c r="M14" i="10"/>
  <c r="G7" i="10"/>
  <c r="O14" i="10" s="1"/>
  <c r="G6" i="10"/>
  <c r="L17" i="10"/>
  <c r="N8" i="10"/>
  <c r="M8" i="10"/>
  <c r="D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N21" i="10"/>
  <c r="M21" i="10"/>
  <c r="L21" i="10"/>
  <c r="O20" i="10"/>
  <c r="N20" i="10"/>
  <c r="M20" i="10"/>
  <c r="L20" i="10"/>
  <c r="O19" i="10"/>
  <c r="N19" i="10"/>
  <c r="M19" i="10"/>
  <c r="L19" i="10"/>
  <c r="O18" i="10"/>
  <c r="N18" i="10"/>
  <c r="M18" i="10"/>
  <c r="L18" i="10"/>
  <c r="N17" i="10"/>
  <c r="M17" i="10"/>
  <c r="O16" i="10"/>
  <c r="N16" i="10"/>
  <c r="M16" i="10"/>
  <c r="L16" i="10"/>
  <c r="M15" i="10"/>
  <c r="L15" i="10"/>
  <c r="O13" i="10"/>
  <c r="N13" i="10"/>
  <c r="M13" i="10"/>
  <c r="L13" i="10"/>
  <c r="O12" i="10"/>
  <c r="N12" i="10"/>
  <c r="M12" i="10"/>
  <c r="L12" i="10"/>
  <c r="N11" i="10"/>
  <c r="M11" i="10"/>
  <c r="L11" i="10"/>
  <c r="G11" i="10"/>
  <c r="O11" i="10" s="1"/>
  <c r="O10" i="10"/>
  <c r="N10" i="10"/>
  <c r="M10" i="10"/>
  <c r="L10" i="10"/>
  <c r="N9" i="10"/>
  <c r="M9" i="10"/>
  <c r="L9" i="10"/>
  <c r="G9" i="10"/>
  <c r="O3" i="10" s="1"/>
  <c r="G8" i="10"/>
  <c r="O9" i="10" s="1"/>
  <c r="O7" i="10"/>
  <c r="N7" i="10"/>
  <c r="M7" i="10"/>
  <c r="L7" i="10"/>
  <c r="O6" i="10"/>
  <c r="N6" i="10"/>
  <c r="M6" i="10"/>
  <c r="L6" i="10"/>
  <c r="O5" i="10"/>
  <c r="N5" i="10"/>
  <c r="M5" i="10"/>
  <c r="L5" i="10"/>
  <c r="N4" i="10"/>
  <c r="M4" i="10"/>
  <c r="L4" i="10"/>
  <c r="N3" i="10"/>
  <c r="L3" i="10"/>
  <c r="G3" i="10"/>
  <c r="O4" i="10" s="1"/>
  <c r="E27" i="15" l="1"/>
  <c r="G4" i="10"/>
  <c r="O8" i="10" s="1"/>
  <c r="N15" i="10"/>
  <c r="N25" i="10" s="1"/>
  <c r="F421" i="10"/>
  <c r="G5" i="10"/>
  <c r="O17" i="10" s="1"/>
  <c r="L8" i="10"/>
  <c r="L14" i="10"/>
  <c r="E421" i="10"/>
  <c r="M25" i="10"/>
  <c r="O15" i="10"/>
  <c r="L25" i="10" l="1"/>
  <c r="O25" i="10"/>
  <c r="G421" i="10"/>
  <c r="L12" i="9" l="1"/>
  <c r="N11" i="9"/>
  <c r="G70" i="9"/>
  <c r="E155" i="9"/>
  <c r="D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O16" i="9" s="1"/>
  <c r="G22" i="9"/>
  <c r="G21" i="9"/>
  <c r="G20" i="9"/>
  <c r="G19" i="9"/>
  <c r="G18" i="9"/>
  <c r="G17" i="9"/>
  <c r="N16" i="9"/>
  <c r="M16" i="9"/>
  <c r="L16" i="9"/>
  <c r="G16" i="9"/>
  <c r="N15" i="9"/>
  <c r="M15" i="9"/>
  <c r="L15" i="9"/>
  <c r="G15" i="9"/>
  <c r="N14" i="9"/>
  <c r="M14" i="9"/>
  <c r="L14" i="9"/>
  <c r="G14" i="9"/>
  <c r="N13" i="9"/>
  <c r="D16" i="11" s="1"/>
  <c r="M13" i="9"/>
  <c r="C16" i="11" s="1"/>
  <c r="L13" i="9"/>
  <c r="B16" i="11" s="1"/>
  <c r="G13" i="9"/>
  <c r="N12" i="9"/>
  <c r="M12" i="9"/>
  <c r="G12" i="9"/>
  <c r="M11" i="9"/>
  <c r="L11" i="9"/>
  <c r="G11" i="9"/>
  <c r="N10" i="9"/>
  <c r="M10" i="9"/>
  <c r="L10" i="9"/>
  <c r="G10" i="9"/>
  <c r="O7" i="9" s="1"/>
  <c r="N9" i="9"/>
  <c r="M9" i="9"/>
  <c r="L9" i="9"/>
  <c r="G9" i="9"/>
  <c r="N8" i="9"/>
  <c r="M8" i="9"/>
  <c r="L8" i="9"/>
  <c r="G8" i="9"/>
  <c r="N7" i="9"/>
  <c r="M7" i="9"/>
  <c r="L7" i="9"/>
  <c r="G7" i="9"/>
  <c r="N6" i="9"/>
  <c r="M6" i="9"/>
  <c r="L6" i="9"/>
  <c r="G6" i="9"/>
  <c r="N5" i="9"/>
  <c r="M5" i="9"/>
  <c r="L5" i="9"/>
  <c r="G5" i="9"/>
  <c r="N4" i="9"/>
  <c r="D4" i="11" s="1"/>
  <c r="M4" i="9"/>
  <c r="C4" i="11" s="1"/>
  <c r="L4" i="9"/>
  <c r="B4" i="11" s="1"/>
  <c r="G4" i="9"/>
  <c r="N3" i="9"/>
  <c r="M3" i="9"/>
  <c r="L3" i="9"/>
  <c r="F16" i="11" l="1"/>
  <c r="F4" i="11"/>
  <c r="O3" i="9"/>
  <c r="O14" i="9"/>
  <c r="O4" i="9"/>
  <c r="E4" i="11" s="1"/>
  <c r="O6" i="9"/>
  <c r="O12" i="9"/>
  <c r="F155" i="9"/>
  <c r="O9" i="9"/>
  <c r="O10" i="9"/>
  <c r="O8" i="9"/>
  <c r="O13" i="9"/>
  <c r="E16" i="11" s="1"/>
  <c r="O15" i="9"/>
  <c r="O5" i="9"/>
  <c r="L17" i="9"/>
  <c r="M17" i="9"/>
  <c r="G155" i="9"/>
  <c r="N17" i="9"/>
  <c r="O11" i="9"/>
  <c r="O17" i="9" l="1"/>
  <c r="F421" i="8" l="1"/>
  <c r="E421" i="8"/>
  <c r="D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O18" i="8" s="1"/>
  <c r="E20" i="11" s="1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7" i="8"/>
  <c r="G76" i="8"/>
  <c r="G75" i="8"/>
  <c r="G74" i="8"/>
  <c r="G73" i="8"/>
  <c r="G72" i="8"/>
  <c r="G71" i="8"/>
  <c r="G70" i="8"/>
  <c r="G69" i="8"/>
  <c r="G68" i="8"/>
  <c r="G67" i="8"/>
  <c r="G66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3" i="8"/>
  <c r="G32" i="8"/>
  <c r="G31" i="8"/>
  <c r="G30" i="8"/>
  <c r="G29" i="8"/>
  <c r="G28" i="8"/>
  <c r="G27" i="8"/>
  <c r="G26" i="8"/>
  <c r="G25" i="8"/>
  <c r="N24" i="8"/>
  <c r="D26" i="11" s="1"/>
  <c r="M24" i="8"/>
  <c r="C26" i="11" s="1"/>
  <c r="L24" i="8"/>
  <c r="B26" i="11" s="1"/>
  <c r="G24" i="8"/>
  <c r="N23" i="8"/>
  <c r="D25" i="11" s="1"/>
  <c r="M23" i="8"/>
  <c r="C25" i="11" s="1"/>
  <c r="L23" i="8"/>
  <c r="B25" i="11" s="1"/>
  <c r="G23" i="8"/>
  <c r="N22" i="8"/>
  <c r="D24" i="11" s="1"/>
  <c r="M22" i="8"/>
  <c r="C24" i="11" s="1"/>
  <c r="L22" i="8"/>
  <c r="B24" i="11" s="1"/>
  <c r="G22" i="8"/>
  <c r="N21" i="8"/>
  <c r="D23" i="11" s="1"/>
  <c r="M21" i="8"/>
  <c r="C23" i="11" s="1"/>
  <c r="L21" i="8"/>
  <c r="B23" i="11" s="1"/>
  <c r="G21" i="8"/>
  <c r="N20" i="8"/>
  <c r="D22" i="11" s="1"/>
  <c r="M20" i="8"/>
  <c r="C22" i="11" s="1"/>
  <c r="L20" i="8"/>
  <c r="B22" i="11" s="1"/>
  <c r="G20" i="8"/>
  <c r="N19" i="8"/>
  <c r="D21" i="11" s="1"/>
  <c r="M19" i="8"/>
  <c r="C21" i="11" s="1"/>
  <c r="L19" i="8"/>
  <c r="B21" i="11" s="1"/>
  <c r="G19" i="8"/>
  <c r="N18" i="8"/>
  <c r="D20" i="11" s="1"/>
  <c r="M18" i="8"/>
  <c r="C20" i="11" s="1"/>
  <c r="L18" i="8"/>
  <c r="B20" i="11" s="1"/>
  <c r="G18" i="8"/>
  <c r="N17" i="8"/>
  <c r="D19" i="11" s="1"/>
  <c r="M17" i="8"/>
  <c r="C19" i="11" s="1"/>
  <c r="L17" i="8"/>
  <c r="B19" i="11" s="1"/>
  <c r="G17" i="8"/>
  <c r="N16" i="8"/>
  <c r="D18" i="11" s="1"/>
  <c r="M16" i="8"/>
  <c r="C18" i="11" s="1"/>
  <c r="L16" i="8"/>
  <c r="B18" i="11" s="1"/>
  <c r="G16" i="8"/>
  <c r="N15" i="8"/>
  <c r="D17" i="11" s="1"/>
  <c r="M15" i="8"/>
  <c r="C17" i="11" s="1"/>
  <c r="L15" i="8"/>
  <c r="B17" i="11" s="1"/>
  <c r="G15" i="8"/>
  <c r="N14" i="8"/>
  <c r="D15" i="11" s="1"/>
  <c r="M14" i="8"/>
  <c r="C15" i="11" s="1"/>
  <c r="L14" i="8"/>
  <c r="B15" i="11" s="1"/>
  <c r="G14" i="8"/>
  <c r="N13" i="8"/>
  <c r="D14" i="11" s="1"/>
  <c r="M13" i="8"/>
  <c r="C14" i="11" s="1"/>
  <c r="L13" i="8"/>
  <c r="B14" i="11" s="1"/>
  <c r="N12" i="8"/>
  <c r="D13" i="11" s="1"/>
  <c r="M12" i="8"/>
  <c r="C13" i="11" s="1"/>
  <c r="L12" i="8"/>
  <c r="B13" i="11" s="1"/>
  <c r="G12" i="8"/>
  <c r="N11" i="8"/>
  <c r="D12" i="11" s="1"/>
  <c r="M11" i="8"/>
  <c r="C12" i="11" s="1"/>
  <c r="L11" i="8"/>
  <c r="B12" i="11" s="1"/>
  <c r="G11" i="8"/>
  <c r="N10" i="8"/>
  <c r="D11" i="11" s="1"/>
  <c r="M10" i="8"/>
  <c r="C11" i="11" s="1"/>
  <c r="L10" i="8"/>
  <c r="B11" i="11" s="1"/>
  <c r="G10" i="8"/>
  <c r="N9" i="8"/>
  <c r="D10" i="11" s="1"/>
  <c r="M9" i="8"/>
  <c r="C10" i="11" s="1"/>
  <c r="L9" i="8"/>
  <c r="B10" i="11" s="1"/>
  <c r="G9" i="8"/>
  <c r="N8" i="8"/>
  <c r="D9" i="11" s="1"/>
  <c r="M8" i="8"/>
  <c r="C9" i="11" s="1"/>
  <c r="L8" i="8"/>
  <c r="B9" i="11" s="1"/>
  <c r="G8" i="8"/>
  <c r="N7" i="8"/>
  <c r="D8" i="11" s="1"/>
  <c r="M7" i="8"/>
  <c r="C8" i="11" s="1"/>
  <c r="L7" i="8"/>
  <c r="B8" i="11" s="1"/>
  <c r="G7" i="8"/>
  <c r="N6" i="8"/>
  <c r="D7" i="11" s="1"/>
  <c r="M6" i="8"/>
  <c r="C7" i="11" s="1"/>
  <c r="L6" i="8"/>
  <c r="B7" i="11" s="1"/>
  <c r="G6" i="8"/>
  <c r="N5" i="8"/>
  <c r="D6" i="11" s="1"/>
  <c r="M5" i="8"/>
  <c r="C6" i="11" s="1"/>
  <c r="L5" i="8"/>
  <c r="B6" i="11" s="1"/>
  <c r="G5" i="8"/>
  <c r="N4" i="8"/>
  <c r="D5" i="11" s="1"/>
  <c r="M4" i="8"/>
  <c r="C5" i="11" s="1"/>
  <c r="L4" i="8"/>
  <c r="B5" i="11" s="1"/>
  <c r="G4" i="8"/>
  <c r="N3" i="8"/>
  <c r="D3" i="11" s="1"/>
  <c r="M3" i="8"/>
  <c r="C3" i="11" s="1"/>
  <c r="L3" i="8"/>
  <c r="B3" i="11" s="1"/>
  <c r="G3" i="8"/>
  <c r="G8" i="6"/>
  <c r="F11" i="11" l="1"/>
  <c r="F9" i="11"/>
  <c r="F24" i="11"/>
  <c r="F7" i="11"/>
  <c r="F5" i="11"/>
  <c r="F22" i="11"/>
  <c r="F21" i="11"/>
  <c r="F6" i="11"/>
  <c r="F8" i="11"/>
  <c r="F10" i="11"/>
  <c r="F12" i="11"/>
  <c r="F14" i="11"/>
  <c r="F17" i="11"/>
  <c r="F19" i="11"/>
  <c r="F23" i="11"/>
  <c r="F25" i="11"/>
  <c r="F3" i="11"/>
  <c r="D27" i="11"/>
  <c r="F27" i="11" s="1"/>
  <c r="F13" i="11"/>
  <c r="C27" i="11"/>
  <c r="F15" i="11"/>
  <c r="F18" i="11"/>
  <c r="F20" i="11"/>
  <c r="F26" i="11"/>
  <c r="O22" i="8"/>
  <c r="E24" i="11" s="1"/>
  <c r="O12" i="8"/>
  <c r="E13" i="11" s="1"/>
  <c r="O19" i="8"/>
  <c r="E21" i="11" s="1"/>
  <c r="O7" i="8"/>
  <c r="E8" i="11" s="1"/>
  <c r="O5" i="8"/>
  <c r="E6" i="11" s="1"/>
  <c r="O23" i="8"/>
  <c r="E25" i="11" s="1"/>
  <c r="O11" i="8"/>
  <c r="E12" i="11" s="1"/>
  <c r="O20" i="8"/>
  <c r="E22" i="11" s="1"/>
  <c r="O6" i="8"/>
  <c r="E7" i="11" s="1"/>
  <c r="O3" i="8"/>
  <c r="E3" i="11" s="1"/>
  <c r="O16" i="8"/>
  <c r="E18" i="11" s="1"/>
  <c r="O9" i="8"/>
  <c r="E10" i="11" s="1"/>
  <c r="O14" i="8"/>
  <c r="E15" i="11" s="1"/>
  <c r="O15" i="8"/>
  <c r="E17" i="11" s="1"/>
  <c r="O10" i="8"/>
  <c r="E11" i="11" s="1"/>
  <c r="O17" i="8"/>
  <c r="E19" i="11" s="1"/>
  <c r="O24" i="8"/>
  <c r="E26" i="11" s="1"/>
  <c r="O13" i="8"/>
  <c r="E14" i="11" s="1"/>
  <c r="O21" i="8"/>
  <c r="E23" i="11" s="1"/>
  <c r="O8" i="8"/>
  <c r="E9" i="11" s="1"/>
  <c r="O4" i="8"/>
  <c r="E5" i="11" s="1"/>
  <c r="G421" i="8"/>
  <c r="N25" i="8"/>
  <c r="L37" i="8" s="1"/>
  <c r="L25" i="8"/>
  <c r="M25" i="8"/>
  <c r="B27" i="7"/>
  <c r="E27" i="11" l="1"/>
  <c r="O25" i="8"/>
  <c r="G3" i="6"/>
  <c r="F421" i="6"/>
  <c r="E421" i="6"/>
  <c r="D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O7" i="6" s="1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O20" i="6" s="1"/>
  <c r="G193" i="6"/>
  <c r="G192" i="6"/>
  <c r="O18" i="6" s="1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7" i="6"/>
  <c r="G76" i="6"/>
  <c r="G75" i="6"/>
  <c r="G74" i="6"/>
  <c r="G73" i="6"/>
  <c r="G72" i="6"/>
  <c r="G71" i="6"/>
  <c r="G70" i="6"/>
  <c r="G69" i="6"/>
  <c r="G68" i="6"/>
  <c r="G67" i="6"/>
  <c r="G66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3" i="6"/>
  <c r="G32" i="6"/>
  <c r="G31" i="6"/>
  <c r="G30" i="6"/>
  <c r="G29" i="6"/>
  <c r="G28" i="6"/>
  <c r="G27" i="6"/>
  <c r="G26" i="6"/>
  <c r="G25" i="6"/>
  <c r="N24" i="6"/>
  <c r="M24" i="6"/>
  <c r="L24" i="6"/>
  <c r="G24" i="6"/>
  <c r="O23" i="6"/>
  <c r="N23" i="6"/>
  <c r="M23" i="6"/>
  <c r="L23" i="6"/>
  <c r="G23" i="6"/>
  <c r="N22" i="6"/>
  <c r="M22" i="6"/>
  <c r="L22" i="6"/>
  <c r="G22" i="6"/>
  <c r="N21" i="6"/>
  <c r="M21" i="6"/>
  <c r="L21" i="6"/>
  <c r="G21" i="6"/>
  <c r="N20" i="6"/>
  <c r="M20" i="6"/>
  <c r="L20" i="6"/>
  <c r="G20" i="6"/>
  <c r="O5" i="6" s="1"/>
  <c r="N19" i="6"/>
  <c r="M19" i="6"/>
  <c r="L19" i="6"/>
  <c r="N18" i="6"/>
  <c r="M18" i="6"/>
  <c r="L18" i="6"/>
  <c r="N17" i="6"/>
  <c r="M17" i="6"/>
  <c r="L17" i="6"/>
  <c r="N16" i="6"/>
  <c r="M16" i="6"/>
  <c r="L16" i="6"/>
  <c r="N15" i="6"/>
  <c r="M15" i="6"/>
  <c r="L15" i="6"/>
  <c r="N14" i="6"/>
  <c r="M14" i="6"/>
  <c r="L14" i="6"/>
  <c r="N13" i="6"/>
  <c r="M13" i="6"/>
  <c r="L13" i="6"/>
  <c r="N12" i="6"/>
  <c r="M12" i="6"/>
  <c r="L12" i="6"/>
  <c r="N11" i="6"/>
  <c r="M11" i="6"/>
  <c r="L11" i="6"/>
  <c r="G11" i="6"/>
  <c r="N10" i="6"/>
  <c r="M10" i="6"/>
  <c r="L10" i="6"/>
  <c r="G10" i="6"/>
  <c r="N9" i="6"/>
  <c r="M9" i="6"/>
  <c r="L9" i="6"/>
  <c r="G9" i="6"/>
  <c r="N8" i="6"/>
  <c r="M8" i="6"/>
  <c r="L8" i="6"/>
  <c r="N7" i="6"/>
  <c r="M7" i="6"/>
  <c r="L7" i="6"/>
  <c r="G7" i="6"/>
  <c r="N6" i="6"/>
  <c r="M6" i="6"/>
  <c r="L6" i="6"/>
  <c r="G6" i="6"/>
  <c r="N5" i="6"/>
  <c r="M5" i="6"/>
  <c r="L5" i="6"/>
  <c r="G5" i="6"/>
  <c r="N4" i="6"/>
  <c r="M4" i="6"/>
  <c r="L4" i="6"/>
  <c r="G4" i="6"/>
  <c r="N3" i="6"/>
  <c r="M3" i="6"/>
  <c r="L3" i="6"/>
  <c r="L25" i="6" l="1"/>
  <c r="N25" i="6"/>
  <c r="M25" i="6"/>
  <c r="O6" i="6"/>
  <c r="O22" i="6"/>
  <c r="O3" i="6"/>
  <c r="O16" i="6"/>
  <c r="O8" i="6"/>
  <c r="O10" i="6"/>
  <c r="O17" i="6"/>
  <c r="O24" i="6"/>
  <c r="O4" i="6"/>
  <c r="O11" i="6"/>
  <c r="O21" i="6"/>
  <c r="O12" i="6"/>
  <c r="O15" i="6"/>
  <c r="O19" i="6"/>
  <c r="O13" i="6"/>
  <c r="O9" i="6"/>
  <c r="G421" i="6"/>
  <c r="O14" i="6"/>
  <c r="O25" i="6" l="1"/>
  <c r="G144" i="5" l="1"/>
  <c r="N5" i="5"/>
  <c r="E155" i="5"/>
  <c r="D155" i="5"/>
  <c r="F155" i="5"/>
  <c r="G154" i="5"/>
  <c r="G153" i="5"/>
  <c r="G152" i="5"/>
  <c r="G151" i="5"/>
  <c r="G150" i="5"/>
  <c r="G149" i="5"/>
  <c r="G148" i="5"/>
  <c r="G147" i="5"/>
  <c r="G146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O16" i="5" s="1"/>
  <c r="G22" i="5"/>
  <c r="G21" i="5"/>
  <c r="G20" i="5"/>
  <c r="G19" i="5"/>
  <c r="G18" i="5"/>
  <c r="G17" i="5"/>
  <c r="N16" i="5"/>
  <c r="M16" i="5"/>
  <c r="L16" i="5"/>
  <c r="G16" i="5"/>
  <c r="N15" i="5"/>
  <c r="M15" i="5"/>
  <c r="L15" i="5"/>
  <c r="G15" i="5"/>
  <c r="N14" i="5"/>
  <c r="M14" i="5"/>
  <c r="L14" i="5"/>
  <c r="G14" i="5"/>
  <c r="N13" i="5"/>
  <c r="D16" i="7" s="1"/>
  <c r="M13" i="5"/>
  <c r="C16" i="7" s="1"/>
  <c r="L13" i="5"/>
  <c r="B16" i="7" s="1"/>
  <c r="G13" i="5"/>
  <c r="N12" i="5"/>
  <c r="M12" i="5"/>
  <c r="L12" i="5"/>
  <c r="G12" i="5"/>
  <c r="N11" i="5"/>
  <c r="M11" i="5"/>
  <c r="L11" i="5"/>
  <c r="G11" i="5"/>
  <c r="N10" i="5"/>
  <c r="M10" i="5"/>
  <c r="L10" i="5"/>
  <c r="G10" i="5"/>
  <c r="O7" i="5" s="1"/>
  <c r="N9" i="5"/>
  <c r="M9" i="5"/>
  <c r="L9" i="5"/>
  <c r="G9" i="5"/>
  <c r="N8" i="5"/>
  <c r="M8" i="5"/>
  <c r="L8" i="5"/>
  <c r="G8" i="5"/>
  <c r="N7" i="5"/>
  <c r="M7" i="5"/>
  <c r="L7" i="5"/>
  <c r="G7" i="5"/>
  <c r="N6" i="5"/>
  <c r="M6" i="5"/>
  <c r="L6" i="5"/>
  <c r="G6" i="5"/>
  <c r="G5" i="5"/>
  <c r="N4" i="5"/>
  <c r="D4" i="7" s="1"/>
  <c r="M4" i="5"/>
  <c r="C4" i="7" s="1"/>
  <c r="L4" i="5"/>
  <c r="B4" i="7" s="1"/>
  <c r="G4" i="5"/>
  <c r="N3" i="5"/>
  <c r="M3" i="5"/>
  <c r="L3" i="5"/>
  <c r="F4" i="7" l="1"/>
  <c r="F16" i="7"/>
  <c r="O3" i="5"/>
  <c r="O13" i="5"/>
  <c r="E16" i="7" s="1"/>
  <c r="O6" i="5"/>
  <c r="O14" i="5"/>
  <c r="O10" i="5"/>
  <c r="O9" i="5"/>
  <c r="G145" i="5"/>
  <c r="G155" i="5" s="1"/>
  <c r="L5" i="5"/>
  <c r="L17" i="5" s="1"/>
  <c r="M5" i="5"/>
  <c r="M17" i="5" s="1"/>
  <c r="O4" i="5"/>
  <c r="E4" i="7" s="1"/>
  <c r="O12" i="5"/>
  <c r="O8" i="5"/>
  <c r="O11" i="5"/>
  <c r="O15" i="5"/>
  <c r="N17" i="5"/>
  <c r="O5" i="5" l="1"/>
  <c r="O17" i="5" s="1"/>
  <c r="F427" i="4" l="1"/>
  <c r="E427" i="4"/>
  <c r="D427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O18" i="4" s="1"/>
  <c r="E20" i="7" s="1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7" i="4"/>
  <c r="G76" i="4"/>
  <c r="G75" i="4"/>
  <c r="G74" i="4"/>
  <c r="G73" i="4"/>
  <c r="G72" i="4"/>
  <c r="G71" i="4"/>
  <c r="G70" i="4"/>
  <c r="G69" i="4"/>
  <c r="G68" i="4"/>
  <c r="G67" i="4"/>
  <c r="G66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3" i="4"/>
  <c r="G32" i="4"/>
  <c r="G31" i="4"/>
  <c r="G30" i="4"/>
  <c r="G29" i="4"/>
  <c r="G28" i="4"/>
  <c r="G27" i="4"/>
  <c r="G26" i="4"/>
  <c r="G25" i="4"/>
  <c r="N24" i="4"/>
  <c r="D26" i="7" s="1"/>
  <c r="M24" i="4"/>
  <c r="C26" i="7" s="1"/>
  <c r="L24" i="4"/>
  <c r="B26" i="7" s="1"/>
  <c r="G24" i="4"/>
  <c r="N23" i="4"/>
  <c r="D25" i="7" s="1"/>
  <c r="F25" i="7" s="1"/>
  <c r="M23" i="4"/>
  <c r="C25" i="7" s="1"/>
  <c r="L23" i="4"/>
  <c r="B25" i="7" s="1"/>
  <c r="G23" i="4"/>
  <c r="N22" i="4"/>
  <c r="D24" i="7" s="1"/>
  <c r="M22" i="4"/>
  <c r="C24" i="7" s="1"/>
  <c r="L22" i="4"/>
  <c r="B24" i="7" s="1"/>
  <c r="G22" i="4"/>
  <c r="N21" i="4"/>
  <c r="D23" i="7" s="1"/>
  <c r="M21" i="4"/>
  <c r="C23" i="7" s="1"/>
  <c r="L21" i="4"/>
  <c r="B23" i="7" s="1"/>
  <c r="G21" i="4"/>
  <c r="N20" i="4"/>
  <c r="D22" i="7" s="1"/>
  <c r="M20" i="4"/>
  <c r="C22" i="7" s="1"/>
  <c r="L20" i="4"/>
  <c r="B22" i="7" s="1"/>
  <c r="G20" i="4"/>
  <c r="N19" i="4"/>
  <c r="D21" i="7" s="1"/>
  <c r="M19" i="4"/>
  <c r="C21" i="7" s="1"/>
  <c r="L19" i="4"/>
  <c r="B21" i="7" s="1"/>
  <c r="G19" i="4"/>
  <c r="N18" i="4"/>
  <c r="D20" i="7" s="1"/>
  <c r="M18" i="4"/>
  <c r="C20" i="7" s="1"/>
  <c r="L18" i="4"/>
  <c r="B20" i="7" s="1"/>
  <c r="G18" i="4"/>
  <c r="N17" i="4"/>
  <c r="D19" i="7" s="1"/>
  <c r="M17" i="4"/>
  <c r="C19" i="7" s="1"/>
  <c r="L17" i="4"/>
  <c r="B19" i="7" s="1"/>
  <c r="G17" i="4"/>
  <c r="N16" i="4"/>
  <c r="D18" i="7" s="1"/>
  <c r="M16" i="4"/>
  <c r="C18" i="7" s="1"/>
  <c r="L16" i="4"/>
  <c r="B18" i="7" s="1"/>
  <c r="G16" i="4"/>
  <c r="N15" i="4"/>
  <c r="D17" i="7" s="1"/>
  <c r="M15" i="4"/>
  <c r="C17" i="7" s="1"/>
  <c r="L15" i="4"/>
  <c r="B17" i="7" s="1"/>
  <c r="G15" i="4"/>
  <c r="N14" i="4"/>
  <c r="D15" i="7" s="1"/>
  <c r="M14" i="4"/>
  <c r="C15" i="7" s="1"/>
  <c r="L14" i="4"/>
  <c r="B15" i="7" s="1"/>
  <c r="G14" i="4"/>
  <c r="N13" i="4"/>
  <c r="D14" i="7" s="1"/>
  <c r="M13" i="4"/>
  <c r="C14" i="7" s="1"/>
  <c r="L13" i="4"/>
  <c r="B14" i="7" s="1"/>
  <c r="N12" i="4"/>
  <c r="D13" i="7" s="1"/>
  <c r="M12" i="4"/>
  <c r="C13" i="7" s="1"/>
  <c r="L12" i="4"/>
  <c r="B13" i="7" s="1"/>
  <c r="G12" i="4"/>
  <c r="N11" i="4"/>
  <c r="D12" i="7" s="1"/>
  <c r="M11" i="4"/>
  <c r="C12" i="7" s="1"/>
  <c r="L11" i="4"/>
  <c r="B12" i="7" s="1"/>
  <c r="G11" i="4"/>
  <c r="N10" i="4"/>
  <c r="D11" i="7" s="1"/>
  <c r="M10" i="4"/>
  <c r="C11" i="7" s="1"/>
  <c r="L10" i="4"/>
  <c r="B11" i="7" s="1"/>
  <c r="G10" i="4"/>
  <c r="N9" i="4"/>
  <c r="D10" i="7" s="1"/>
  <c r="M9" i="4"/>
  <c r="C10" i="7" s="1"/>
  <c r="L9" i="4"/>
  <c r="B10" i="7" s="1"/>
  <c r="G9" i="4"/>
  <c r="N8" i="4"/>
  <c r="D9" i="7" s="1"/>
  <c r="M8" i="4"/>
  <c r="C9" i="7" s="1"/>
  <c r="L8" i="4"/>
  <c r="B9" i="7" s="1"/>
  <c r="G8" i="4"/>
  <c r="N7" i="4"/>
  <c r="D8" i="7" s="1"/>
  <c r="M7" i="4"/>
  <c r="C8" i="7" s="1"/>
  <c r="L7" i="4"/>
  <c r="B8" i="7" s="1"/>
  <c r="G7" i="4"/>
  <c r="N6" i="4"/>
  <c r="D7" i="7" s="1"/>
  <c r="M6" i="4"/>
  <c r="C7" i="7" s="1"/>
  <c r="L6" i="4"/>
  <c r="B7" i="7" s="1"/>
  <c r="G6" i="4"/>
  <c r="N5" i="4"/>
  <c r="D6" i="7" s="1"/>
  <c r="M5" i="4"/>
  <c r="C6" i="7" s="1"/>
  <c r="L5" i="4"/>
  <c r="B6" i="7" s="1"/>
  <c r="G5" i="4"/>
  <c r="N4" i="4"/>
  <c r="D5" i="7" s="1"/>
  <c r="M4" i="4"/>
  <c r="C5" i="7" s="1"/>
  <c r="L4" i="4"/>
  <c r="B5" i="7" s="1"/>
  <c r="G4" i="4"/>
  <c r="N3" i="4"/>
  <c r="D3" i="7" s="1"/>
  <c r="M3" i="4"/>
  <c r="C3" i="7" s="1"/>
  <c r="L3" i="4"/>
  <c r="B3" i="7" s="1"/>
  <c r="G3" i="4"/>
  <c r="G9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90" i="2"/>
  <c r="G91" i="2"/>
  <c r="G92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F14" i="7" l="1"/>
  <c r="F17" i="7"/>
  <c r="F19" i="7"/>
  <c r="F23" i="7"/>
  <c r="F21" i="7"/>
  <c r="F20" i="7"/>
  <c r="F6" i="7"/>
  <c r="F8" i="7"/>
  <c r="F10" i="7"/>
  <c r="F12" i="7"/>
  <c r="F24" i="7"/>
  <c r="F26" i="7"/>
  <c r="C27" i="7"/>
  <c r="F15" i="7"/>
  <c r="F18" i="7"/>
  <c r="F22" i="7"/>
  <c r="D27" i="7"/>
  <c r="F27" i="7" s="1"/>
  <c r="F5" i="7"/>
  <c r="F11" i="7"/>
  <c r="F13" i="7"/>
  <c r="F7" i="7"/>
  <c r="F9" i="7"/>
  <c r="F3" i="7"/>
  <c r="O22" i="4"/>
  <c r="E24" i="7" s="1"/>
  <c r="O20" i="4"/>
  <c r="E22" i="7" s="1"/>
  <c r="O24" i="4"/>
  <c r="E26" i="7" s="1"/>
  <c r="O12" i="4"/>
  <c r="E13" i="7" s="1"/>
  <c r="O10" i="4"/>
  <c r="E11" i="7" s="1"/>
  <c r="O19" i="4"/>
  <c r="E21" i="7" s="1"/>
  <c r="O6" i="4"/>
  <c r="E7" i="7" s="1"/>
  <c r="O16" i="4"/>
  <c r="E18" i="7" s="1"/>
  <c r="O7" i="4"/>
  <c r="E8" i="7" s="1"/>
  <c r="O23" i="4"/>
  <c r="E25" i="7" s="1"/>
  <c r="N25" i="4"/>
  <c r="L37" i="4" s="1"/>
  <c r="O4" i="4"/>
  <c r="E5" i="7" s="1"/>
  <c r="L25" i="4"/>
  <c r="M25" i="4"/>
  <c r="O5" i="4"/>
  <c r="E6" i="7" s="1"/>
  <c r="O9" i="4"/>
  <c r="E10" i="7" s="1"/>
  <c r="O11" i="4"/>
  <c r="E12" i="7" s="1"/>
  <c r="O14" i="4"/>
  <c r="E15" i="7" s="1"/>
  <c r="O15" i="4"/>
  <c r="E17" i="7" s="1"/>
  <c r="G427" i="4"/>
  <c r="O3" i="4"/>
  <c r="E3" i="7" s="1"/>
  <c r="O21" i="4"/>
  <c r="E23" i="7" s="1"/>
  <c r="O13" i="4"/>
  <c r="E14" i="7" s="1"/>
  <c r="O8" i="4"/>
  <c r="E9" i="7" s="1"/>
  <c r="O17" i="4"/>
  <c r="E19" i="7" s="1"/>
  <c r="B27" i="3"/>
  <c r="F155" i="2"/>
  <c r="E155" i="2"/>
  <c r="D155" i="2"/>
  <c r="O13" i="2"/>
  <c r="E16" i="3" s="1"/>
  <c r="O16" i="2"/>
  <c r="N16" i="2"/>
  <c r="M16" i="2"/>
  <c r="L16" i="2"/>
  <c r="N15" i="2"/>
  <c r="M15" i="2"/>
  <c r="L15" i="2"/>
  <c r="N14" i="2"/>
  <c r="M14" i="2"/>
  <c r="L14" i="2"/>
  <c r="N13" i="2"/>
  <c r="D16" i="3" s="1"/>
  <c r="F16" i="3" s="1"/>
  <c r="M13" i="2"/>
  <c r="C16" i="3" s="1"/>
  <c r="L13" i="2"/>
  <c r="B16" i="3" s="1"/>
  <c r="N12" i="2"/>
  <c r="M12" i="2"/>
  <c r="L12" i="2"/>
  <c r="N11" i="2"/>
  <c r="M11" i="2"/>
  <c r="L11" i="2"/>
  <c r="N10" i="2"/>
  <c r="M10" i="2"/>
  <c r="L10" i="2"/>
  <c r="O7" i="2"/>
  <c r="N9" i="2"/>
  <c r="M9" i="2"/>
  <c r="L9" i="2"/>
  <c r="N8" i="2"/>
  <c r="D9" i="3" s="1"/>
  <c r="M8" i="2"/>
  <c r="L8" i="2"/>
  <c r="N7" i="2"/>
  <c r="M7" i="2"/>
  <c r="L7" i="2"/>
  <c r="N6" i="2"/>
  <c r="M6" i="2"/>
  <c r="L6" i="2"/>
  <c r="N5" i="2"/>
  <c r="M5" i="2"/>
  <c r="L5" i="2"/>
  <c r="N4" i="2"/>
  <c r="D4" i="3" s="1"/>
  <c r="M4" i="2"/>
  <c r="C4" i="3" s="1"/>
  <c r="L4" i="2"/>
  <c r="B4" i="3" s="1"/>
  <c r="N3" i="2"/>
  <c r="M3" i="2"/>
  <c r="L3" i="2"/>
  <c r="F421" i="1"/>
  <c r="E421" i="1"/>
  <c r="D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O18" i="1" s="1"/>
  <c r="E20" i="3" s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7" i="1"/>
  <c r="G76" i="1"/>
  <c r="G75" i="1"/>
  <c r="G74" i="1"/>
  <c r="G73" i="1"/>
  <c r="G72" i="1"/>
  <c r="G71" i="1"/>
  <c r="G70" i="1"/>
  <c r="G69" i="1"/>
  <c r="G68" i="1"/>
  <c r="G67" i="1"/>
  <c r="G66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3" i="1"/>
  <c r="G32" i="1"/>
  <c r="G31" i="1"/>
  <c r="G30" i="1"/>
  <c r="G29" i="1"/>
  <c r="G28" i="1"/>
  <c r="G27" i="1"/>
  <c r="G26" i="1"/>
  <c r="G25" i="1"/>
  <c r="N24" i="1"/>
  <c r="D26" i="3" s="1"/>
  <c r="M24" i="1"/>
  <c r="C26" i="3" s="1"/>
  <c r="L24" i="1"/>
  <c r="B26" i="3" s="1"/>
  <c r="G24" i="1"/>
  <c r="N23" i="1"/>
  <c r="D25" i="3" s="1"/>
  <c r="M23" i="1"/>
  <c r="C25" i="3" s="1"/>
  <c r="L23" i="1"/>
  <c r="B25" i="3" s="1"/>
  <c r="G23" i="1"/>
  <c r="N22" i="1"/>
  <c r="D24" i="3" s="1"/>
  <c r="M22" i="1"/>
  <c r="C24" i="3" s="1"/>
  <c r="L22" i="1"/>
  <c r="B24" i="3" s="1"/>
  <c r="G22" i="1"/>
  <c r="N21" i="1"/>
  <c r="D23" i="3" s="1"/>
  <c r="M21" i="1"/>
  <c r="C23" i="3" s="1"/>
  <c r="L21" i="1"/>
  <c r="B23" i="3" s="1"/>
  <c r="G21" i="1"/>
  <c r="N20" i="1"/>
  <c r="D22" i="3" s="1"/>
  <c r="M20" i="1"/>
  <c r="C22" i="3" s="1"/>
  <c r="L20" i="1"/>
  <c r="B22" i="3" s="1"/>
  <c r="G20" i="1"/>
  <c r="N19" i="1"/>
  <c r="D21" i="3" s="1"/>
  <c r="M19" i="1"/>
  <c r="C21" i="3" s="1"/>
  <c r="L19" i="1"/>
  <c r="B21" i="3" s="1"/>
  <c r="G19" i="1"/>
  <c r="N18" i="1"/>
  <c r="D20" i="3" s="1"/>
  <c r="M18" i="1"/>
  <c r="C20" i="3" s="1"/>
  <c r="L18" i="1"/>
  <c r="B20" i="3" s="1"/>
  <c r="G18" i="1"/>
  <c r="N17" i="1"/>
  <c r="M17" i="1"/>
  <c r="L17" i="1"/>
  <c r="G17" i="1"/>
  <c r="N16" i="1"/>
  <c r="D18" i="3" s="1"/>
  <c r="M16" i="1"/>
  <c r="C18" i="3" s="1"/>
  <c r="L16" i="1"/>
  <c r="B18" i="3" s="1"/>
  <c r="G16" i="1"/>
  <c r="N15" i="1"/>
  <c r="M15" i="1"/>
  <c r="L15" i="1"/>
  <c r="G15" i="1"/>
  <c r="N14" i="1"/>
  <c r="M14" i="1"/>
  <c r="L14" i="1"/>
  <c r="G14" i="1"/>
  <c r="N13" i="1"/>
  <c r="D14" i="3" s="1"/>
  <c r="M13" i="1"/>
  <c r="C14" i="3" s="1"/>
  <c r="L13" i="1"/>
  <c r="B14" i="3" s="1"/>
  <c r="N12" i="1"/>
  <c r="M12" i="1"/>
  <c r="L12" i="1"/>
  <c r="G12" i="1"/>
  <c r="N11" i="1"/>
  <c r="M11" i="1"/>
  <c r="L11" i="1"/>
  <c r="G11" i="1"/>
  <c r="N10" i="1"/>
  <c r="M10" i="1"/>
  <c r="L10" i="1"/>
  <c r="G10" i="1"/>
  <c r="N9" i="1"/>
  <c r="M9" i="1"/>
  <c r="L9" i="1"/>
  <c r="G9" i="1"/>
  <c r="N8" i="1"/>
  <c r="M8" i="1"/>
  <c r="L8" i="1"/>
  <c r="G8" i="1"/>
  <c r="N7" i="1"/>
  <c r="D8" i="3" s="1"/>
  <c r="M7" i="1"/>
  <c r="C8" i="3" s="1"/>
  <c r="L7" i="1"/>
  <c r="B8" i="3" s="1"/>
  <c r="G7" i="1"/>
  <c r="N6" i="1"/>
  <c r="M6" i="1"/>
  <c r="L6" i="1"/>
  <c r="G6" i="1"/>
  <c r="N5" i="1"/>
  <c r="M5" i="1"/>
  <c r="L5" i="1"/>
  <c r="G5" i="1"/>
  <c r="N4" i="1"/>
  <c r="M4" i="1"/>
  <c r="L4" i="1"/>
  <c r="G4" i="1"/>
  <c r="N3" i="1"/>
  <c r="M3" i="1"/>
  <c r="L3" i="1"/>
  <c r="G3" i="1"/>
  <c r="E27" i="7" l="1"/>
  <c r="O25" i="4"/>
  <c r="B9" i="3"/>
  <c r="C9" i="3"/>
  <c r="D13" i="3"/>
  <c r="C17" i="3"/>
  <c r="D6" i="3"/>
  <c r="F6" i="3" s="1"/>
  <c r="F22" i="3"/>
  <c r="F24" i="3"/>
  <c r="F21" i="3"/>
  <c r="F14" i="3"/>
  <c r="F25" i="3"/>
  <c r="F8" i="3"/>
  <c r="F23" i="3"/>
  <c r="D3" i="3"/>
  <c r="C6" i="3"/>
  <c r="B10" i="3"/>
  <c r="C13" i="3"/>
  <c r="B17" i="3"/>
  <c r="D12" i="3"/>
  <c r="C3" i="3"/>
  <c r="B6" i="3"/>
  <c r="B13" i="3"/>
  <c r="C12" i="3"/>
  <c r="B7" i="3"/>
  <c r="D10" i="3"/>
  <c r="B15" i="3"/>
  <c r="D17" i="3"/>
  <c r="C10" i="3"/>
  <c r="C7" i="3"/>
  <c r="C15" i="3"/>
  <c r="B19" i="3"/>
  <c r="B5" i="3"/>
  <c r="D7" i="3"/>
  <c r="B11" i="3"/>
  <c r="D15" i="3"/>
  <c r="C19" i="3"/>
  <c r="C5" i="3"/>
  <c r="F9" i="3"/>
  <c r="C11" i="3"/>
  <c r="D19" i="3"/>
  <c r="B3" i="3"/>
  <c r="D5" i="3"/>
  <c r="D11" i="3"/>
  <c r="B12" i="3"/>
  <c r="O10" i="2"/>
  <c r="O6" i="2"/>
  <c r="O4" i="2"/>
  <c r="E4" i="3" s="1"/>
  <c r="O5" i="2"/>
  <c r="O3" i="2"/>
  <c r="O9" i="2"/>
  <c r="O12" i="2"/>
  <c r="O14" i="2"/>
  <c r="O15" i="2"/>
  <c r="O8" i="2"/>
  <c r="G155" i="2"/>
  <c r="L17" i="2"/>
  <c r="N17" i="2"/>
  <c r="O11" i="2"/>
  <c r="M17" i="2"/>
  <c r="O7" i="1"/>
  <c r="E8" i="3" s="1"/>
  <c r="O19" i="1"/>
  <c r="E21" i="3" s="1"/>
  <c r="O20" i="1"/>
  <c r="E22" i="3" s="1"/>
  <c r="O5" i="1"/>
  <c r="O11" i="1"/>
  <c r="E12" i="3" s="1"/>
  <c r="O21" i="1"/>
  <c r="E23" i="3" s="1"/>
  <c r="O3" i="1"/>
  <c r="N25" i="1"/>
  <c r="F4" i="3"/>
  <c r="F26" i="3"/>
  <c r="O9" i="1"/>
  <c r="O14" i="1"/>
  <c r="O22" i="1"/>
  <c r="E24" i="3" s="1"/>
  <c r="O23" i="1"/>
  <c r="E25" i="3" s="1"/>
  <c r="F18" i="3"/>
  <c r="F20" i="3"/>
  <c r="M25" i="1"/>
  <c r="O8" i="1"/>
  <c r="G421" i="1"/>
  <c r="O16" i="1"/>
  <c r="E18" i="3" s="1"/>
  <c r="O6" i="1"/>
  <c r="E7" i="3" s="1"/>
  <c r="O13" i="1"/>
  <c r="E14" i="3" s="1"/>
  <c r="L25" i="1"/>
  <c r="O4" i="1"/>
  <c r="O12" i="1"/>
  <c r="O15" i="1"/>
  <c r="O10" i="1"/>
  <c r="O17" i="1"/>
  <c r="O24" i="1"/>
  <c r="E26" i="3" s="1"/>
  <c r="F19" i="3" l="1"/>
  <c r="E9" i="3"/>
  <c r="F13" i="3"/>
  <c r="F17" i="3"/>
  <c r="F11" i="3"/>
  <c r="F12" i="3"/>
  <c r="F7" i="3"/>
  <c r="E15" i="3"/>
  <c r="E10" i="3"/>
  <c r="F15" i="3"/>
  <c r="F5" i="3"/>
  <c r="F3" i="3"/>
  <c r="E6" i="3"/>
  <c r="D27" i="3"/>
  <c r="F27" i="3" s="1"/>
  <c r="E5" i="3"/>
  <c r="L37" i="1"/>
  <c r="E3" i="3"/>
  <c r="F10" i="3"/>
  <c r="E17" i="3"/>
  <c r="E13" i="3"/>
  <c r="E19" i="3"/>
  <c r="E11" i="3"/>
  <c r="C27" i="3"/>
  <c r="O17" i="2"/>
  <c r="O25" i="1"/>
  <c r="E27" i="3" l="1"/>
</calcChain>
</file>

<file path=xl/sharedStrings.xml><?xml version="1.0" encoding="utf-8"?>
<sst xmlns="http://schemas.openxmlformats.org/spreadsheetml/2006/main" count="11016" uniqueCount="174">
  <si>
    <t>MÃ TOÀ</t>
  </si>
  <si>
    <t>CỔ ĐÔNG</t>
  </si>
  <si>
    <t>TỈ LỆ %</t>
  </si>
  <si>
    <t>VỐN CP</t>
  </si>
  <si>
    <t>LỢI NHUẬN GỘP</t>
  </si>
  <si>
    <t>LỢI NHUẬN RÒNG</t>
  </si>
  <si>
    <t>TỔNG NHẬN</t>
  </si>
  <si>
    <t>Column1</t>
  </si>
  <si>
    <t>S1</t>
  </si>
  <si>
    <t xml:space="preserve">CHUNG </t>
  </si>
  <si>
    <t>A ĐIỆP</t>
  </si>
  <si>
    <t>S2</t>
  </si>
  <si>
    <t>S3</t>
  </si>
  <si>
    <t>Đ.THẮNG</t>
  </si>
  <si>
    <t>S4</t>
  </si>
  <si>
    <t xml:space="preserve">ĐẠT </t>
  </si>
  <si>
    <t>S5</t>
  </si>
  <si>
    <t>DT</t>
  </si>
  <si>
    <t>S6</t>
  </si>
  <si>
    <t xml:space="preserve">HẰNG </t>
  </si>
  <si>
    <t>S7</t>
  </si>
  <si>
    <t>HÀO</t>
  </si>
  <si>
    <t>S8</t>
  </si>
  <si>
    <t>HUY</t>
  </si>
  <si>
    <t>S9</t>
  </si>
  <si>
    <t>HUY ANH</t>
  </si>
  <si>
    <t>S10</t>
  </si>
  <si>
    <t>KIÊN</t>
  </si>
  <si>
    <t>S11</t>
  </si>
  <si>
    <t>LUẬN</t>
  </si>
  <si>
    <t>S12</t>
  </si>
  <si>
    <t>MẠNH</t>
  </si>
  <si>
    <t>S13</t>
  </si>
  <si>
    <t>NGỌC</t>
  </si>
  <si>
    <t>S14</t>
  </si>
  <si>
    <t>NỤ</t>
  </si>
  <si>
    <t>S15</t>
  </si>
  <si>
    <t>TÙNG</t>
  </si>
  <si>
    <t>S16</t>
  </si>
  <si>
    <t>CƯỜNG</t>
  </si>
  <si>
    <t>S17</t>
  </si>
  <si>
    <t xml:space="preserve">HƯƠNG ANH </t>
  </si>
  <si>
    <t xml:space="preserve">HOÀNG ANH </t>
  </si>
  <si>
    <t>LÂM</t>
  </si>
  <si>
    <t>LINH</t>
  </si>
  <si>
    <t>HUYỀN</t>
  </si>
  <si>
    <t>ƯỚC</t>
  </si>
  <si>
    <t>TỔNG</t>
  </si>
  <si>
    <t>S18</t>
  </si>
  <si>
    <t>S19A</t>
  </si>
  <si>
    <t>S19B</t>
  </si>
  <si>
    <t>S19C</t>
  </si>
  <si>
    <t>S20</t>
  </si>
  <si>
    <t>S21A</t>
  </si>
  <si>
    <t>S23</t>
  </si>
  <si>
    <t>S22</t>
  </si>
  <si>
    <t>S24</t>
  </si>
  <si>
    <t>S25A</t>
  </si>
  <si>
    <t>S25B</t>
  </si>
  <si>
    <t>S26</t>
  </si>
  <si>
    <t>S27</t>
  </si>
  <si>
    <t>S29</t>
  </si>
  <si>
    <t>S28</t>
  </si>
  <si>
    <t>S30</t>
  </si>
  <si>
    <t>S31</t>
  </si>
  <si>
    <t>S32</t>
  </si>
  <si>
    <t>S33</t>
  </si>
  <si>
    <t>S34</t>
  </si>
  <si>
    <t>S35</t>
  </si>
  <si>
    <t>S36</t>
  </si>
  <si>
    <t>S38</t>
  </si>
  <si>
    <t>S9B</t>
  </si>
  <si>
    <t>S37</t>
  </si>
  <si>
    <t>S39</t>
  </si>
  <si>
    <t>S40</t>
  </si>
  <si>
    <t>S41</t>
  </si>
  <si>
    <t>S42</t>
  </si>
  <si>
    <t>S44</t>
  </si>
  <si>
    <t>S43</t>
  </si>
  <si>
    <t>S45</t>
  </si>
  <si>
    <t>S46</t>
  </si>
  <si>
    <t>S47</t>
  </si>
  <si>
    <t>S48</t>
  </si>
  <si>
    <t>S49</t>
  </si>
  <si>
    <t>S50</t>
  </si>
  <si>
    <t xml:space="preserve"> </t>
  </si>
  <si>
    <t xml:space="preserve"> T33</t>
  </si>
  <si>
    <t>CHIẾN</t>
  </si>
  <si>
    <t>Đ. THẮNG</t>
  </si>
  <si>
    <t>ĐẠT</t>
  </si>
  <si>
    <t xml:space="preserve"> T37</t>
  </si>
  <si>
    <t>N. THẮNG</t>
  </si>
  <si>
    <t xml:space="preserve"> T38</t>
  </si>
  <si>
    <t xml:space="preserve"> T41</t>
  </si>
  <si>
    <t>T41</t>
  </si>
  <si>
    <t xml:space="preserve"> T42</t>
  </si>
  <si>
    <t xml:space="preserve"> T44</t>
  </si>
  <si>
    <t xml:space="preserve"> T45</t>
  </si>
  <si>
    <t>T10</t>
  </si>
  <si>
    <t>T11</t>
  </si>
  <si>
    <t>T12</t>
  </si>
  <si>
    <t>T13</t>
  </si>
  <si>
    <t>T14</t>
  </si>
  <si>
    <t>T15</t>
  </si>
  <si>
    <t>T17</t>
  </si>
  <si>
    <t>T18</t>
  </si>
  <si>
    <t>T2</t>
  </si>
  <si>
    <t>T20</t>
  </si>
  <si>
    <t>T21</t>
  </si>
  <si>
    <t>T22</t>
  </si>
  <si>
    <t>T24</t>
  </si>
  <si>
    <t>T25</t>
  </si>
  <si>
    <t>T26</t>
  </si>
  <si>
    <t>T27</t>
  </si>
  <si>
    <t>T28</t>
  </si>
  <si>
    <t>T3</t>
  </si>
  <si>
    <t>T30</t>
  </si>
  <si>
    <t>T31</t>
  </si>
  <si>
    <t>T32</t>
  </si>
  <si>
    <t>T34</t>
  </si>
  <si>
    <t>T35</t>
  </si>
  <si>
    <t>T36</t>
  </si>
  <si>
    <t>T37</t>
  </si>
  <si>
    <t>T42</t>
  </si>
  <si>
    <t>T43</t>
  </si>
  <si>
    <t>T5</t>
  </si>
  <si>
    <t>T7</t>
  </si>
  <si>
    <t>T8</t>
  </si>
  <si>
    <t>TỶ LỆ ĐT</t>
  </si>
  <si>
    <t>TỎNG</t>
  </si>
  <si>
    <t>BẢNG CHIA CỔ PHẦN THÁNG 1.26 NHÀ S</t>
  </si>
  <si>
    <t>BẢNG CHIA CỔ PHẦN THÁNG 1.26 NHÀ T</t>
  </si>
  <si>
    <t>BẢNG LỢI NHUÂN RÒNG THÁNG 1</t>
  </si>
  <si>
    <t>BẢNG CHIA CỔ PHẦN THÁNG 2.26 NHÀ S</t>
  </si>
  <si>
    <t>BẢNG CHIA CỔ PHẦN THÁNG 2.26 NHÀ T</t>
  </si>
  <si>
    <t>BẢNG CHIA CỔ PHẦN THÁNG 2.26 NHÀ G</t>
  </si>
  <si>
    <t>G1</t>
  </si>
  <si>
    <t>BẢNG LỢI NHUÂN RÒNG THÁNG 2</t>
  </si>
  <si>
    <t>G2</t>
  </si>
  <si>
    <t>S4B</t>
  </si>
  <si>
    <t>G3</t>
  </si>
  <si>
    <t>G4</t>
  </si>
  <si>
    <t>BẢNG LỢI NHUÂN RÒNG THÁNG 3</t>
  </si>
  <si>
    <t>BẢNG CHIA CỔ PHẦN THÁNG 3.26 NHÀ T</t>
  </si>
  <si>
    <t>BẢNG CHIA CỔ PHẦN THÁNG 3.26 NHÀ S</t>
  </si>
  <si>
    <t>BẢNG CHIA CỔ PHẦN THÁNG 3.26 NHÀ G</t>
  </si>
  <si>
    <t>G5</t>
  </si>
  <si>
    <t>G6</t>
  </si>
  <si>
    <t>G7</t>
  </si>
  <si>
    <t>BẢNG CHIA CỔ PHẦN THÁNG 4.26 NHÀ S</t>
  </si>
  <si>
    <t>BẢNG CHIA CỔ PHẦN THÁNG 4.26 NHÀ T</t>
  </si>
  <si>
    <t>BẢNG CHIA CỔ PHẦN THÁNG 4.26 NHÀ G</t>
  </si>
  <si>
    <t>BẢNG LỢI NHUÂN RÒNG THÁNG 4</t>
  </si>
  <si>
    <t>BẢNG CHIA CỔ PHẦN THÁNG 5.26 NHÀ G</t>
  </si>
  <si>
    <t>BẢNG CHIA CỔ PHẦN THÁNG 5.26 NHÀ S</t>
  </si>
  <si>
    <t>BẢNG LỢI NHUÂN RÒNG THÁNG 5</t>
  </si>
  <si>
    <t>BẢNG CHIA CỔ PHẦN THÁNG 5.26 NHÀ T</t>
  </si>
  <si>
    <t>BẢNG CHIA CỔ PHẦN THÁNG 7.26 NHÀ T</t>
  </si>
  <si>
    <t>BẢNG CHIA CỔ PHẦN THÁNG 7.26 NHÀ S</t>
  </si>
  <si>
    <t>BẢNG CHIA CỔ PHẦN THÁNG 7.26 NHÀ G</t>
  </si>
  <si>
    <t>BẢNG LỢI NHUẬN RÒNG THÁNG 7</t>
  </si>
  <si>
    <t>TRƯỜNG</t>
  </si>
  <si>
    <t>G8</t>
  </si>
  <si>
    <t>G9</t>
  </si>
  <si>
    <t>G10</t>
  </si>
  <si>
    <t>G11</t>
  </si>
  <si>
    <t>KHẢI</t>
  </si>
  <si>
    <t>BẢNG CHIA CỔ PHẦN THÁNG 8.26 NHÀ G</t>
  </si>
  <si>
    <t>BẢNG CHIA CỔ PHẦN THÁNG 8.26 NHÀ S</t>
  </si>
  <si>
    <t>BẢNG CHIA CỔ PHẦN THÁNG 8.26 NHÀ T</t>
  </si>
  <si>
    <t>BẢNG LỢI NHUẬN RÒNG THÁNG 8</t>
  </si>
  <si>
    <t>G12</t>
  </si>
  <si>
    <t>G14</t>
  </si>
  <si>
    <t>G13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</si>
</sst>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3" fontId="3" fillId="0" borderId="4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5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left"/>
    </xf>
    <xf numFmtId="3" fontId="3" fillId="0" borderId="1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3" fontId="3" fillId="0" borderId="11" xfId="0" applyNumberFormat="1" applyFont="1" applyBorder="1" applyAlignment="1">
      <alignment horizontal="left"/>
    </xf>
    <xf numFmtId="0" fontId="4" fillId="0" borderId="5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3" fontId="5" fillId="0" borderId="10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3" fillId="0" borderId="4" xfId="0" applyFont="1" applyBorder="1"/>
    <xf numFmtId="3" fontId="3" fillId="0" borderId="4" xfId="0" applyNumberFormat="1" applyFont="1" applyBorder="1"/>
    <xf numFmtId="0" fontId="4" fillId="0" borderId="4" xfId="0" applyFont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  <xf numFmtId="3" fontId="7" fillId="3" borderId="7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left"/>
    </xf>
    <xf numFmtId="3" fontId="0" fillId="0" borderId="4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0" fillId="0" borderId="11" xfId="0" applyNumberFormat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3" fontId="9" fillId="0" borderId="12" xfId="0" applyNumberFormat="1" applyFont="1" applyBorder="1" applyAlignment="1">
      <alignment horizontal="left"/>
    </xf>
    <xf numFmtId="3" fontId="3" fillId="0" borderId="12" xfId="0" applyNumberFormat="1" applyFont="1" applyBorder="1" applyAlignment="1">
      <alignment horizontal="left"/>
    </xf>
    <xf numFmtId="0" fontId="4" fillId="0" borderId="4" xfId="0" applyFont="1" applyBorder="1" applyAlignment="1">
      <alignment vertical="center"/>
    </xf>
    <xf numFmtId="3" fontId="4" fillId="0" borderId="4" xfId="0" applyNumberFormat="1" applyFont="1" applyBorder="1" applyAlignment="1">
      <alignment horizontal="left"/>
    </xf>
    <xf numFmtId="0" fontId="9" fillId="0" borderId="0" xfId="0" applyFont="1"/>
    <xf numFmtId="0" fontId="9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/>
    </xf>
    <xf numFmtId="3" fontId="9" fillId="0" borderId="0" xfId="0" applyNumberFormat="1" applyFont="1"/>
    <xf numFmtId="10" fontId="9" fillId="0" borderId="12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3" fontId="0" fillId="0" borderId="0" xfId="0" applyNumberFormat="1"/>
    <xf numFmtId="3" fontId="9" fillId="0" borderId="0" xfId="0" applyNumberFormat="1" applyFont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 2" xfId="1" xr:uid="{9037C011-0B1A-4FEA-A711-3B1C7719035E}"/>
  </cellStyles>
  <dxfs count="7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12.2025/B&#7843;ng%20chia%20CP%20th&#225;ng%2012.xlsx" TargetMode="External"/><Relationship Id="rId2" Type="http://schemas.openxmlformats.org/officeDocument/2006/relationships/externalLinkPath" Target="file:///G:\ngoc%20oi\T&#192;I%20CH&#205;NH%20TH&#193;NG%2012.2025\B&#7843;ng%20chia%20CP%20th&#225;ng%2012.xlsx" TargetMode="External"/><Relationship Id="rId1" Type="http://schemas.openxmlformats.org/officeDocument/2006/relationships/externalLinkPath" Target="/ngoc%20oi/T&#192;I%20CH&#205;NH%20TH&#193;NG%2012.2025/B&#7843;ng%20chia%20CP%20th&#225;ng%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NR THÁNG  12"/>
      <sheetName val="Tháng 12 nhà T  "/>
      <sheetName val="Tháng 11 nhà T "/>
      <sheetName val="Tháng 12 nhà S"/>
      <sheetName val="Tháng 11 nhà S"/>
      <sheetName val="LNR THÁNG  11 "/>
      <sheetName val="Tháng 10 nhà S "/>
      <sheetName val="Tháng 10 nhà T "/>
      <sheetName val="LNR THÁNG  10"/>
      <sheetName val="LNR THÁNG  9"/>
      <sheetName val="Tháng 9 nhà T  "/>
      <sheetName val="Tháng 9 nhà S "/>
      <sheetName val="Tháng 8 nhà T  "/>
      <sheetName val="Tháng 8 nhà S "/>
      <sheetName val="LNR THÁNG 8"/>
      <sheetName val="Tháng 7 nhà T  "/>
      <sheetName val="Tháng 7 nhà S"/>
      <sheetName val="LNR THÁNG 6"/>
      <sheetName val="Tháng 6 nhà T  "/>
      <sheetName val="Tháng 6 nhà S "/>
      <sheetName val="LNR THÁNG 5"/>
      <sheetName val="Tháng 5 nhà S "/>
      <sheetName val="Tháng 5 nhà T  "/>
      <sheetName val="Tháng 4 nhà T "/>
      <sheetName val="Tháng 4 nhà S"/>
      <sheetName val="LNR THÁNG 4"/>
      <sheetName val="Tháng 3 nhà S"/>
      <sheetName val="Tháng 3 nhà T"/>
      <sheetName val="LNR THÁNG 3 "/>
      <sheetName val="Tháng 2 nhà T"/>
      <sheetName val="Tháng 2 nhà S"/>
      <sheetName val="LNR THÁNG 2"/>
      <sheetName val="LNR THÁNG 1"/>
      <sheetName val="Tháng 1 nhà S  "/>
      <sheetName val="Tháng 1 nhà T "/>
      <sheetName val="Bảng chia CP tháng 12"/>
    </sheetNames>
    <sheetDataSet>
      <sheetData sheetId="0"/>
      <sheetData sheetId="1">
        <row r="8">
          <cell r="L8">
            <v>412660000</v>
          </cell>
        </row>
      </sheetData>
      <sheetData sheetId="2"/>
      <sheetData sheetId="3">
        <row r="7">
          <cell r="L7">
            <v>6795000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25">
          <cell r="L25">
            <v>1745166666.6666663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2E223C-A5C3-4102-8C66-19F421A61411}" name="Table12716213122126313645505560" displayName="Table12716213122126313645505560" ref="A2:F28" totalsRowShown="0" headerRowDxfId="743" dataDxfId="741" headerRowBorderDxfId="742" tableBorderDxfId="740" totalsRowBorderDxfId="739">
  <autoFilter ref="A2:F28" xr:uid="{212B1B83-9292-4DF1-8EEA-4F21A0F208AE}"/>
  <sortState xmlns:xlrd2="http://schemas.microsoft.com/office/spreadsheetml/2017/richdata2" ref="A3:F27">
    <sortCondition ref="A7:A27"/>
  </sortState>
  <tableColumns count="6">
    <tableColumn id="1" xr3:uid="{91F0E439-7608-41E8-BDFD-26D04DA55874}" name="CỔ ĐÔNG" dataDxfId="738"/>
    <tableColumn id="2" xr3:uid="{DBBF7BCD-719D-4EAA-AD6F-A37BB96521C7}" name="VỐN CP" dataDxfId="737"/>
    <tableColumn id="3" xr3:uid="{D4E6565D-E1BC-417A-B86D-DDB4D6BEB025}" name="LỢI NHUẬN GỘP" dataDxfId="736"/>
    <tableColumn id="4" xr3:uid="{7F2060A3-D6A7-4C51-BB01-3850F540308A}" name="LỢI NHUẬN RÒNG" dataDxfId="735"/>
    <tableColumn id="5" xr3:uid="{6E823506-EEC0-4387-923B-C2D9F3C66290}" name="TỔNG NHẬN" dataDxfId="734"/>
    <tableColumn id="6" xr3:uid="{148E809A-F5CC-4041-BDE2-1099DC2E700B}" name="TỶ LỆ ĐT" dataDxfId="733">
      <calculatedColumnFormula>D3/B3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C9B2C4-0464-4E46-97B2-C1F68B95293B}" name="Table52111768152229343741465158" displayName="Table52111768152229343741465158" ref="A3:G155" totalsRowCount="1" headerRowDxfId="732" dataDxfId="730" headerRowBorderDxfId="731" tableBorderDxfId="729" totalsRowBorderDxfId="728">
  <autoFilter ref="A3:G154" xr:uid="{8151022E-F251-4527-B654-08E36BDAA1FB}">
    <filterColumn colId="1">
      <filters>
        <filter val="TÙNG"/>
      </filters>
    </filterColumn>
  </autoFilter>
  <sortState xmlns:xlrd2="http://schemas.microsoft.com/office/spreadsheetml/2017/richdata2" ref="A4:G154">
    <sortCondition ref="A4:A154"/>
  </sortState>
  <tableColumns count="7">
    <tableColumn id="1" xr3:uid="{60DEB6C6-C4FF-49A3-AA41-8401A5AD5ED8}" name="MÃ TOÀ" dataDxfId="727" totalsRowDxfId="726"/>
    <tableColumn id="2" xr3:uid="{D5BF8A42-772D-4000-BAA8-F0AF9536F0E4}" name="CỔ ĐÔNG" dataDxfId="725" totalsRowDxfId="724"/>
    <tableColumn id="3" xr3:uid="{C19361BC-B503-4556-9E17-26E685639F6D}" name="TỈ LỆ %" dataDxfId="723" totalsRowDxfId="722"/>
    <tableColumn id="4" xr3:uid="{3F91718E-F55B-427A-8794-64849BEED3C4}" name="VỐN CP" totalsRowFunction="sum" dataDxfId="721" totalsRowDxfId="720"/>
    <tableColumn id="5" xr3:uid="{E01FA108-60B4-47C1-B486-284C7E6C47C5}" name="LỢI NHUẬN GỘP" totalsRowFunction="sum" dataDxfId="719" totalsRowDxfId="718"/>
    <tableColumn id="6" xr3:uid="{7FDD4C4C-ADB6-4983-B379-2936BF7B814A}" name="LỢI NHUẬN RÒNG" totalsRowFunction="sum" dataDxfId="717" totalsRowDxfId="716"/>
    <tableColumn id="7" xr3:uid="{C74ACE24-F748-4A58-92D2-5587B2F856EC}" name="TỔNG NHẬN" totalsRowFunction="sum" dataDxfId="715" totalsRowDxfId="714">
      <calculatedColumnFormula>Table52111768152229343741465158[[#This Row],[LỢI NHUẬN RÒNG]]+Table52111768152229343741465158[[#This Row],[VỐN CP]]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6B8C50-89F8-4A3B-A152-E1BC8851A24B}" name="Table73121879162330353842475259" displayName="Table73121879162330353842475259" ref="K2:O18" totalsRowShown="0" headerRowDxfId="713" dataDxfId="711" headerRowBorderDxfId="712" tableBorderDxfId="710" totalsRowBorderDxfId="709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7B5C5459-067F-4BD7-A5BA-227F94DDD18B}" name="CỔ ĐÔNG" dataDxfId="708"/>
    <tableColumn id="2" xr3:uid="{733C6656-B7BB-44C8-8F67-9FA39DC5A5F2}" name="VỐN CP" dataDxfId="707"/>
    <tableColumn id="3" xr3:uid="{81B401AD-B9DE-472A-A93A-63A6B788E6AC}" name="LỢI NHUẬN GỘP" dataDxfId="706"/>
    <tableColumn id="4" xr3:uid="{49037800-303B-4D13-9229-E914D19A759D}" name="LỢI NHUẬN RÒNG" dataDxfId="705"/>
    <tableColumn id="5" xr3:uid="{84AACCB3-93D9-484B-9DD5-D25DB1807BAB}" name="TỔNG NHẬN" dataDxfId="7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7E6EE1-F3F3-4A91-841C-8C417902CFBB}" name="Table52111768152229343741465158916" displayName="Table52111768152229343741465158916" ref="A3:G155" totalsRowCount="1" headerRowDxfId="703" dataDxfId="701" headerRowBorderDxfId="702" tableBorderDxfId="700" totalsRowBorderDxfId="699">
  <autoFilter ref="A3:G154" xr:uid="{8151022E-F251-4527-B654-08E36BDAA1FB}">
    <filterColumn colId="1">
      <filters>
        <filter val="NGỌC"/>
      </filters>
    </filterColumn>
  </autoFilter>
  <sortState xmlns:xlrd2="http://schemas.microsoft.com/office/spreadsheetml/2017/richdata2" ref="A4:G154">
    <sortCondition ref="A4:A154"/>
  </sortState>
  <tableColumns count="7">
    <tableColumn id="1" xr3:uid="{77E1BFBA-0C9B-475C-870A-8841AC5AB54E}" name="MÃ TOÀ" dataDxfId="698" totalsRowDxfId="697"/>
    <tableColumn id="2" xr3:uid="{BBFB391A-8A71-479C-AC4A-C7FD1F6EF877}" name="CỔ ĐÔNG" dataDxfId="696" totalsRowDxfId="695"/>
    <tableColumn id="3" xr3:uid="{52FEF40E-74E7-4243-B0E7-6A039B3A481F}" name="TỈ LỆ %" dataDxfId="694" totalsRowDxfId="693"/>
    <tableColumn id="4" xr3:uid="{78C4D295-70D1-47CF-B7AC-4172C93601BB}" name="VỐN CP" totalsRowFunction="sum" dataDxfId="692" totalsRowDxfId="691"/>
    <tableColumn id="5" xr3:uid="{26635C5E-5960-4F42-B54F-9B888284E8D8}" name="LỢI NHUẬN GỘP" totalsRowFunction="sum" dataDxfId="690" totalsRowDxfId="689"/>
    <tableColumn id="6" xr3:uid="{A52072A8-B06C-474E-819B-BFCDBAFDA288}" name="LỢI NHUẬN RÒNG" totalsRowFunction="sum" dataDxfId="688" totalsRowDxfId="687"/>
    <tableColumn id="7" xr3:uid="{C1B9F7A6-5A25-4092-B96A-5C1AB2AB79EA}" name="TỔNG NHẬN" totalsRowFunction="sum" dataDxfId="686" totalsRowDxfId="685">
      <calculatedColumnFormula>Table52111768152229343741465158916[[#This Row],[LỢI NHUẬN RÒNG]]+Table52111768152229343741465158916[[#This Row],[VỐN CP]]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5A1C93-CCDD-4124-9562-B0A815414A0C}" name="Table731218791623303538424752591017" displayName="Table731218791623303538424752591017" ref="K2:O18" totalsRowShown="0" headerRowDxfId="684" dataDxfId="682" headerRowBorderDxfId="683" tableBorderDxfId="681" totalsRowBorderDxfId="680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BA7CBFC1-299C-404B-9DA3-F994587000C6}" name="CỔ ĐÔNG" dataDxfId="679"/>
    <tableColumn id="2" xr3:uid="{A1543835-3B59-4ACA-9341-671D0C3C52BD}" name="VỐN CP" dataDxfId="678"/>
    <tableColumn id="3" xr3:uid="{DA25FEAF-0730-474E-8B99-8A171C55F6E0}" name="LỢI NHUẬN GỘP" dataDxfId="677"/>
    <tableColumn id="4" xr3:uid="{DF483298-6287-4526-88CC-7AB6EA3AE2CC}" name="LỢI NHUẬN RÒNG" dataDxfId="676"/>
    <tableColumn id="5" xr3:uid="{3BD5C278-4353-4874-8485-3B0A5E50CDC1}" name="TỔNG NHẬN" dataDxfId="6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AD5387-7E8D-48BA-8FC7-FCE439C2C5F5}" name="Table521117681522293437414651589" displayName="Table521117681522293437414651589" ref="A3:G155" totalsRowCount="1" headerRowDxfId="674" dataDxfId="672" headerRowBorderDxfId="673" tableBorderDxfId="671" totalsRowBorderDxfId="670">
  <autoFilter ref="A3:G154" xr:uid="{8151022E-F251-4527-B654-08E36BDAA1FB}">
    <filterColumn colId="1">
      <filters>
        <filter val="NGỌC"/>
      </filters>
    </filterColumn>
  </autoFilter>
  <sortState xmlns:xlrd2="http://schemas.microsoft.com/office/spreadsheetml/2017/richdata2" ref="A4:G154">
    <sortCondition ref="A4:A154"/>
  </sortState>
  <tableColumns count="7">
    <tableColumn id="1" xr3:uid="{B34E242B-F594-45D1-BCC7-29818CBE210A}" name="MÃ TOÀ" dataDxfId="669" totalsRowDxfId="668"/>
    <tableColumn id="2" xr3:uid="{9A996B6E-D4C4-4597-A6D9-17618C164C1A}" name="CỔ ĐÔNG" dataDxfId="667" totalsRowDxfId="666"/>
    <tableColumn id="3" xr3:uid="{1AAA6A32-BAB8-423A-AC74-F50E4BC9FD5B}" name="TỈ LỆ %" dataDxfId="665" totalsRowDxfId="664"/>
    <tableColumn id="4" xr3:uid="{CDC1A05A-5E36-4EE0-893F-6B143C0DC295}" name="VỐN CP" totalsRowFunction="sum" dataDxfId="663" totalsRowDxfId="662"/>
    <tableColumn id="5" xr3:uid="{A3CDCA7E-E3B0-46F3-B1ED-3BF6C10C3066}" name="LỢI NHUẬN GỘP" totalsRowFunction="sum" dataDxfId="661" totalsRowDxfId="660"/>
    <tableColumn id="6" xr3:uid="{DF4D9899-3EE0-49E9-84DC-60C44B603BCF}" name="LỢI NHUẬN RÒNG" totalsRowFunction="sum" dataDxfId="659" totalsRowDxfId="658"/>
    <tableColumn id="7" xr3:uid="{C2E621A1-C7E0-4A36-B743-8D1C7719A167}" name="TỔNG NHẬN" totalsRowFunction="sum" dataDxfId="657" totalsRowDxfId="656">
      <calculatedColumnFormula>Table521117681522293437414651589[[#This Row],[LỢI NHUẬN RÒNG]]+Table521117681522293437414651589[[#This Row],[VỐN CP]]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9C15DC-AEBC-4B7C-B78A-6F1FD4DAED75}" name="Table7312187916233035384247525910" displayName="Table7312187916233035384247525910" ref="K2:O18" totalsRowShown="0" headerRowDxfId="655" dataDxfId="653" headerRowBorderDxfId="654" tableBorderDxfId="652" totalsRowBorderDxfId="651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52AEAC17-E952-4678-B6F5-EB9AC1D69A85}" name="CỔ ĐÔNG" dataDxfId="650"/>
    <tableColumn id="2" xr3:uid="{F7D51A61-F106-4D5A-8B1C-B46D606E41E9}" name="VỐN CP" dataDxfId="649"/>
    <tableColumn id="3" xr3:uid="{43FC2D4E-5A0F-4E58-8754-C7222C52A932}" name="LỢI NHUẬN GỘP" dataDxfId="648"/>
    <tableColumn id="4" xr3:uid="{1B790C83-9938-4980-BA89-26A09E7C3ABA}" name="LỢI NHUẬN RÒNG" dataDxfId="647"/>
    <tableColumn id="5" xr3:uid="{608EDC65-3A21-4943-A47A-22B501616F7B}" name="TỔNG NHẬN" dataDxfId="6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81085F-2F8D-4261-8C45-E555D8019A5F}" name="Table8414194101324273239434853567" displayName="Table8414194101324273239434853567" ref="A2:H427" totalsRowCount="1" headerRowDxfId="645" dataDxfId="644" tableBorderDxfId="643">
  <autoFilter ref="A2:H426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E4CADAD4-8A9A-47DA-99E0-19E5DCA32926}" name="MÃ TOÀ" dataDxfId="642" totalsRowDxfId="641"/>
    <tableColumn id="2" xr3:uid="{344E97DA-5FD8-4B8F-B5E0-F4E483986BE5}" name="CỔ ĐÔNG" dataDxfId="640" totalsRowDxfId="639"/>
    <tableColumn id="3" xr3:uid="{E35CA242-C3CE-4A1F-977C-6A8331D2856A}" name="TỈ LỆ %" dataDxfId="638" totalsRowDxfId="637"/>
    <tableColumn id="4" xr3:uid="{41D0C34D-A038-418C-9E83-178DCB557AC3}" name="VỐN CP" totalsRowFunction="sum" dataDxfId="636" totalsRowDxfId="635"/>
    <tableColumn id="5" xr3:uid="{F99FB74B-0489-453E-9019-215E87F9E3D5}" name="LỢI NHUẬN GỘP" totalsRowFunction="sum" dataDxfId="634" totalsRowDxfId="633"/>
    <tableColumn id="6" xr3:uid="{95E1C6D6-3B34-4B0B-8ADF-EBB965FA14C4}" name="LỢI NHUẬN RÒNG" totalsRowFunction="sum" dataDxfId="632" totalsRowDxfId="631"/>
    <tableColumn id="7" xr3:uid="{E8395E9C-BD05-4F0D-90B0-738D24908D55}" name="TỔNG NHẬN" totalsRowFunction="sum" dataDxfId="630" totalsRowDxfId="629">
      <calculatedColumnFormula>D3+Table8414194101324273239434853567[[#This Row],[LỢI NHUẬN RÒNG]]</calculatedColumnFormula>
    </tableColumn>
    <tableColumn id="8" xr3:uid="{4895117E-8EAF-4F81-A915-49B1E30DA726}" name="Column1" dataDxfId="628" totalsRowDxfId="62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FA0443-056E-41D6-B2E9-E6814A7B2565}" name="Table9515205111425283340444954578" displayName="Table9515205111425283340444954578" ref="K2:O26" totalsRowShown="0" headerRowDxfId="626" dataDxfId="624" headerRowBorderDxfId="625" tableBorderDxfId="623" totalsRowBorderDxfId="622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3C22AA58-81A4-4C35-8847-E2DBE4CDB9B8}" name="CỔ ĐÔNG" dataDxfId="621"/>
    <tableColumn id="2" xr3:uid="{44D867EC-D6DF-46F2-BA8F-903DAB4319D7}" name="VỐN CP" dataDxfId="620"/>
    <tableColumn id="3" xr3:uid="{C7821786-0EAD-4B05-8FBA-D3424310F91A}" name="LỢI NHUẬN GỘP" dataDxfId="619"/>
    <tableColumn id="4" xr3:uid="{287F60A6-DEE6-4AEB-ACD0-623F3B341449}" name="LỢI NHUẬN RÒNG" dataDxfId="618"/>
    <tableColumn id="5" xr3:uid="{F659DF4C-4BAA-44CD-844B-7F7F374880E9}" name="TỔNG NHẬN" dataDxfId="617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B67DD9-7566-4D9B-921F-648825943AFA}" name="Table841419410132427323943485356711" displayName="Table841419410132427323943485356711" ref="A2:H421" totalsRowCount="1" headerRowDxfId="616" dataDxfId="615" tableBorderDxfId="614">
  <autoFilter ref="A2:H420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33AD4709-AE81-4AFB-958B-EC90E47BD891}" name="MÃ TOÀ" dataDxfId="613" totalsRowDxfId="612"/>
    <tableColumn id="2" xr3:uid="{BBF59C59-631A-4389-B27A-8C594DB0F8CC}" name="CỔ ĐÔNG" dataDxfId="611" totalsRowDxfId="610"/>
    <tableColumn id="3" xr3:uid="{AED914E1-5434-4B6D-BA30-66B5A5978C6C}" name="TỈ LỆ %" dataDxfId="609" totalsRowDxfId="608"/>
    <tableColumn id="4" xr3:uid="{69A90636-0E42-42E5-BCA4-A224CE128F66}" name="VỐN CP" totalsRowFunction="sum" dataDxfId="607" totalsRowDxfId="606"/>
    <tableColumn id="5" xr3:uid="{F5B913FA-6FF3-4AE2-A570-6C75BFC362E2}" name="LỢI NHUẬN GỘP" totalsRowFunction="sum" dataDxfId="605" totalsRowDxfId="604"/>
    <tableColumn id="6" xr3:uid="{02B95D1B-89D2-4F24-B453-0054D5EB8CBD}" name="LỢI NHUẬN RÒNG" totalsRowFunction="sum" dataDxfId="603" totalsRowDxfId="602"/>
    <tableColumn id="7" xr3:uid="{25B090D3-909D-4F5E-949A-998485B030D0}" name="TỔNG NHẬN" totalsRowFunction="sum" dataDxfId="601" totalsRowDxfId="600">
      <calculatedColumnFormula>D3+Table841419410132427323943485356711[[#This Row],[LỢI NHUẬN RÒNG]]</calculatedColumnFormula>
    </tableColumn>
    <tableColumn id="8" xr3:uid="{CE6B30B5-4DC4-4D3B-8B16-C2AB223FB5A3}" name="Column1" dataDxfId="599" totalsRowDxfId="598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4FB78E-ED49-4B53-9BA5-22DB022E9517}" name="Table951520511142528334044495457812" displayName="Table951520511142528334044495457812" ref="K2:O26" totalsRowShown="0" headerRowDxfId="597" dataDxfId="595" headerRowBorderDxfId="596" tableBorderDxfId="594" totalsRowBorderDxfId="593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F71D4B8E-1C38-401F-99B0-D5109FED55F8}" name="CỔ ĐÔNG" dataDxfId="592"/>
    <tableColumn id="2" xr3:uid="{7826EE4E-00D1-4C4E-8F7F-84F5869F9773}" name="VỐN CP" dataDxfId="591"/>
    <tableColumn id="3" xr3:uid="{179850D6-143B-4005-8AFD-58872ACD8FD5}" name="LỢI NHUẬN GỘP" dataDxfId="590"/>
    <tableColumn id="4" xr3:uid="{0A7308BE-3515-43C4-BFA0-44C90C870ED4}" name="LỢI NHUẬN RÒNG" dataDxfId="589"/>
    <tableColumn id="5" xr3:uid="{48822001-EC25-429F-A62C-A6686EEF98D9}" name="TỔNG NHẬN" dataDxfId="588"/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DF5CF00-5C78-4323-98E7-8029DC95D266}" name="Table1271621312212631364550556013" displayName="Table1271621312212631364550556013" ref="A2:F28" totalsRowShown="0" headerRowDxfId="587" dataDxfId="585" headerRowBorderDxfId="586" tableBorderDxfId="584" totalsRowBorderDxfId="583">
  <autoFilter ref="A2:F28" xr:uid="{212B1B83-9292-4DF1-8EEA-4F21A0F208AE}"/>
  <sortState xmlns:xlrd2="http://schemas.microsoft.com/office/spreadsheetml/2017/richdata2" ref="A3:F27">
    <sortCondition ref="A7:A27"/>
  </sortState>
  <tableColumns count="6">
    <tableColumn id="1" xr3:uid="{AA88CDB2-96BE-4B97-A854-7020AEE5BE90}" name="CỔ ĐÔNG" dataDxfId="582"/>
    <tableColumn id="2" xr3:uid="{FC142356-D434-48F9-BFEB-1AE42CF11E02}" name="VỐN CP" dataDxfId="581"/>
    <tableColumn id="3" xr3:uid="{81D6E2C8-7838-4AB9-9505-C0533E244087}" name="LỢI NHUẬN GỘP" dataDxfId="580"/>
    <tableColumn id="4" xr3:uid="{E6D79A2E-BFE9-4AB1-B935-C6AC8427A73B}" name="LỢI NHUẬN RÒNG" dataDxfId="579"/>
    <tableColumn id="5" xr3:uid="{8917C897-A89C-4C2E-B1C9-49678132BF8A}" name="TỔNG NHẬN" dataDxfId="578"/>
    <tableColumn id="6" xr3:uid="{21CA50F5-F84C-448C-BFD8-C3EA4EBD66DE}" name="TỶ LỆ ĐT" dataDxfId="577">
      <calculatedColumnFormula>D3/B3</calculatedColumnFormula>
    </tableColumn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42D91B-3993-49B4-83BC-5E9A5DA34096}" name="Table841419410132427323943485356714" displayName="Table841419410132427323943485356714" ref="A2:H421" totalsRowCount="1" headerRowDxfId="576" dataDxfId="575" tableBorderDxfId="574">
  <autoFilter ref="A2:H420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EC92783B-E670-40DD-9297-EC9147C35E42}" name="MÃ TOÀ" dataDxfId="573" totalsRowDxfId="572"/>
    <tableColumn id="2" xr3:uid="{0E886C80-A1EA-46ED-9AA7-AC775763F079}" name="CỔ ĐÔNG" dataDxfId="571" totalsRowDxfId="570"/>
    <tableColumn id="3" xr3:uid="{2B6EE434-2BEC-4FDB-AE8D-F8E7D0CB7A57}" name="TỈ LỆ %" dataDxfId="569" totalsRowDxfId="568"/>
    <tableColumn id="4" xr3:uid="{1C73A160-7DA4-499E-A8DD-47BE8C52A4ED}" name="VỐN CP" totalsRowFunction="sum" dataDxfId="567" totalsRowDxfId="566"/>
    <tableColumn id="5" xr3:uid="{62CA1B8D-80C1-4E33-8A21-4E5FCBCFC50A}" name="LỢI NHUẬN GỘP" totalsRowFunction="sum" dataDxfId="565" totalsRowDxfId="564"/>
    <tableColumn id="6" xr3:uid="{121C00BB-6C31-4803-A25E-67446F1E2329}" name="LỢI NHUẬN RÒNG" totalsRowFunction="sum" dataDxfId="563" totalsRowDxfId="562"/>
    <tableColumn id="7" xr3:uid="{CCD21B3D-C750-4A9C-A685-8ECA9EEBD799}" name="TỔNG NHẬN" totalsRowFunction="sum" dataDxfId="561" totalsRowDxfId="560">
      <calculatedColumnFormula>D3+Table841419410132427323943485356714[[#This Row],[LỢI NHUẬN RÒNG]]</calculatedColumnFormula>
    </tableColumn>
    <tableColumn id="8" xr3:uid="{82EB48D6-35C7-4CE4-B0E3-62147485CB47}" name="Column1" dataDxfId="559" totalsRowDxfId="55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3B7C5B4-BDD6-4A31-BC3E-92871275A798}" name="Table951520511142528334044495457815" displayName="Table951520511142528334044495457815" ref="K2:O26" totalsRowShown="0" headerRowDxfId="557" dataDxfId="555" headerRowBorderDxfId="556" tableBorderDxfId="554" totalsRowBorderDxfId="553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2C6C1CCC-15AD-4EE8-9D99-A4E9F3BC8EA2}" name="CỔ ĐÔNG" dataDxfId="552"/>
    <tableColumn id="2" xr3:uid="{1E3BC0DA-9A35-4297-A3B6-36D96004ED06}" name="VỐN CP" dataDxfId="551"/>
    <tableColumn id="3" xr3:uid="{5E295EB7-0DB4-4116-A388-40D1D43A372F}" name="LỢI NHUẬN GỘP" dataDxfId="550"/>
    <tableColumn id="4" xr3:uid="{12679B82-987A-424B-9612-606634A26219}" name="LỢI NHUẬN RÒNG" dataDxfId="549"/>
    <tableColumn id="5" xr3:uid="{F92FC99A-87D6-49AB-AAF7-8B4BD8D511CF}" name="TỔNG NHẬN" dataDxfId="548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495A90-DD7E-45AB-8C6A-90936A23448D}" name="Table84141941013242732394348535671118" displayName="Table84141941013242732394348535671118" ref="A2:H421" totalsRowCount="1" headerRowDxfId="547" dataDxfId="546" tableBorderDxfId="545">
  <autoFilter ref="A2:H420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353A0B3A-C25E-42D8-9B31-0ABA31E860E7}" name="MÃ TOÀ" dataDxfId="544" totalsRowDxfId="543"/>
    <tableColumn id="2" xr3:uid="{273AE3FC-E641-45FF-9B8C-C0F0F24B7B38}" name="CỔ ĐÔNG" dataDxfId="542" totalsRowDxfId="541"/>
    <tableColumn id="3" xr3:uid="{799EEAA3-9A24-4265-B45B-FD51EF46D821}" name="TỈ LỆ %" dataDxfId="540" totalsRowDxfId="539"/>
    <tableColumn id="4" xr3:uid="{01FA24A4-8159-4F2A-8397-0036B974B5BF}" name="VỐN CP" totalsRowFunction="sum" dataDxfId="538" totalsRowDxfId="537"/>
    <tableColumn id="5" xr3:uid="{B7E165BC-01D5-43B2-B2E0-063A3F9FA171}" name="LỢI NHUẬN GỘP" totalsRowFunction="sum" dataDxfId="536" totalsRowDxfId="535"/>
    <tableColumn id="6" xr3:uid="{28866062-56E2-49F8-8D9D-F48F0A6214FD}" name="LỢI NHUẬN RÒNG" totalsRowFunction="sum" dataDxfId="534" totalsRowDxfId="533"/>
    <tableColumn id="7" xr3:uid="{0EF6175F-2DA1-4B52-A28A-3F0A4B8E1E38}" name="TỔNG NHẬN" totalsRowFunction="sum" dataDxfId="532" totalsRowDxfId="531">
      <calculatedColumnFormula>D3+Table84141941013242732394348535671118[[#This Row],[LỢI NHUẬN RÒNG]]</calculatedColumnFormula>
    </tableColumn>
    <tableColumn id="8" xr3:uid="{98FFE467-40B1-4660-AD6F-B876E1379499}" name="Column1" dataDxfId="530" totalsRowDxfId="52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102872-D192-4281-BBDC-AC9F9FE6D908}" name="Table95152051114252833404449545781219" displayName="Table95152051114252833404449545781219" ref="K2:O26" totalsRowShown="0" headerRowDxfId="528" dataDxfId="526" headerRowBorderDxfId="527" tableBorderDxfId="525" totalsRowBorderDxfId="524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6C0C96E2-75BE-4F96-B25B-766120690114}" name="CỔ ĐÔNG" dataDxfId="523"/>
    <tableColumn id="2" xr3:uid="{B835F2D3-F826-454D-89E6-BF81CA5AFA25}" name="VỐN CP" dataDxfId="522"/>
    <tableColumn id="3" xr3:uid="{31618743-A5F9-462B-AB87-CC129F32D889}" name="LỢI NHUẬN GỘP" dataDxfId="521"/>
    <tableColumn id="4" xr3:uid="{913C1E09-145C-4B2C-B741-5A1F629072FB}" name="LỢI NHUẬN RÒNG" dataDxfId="520"/>
    <tableColumn id="5" xr3:uid="{96A35EF4-861B-42BF-AFF2-B842C6B649FE}" name="TỔNG NHẬN" dataDxfId="519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EDD1407-E7A0-4D49-8B60-25B4588B52C2}" name="Table127162131221263136455055601320" displayName="Table127162131221263136455055601320" ref="A2:F28" totalsRowShown="0" headerRowDxfId="518" dataDxfId="516" headerRowBorderDxfId="517" tableBorderDxfId="515" totalsRowBorderDxfId="514">
  <autoFilter ref="A2:F28" xr:uid="{212B1B83-9292-4DF1-8EEA-4F21A0F208AE}"/>
  <sortState xmlns:xlrd2="http://schemas.microsoft.com/office/spreadsheetml/2017/richdata2" ref="A3:F27">
    <sortCondition ref="A7:A27"/>
  </sortState>
  <tableColumns count="6">
    <tableColumn id="1" xr3:uid="{76D7CD92-140F-4F27-8635-984F038A59D1}" name="CỔ ĐÔNG" dataDxfId="513"/>
    <tableColumn id="2" xr3:uid="{CED608E6-DA73-4016-9BBD-8ECC72EB1B06}" name="VỐN CP" dataDxfId="512"/>
    <tableColumn id="3" xr3:uid="{225656DC-C62C-4E33-8609-415EC9E841C7}" name="LỢI NHUẬN GỘP" dataDxfId="511"/>
    <tableColumn id="4" xr3:uid="{EE9F2EC9-32BC-49CA-A7B8-D43FE440A36E}" name="LỢI NHUẬN RÒNG" dataDxfId="510"/>
    <tableColumn id="5" xr3:uid="{705ECF68-E518-4F5E-A9E3-32DD9E646547}" name="TỔNG NHẬN" dataDxfId="509"/>
    <tableColumn id="6" xr3:uid="{C94AA75C-CB38-4E6B-9C1F-661F7C14D858}" name="TỶ LỆ ĐT" dataDxfId="508">
      <calculatedColumnFormula>D3/B3</calculatedColumnFormula>
    </tableColumn>
  </tableColumns>
  <tableStyleInfo name="TableStyleMedium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70AD20-CA64-4D8C-96B2-F63BE28E977B}" name="Table5211176815222934374146515891623" displayName="Table5211176815222934374146515891623" ref="A3:G155" totalsRowCount="1" headerRowDxfId="507" dataDxfId="505" headerRowBorderDxfId="506" tableBorderDxfId="504" totalsRowBorderDxfId="503">
  <autoFilter ref="A3:G154" xr:uid="{8151022E-F251-4527-B654-08E36BDAA1FB}">
    <filterColumn colId="1">
      <filters>
        <filter val="NGỌC"/>
      </filters>
    </filterColumn>
  </autoFilter>
  <sortState xmlns:xlrd2="http://schemas.microsoft.com/office/spreadsheetml/2017/richdata2" ref="A4:G154">
    <sortCondition ref="A4:A154"/>
  </sortState>
  <tableColumns count="7">
    <tableColumn id="1" xr3:uid="{965F7CEA-E7E4-484A-85D2-2D47466DABD6}" name="MÃ TOÀ" dataDxfId="502" totalsRowDxfId="501"/>
    <tableColumn id="2" xr3:uid="{219DDCD7-DE6C-46B2-AB8E-9BF2AFC355A0}" name="CỔ ĐÔNG" dataDxfId="500" totalsRowDxfId="499"/>
    <tableColumn id="3" xr3:uid="{1F6421DA-09C7-4238-8EB7-215996377726}" name="TỈ LỆ %" dataDxfId="498" totalsRowDxfId="497"/>
    <tableColumn id="4" xr3:uid="{543073C4-619A-4184-9F0A-245A280C60DA}" name="VỐN CP" totalsRowFunction="sum" dataDxfId="496" totalsRowDxfId="495"/>
    <tableColumn id="5" xr3:uid="{CA4A7005-45F6-4F62-99D4-F02BB3CBE829}" name="LỢI NHUẬN GỘP" totalsRowFunction="sum" dataDxfId="494" totalsRowDxfId="493"/>
    <tableColumn id="6" xr3:uid="{E0F99161-ADD1-4F90-A1E2-9F94D4565F3E}" name="LỢI NHUẬN RÒNG" totalsRowFunction="sum" dataDxfId="492" totalsRowDxfId="491"/>
    <tableColumn id="7" xr3:uid="{0722B7C0-438F-42A8-A739-E99F963ABE43}" name="TỔNG NHẬN" totalsRowFunction="sum" dataDxfId="490" totalsRowDxfId="489">
      <calculatedColumnFormula>Table5211176815222934374146515891623[[#This Row],[LỢI NHUẬN RÒNG]]+Table5211176815222934374146515891623[[#This Row],[VỐN CP]]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49080E5-CB20-4C8C-82E7-A756E2DDE4E4}" name="Table73121879162330353842475259101724" displayName="Table73121879162330353842475259101724" ref="K2:O18" totalsRowShown="0" headerRowDxfId="488" dataDxfId="486" headerRowBorderDxfId="487" tableBorderDxfId="485" totalsRowBorderDxfId="484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EAF5D93F-1637-43F6-B1FB-A4870B399AAA}" name="CỔ ĐÔNG" dataDxfId="483"/>
    <tableColumn id="2" xr3:uid="{5F4C40D3-33A1-4013-9794-31BCC9C5DFB4}" name="VỐN CP" dataDxfId="482"/>
    <tableColumn id="3" xr3:uid="{5D9E1993-6F47-4446-9CB0-3AE7786DE761}" name="LỢI NHUẬN GỘP" dataDxfId="481"/>
    <tableColumn id="4" xr3:uid="{C2AA6783-2673-4FBD-B58A-9A64FBFB2AE0}" name="LỢI NHUẬN RÒNG" dataDxfId="480"/>
    <tableColumn id="5" xr3:uid="{76052BCE-3743-44D4-AC2F-80B5B6B1F401}" name="TỔNG NHẬN" dataDxfId="47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7D6A802-DE68-4B0D-A089-E0F45AAABC78}" name="Table84141941013242732394348535671421" displayName="Table84141941013242732394348535671421" ref="A2:H410" totalsRowCount="1" headerRowDxfId="478" dataDxfId="477" tableBorderDxfId="476">
  <autoFilter ref="A2:H409" xr:uid="{10E92A52-563C-4B29-A367-52408783BDE1}">
    <filterColumn colId="1">
      <filters>
        <filter val="NGỌC"/>
      </filters>
    </filterColumn>
  </autoFilter>
  <sortState xmlns:xlrd2="http://schemas.microsoft.com/office/spreadsheetml/2017/richdata2" ref="A339:H348">
    <sortCondition ref="A2:A409"/>
  </sortState>
  <tableColumns count="8">
    <tableColumn id="1" xr3:uid="{8E8A8D1F-04E5-4ED2-8417-1E19C7F75A52}" name="MÃ TOÀ" dataDxfId="475" totalsRowDxfId="474"/>
    <tableColumn id="2" xr3:uid="{0D47FCC2-9547-427D-BBE9-12D3FC02A570}" name="CỔ ĐÔNG" dataDxfId="473" totalsRowDxfId="472"/>
    <tableColumn id="3" xr3:uid="{A5A04018-A935-4C18-9632-4EDC3FE28057}" name="TỈ LỆ %" dataDxfId="471" totalsRowDxfId="470"/>
    <tableColumn id="4" xr3:uid="{1EFA2807-9E1E-4C18-92A6-FB99F7442891}" name="VỐN CP" totalsRowFunction="sum" dataDxfId="469" totalsRowDxfId="468"/>
    <tableColumn id="5" xr3:uid="{9F54982C-BF43-4437-A863-6AC8D8DE1EC5}" name="LỢI NHUẬN GỘP" totalsRowFunction="sum" dataDxfId="467" totalsRowDxfId="466"/>
    <tableColumn id="6" xr3:uid="{4B3A74F8-97F8-4B52-813C-340C220CE589}" name="LỢI NHUẬN RÒNG" totalsRowFunction="sum" dataDxfId="465" totalsRowDxfId="464"/>
    <tableColumn id="7" xr3:uid="{8A744D83-5CB9-444B-B459-1029B5F5798A}" name="TỔNG NHẬN" totalsRowFunction="sum" dataDxfId="463" totalsRowDxfId="462">
      <calculatedColumnFormula>D3+Table84141941013242732394348535671421[[#This Row],[LỢI NHUẬN RÒNG]]</calculatedColumnFormula>
    </tableColumn>
    <tableColumn id="8" xr3:uid="{4D79F3F3-42BD-4970-8F94-EE52EB40A874}" name="Column1" dataDxfId="461" totalsRowDxfId="460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47BCDFC-0F86-4744-9485-7F5854910721}" name="Table95152051114252833404449545781522" displayName="Table95152051114252833404449545781522" ref="K2:O26" totalsRowShown="0" headerRowDxfId="459" dataDxfId="457" headerRowBorderDxfId="458" tableBorderDxfId="456" totalsRowBorderDxfId="455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4A33680B-C367-41E5-8668-16DB12A81AFF}" name="CỔ ĐÔNG" dataDxfId="454"/>
    <tableColumn id="2" xr3:uid="{5A786B6D-7DFB-4C27-9F13-754CF7F66BE6}" name="VỐN CP" dataDxfId="453"/>
    <tableColumn id="3" xr3:uid="{D1F387A1-0235-42FF-82FC-923C35B86B8E}" name="LỢI NHUẬN GỘP" dataDxfId="452"/>
    <tableColumn id="4" xr3:uid="{63C4F3C6-B689-49E7-948B-B92A445DA3E9}" name="LỢI NHUẬN RÒNG" dataDxfId="451"/>
    <tableColumn id="5" xr3:uid="{43BAE0FC-6686-4D72-AF4E-AFA3F140DE4F}" name="TỔNG NHẬN" dataDxfId="450"/>
  </tableColumns>
  <tableStyleInfo name="TableStyleMedium2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2788F85-993C-4C89-A2A8-38D934B8D8A0}" name="Table8414194101324273239434853567111825" displayName="Table8414194101324273239434853567111825" ref="A2:H421" totalsRowCount="1" headerRowDxfId="449" dataDxfId="448" tableBorderDxfId="447">
  <autoFilter ref="A2:H420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21394DB6-9620-4C29-A96C-F2F74B3A2AD1}" name="MÃ TOÀ" dataDxfId="446" totalsRowDxfId="445"/>
    <tableColumn id="2" xr3:uid="{5443696F-F21F-4D0A-ADBE-641C0B63E4D9}" name="CỔ ĐÔNG" dataDxfId="444" totalsRowDxfId="443"/>
    <tableColumn id="3" xr3:uid="{38FC9F98-E119-4148-9C5F-70D0D4E0C457}" name="TỈ LỆ %" dataDxfId="442" totalsRowDxfId="441"/>
    <tableColumn id="4" xr3:uid="{6A658D76-220E-436E-BD8B-C215DBE8843B}" name="VỐN CP" totalsRowFunction="sum" dataDxfId="440" totalsRowDxfId="439"/>
    <tableColumn id="5" xr3:uid="{AEDEFEC9-E32F-4FE4-80E0-766C4CD984A9}" name="LỢI NHUẬN GỘP" totalsRowFunction="sum" dataDxfId="438" totalsRowDxfId="437"/>
    <tableColumn id="6" xr3:uid="{D9CA7DB6-6BDD-4CF0-95D4-FD7E759B4493}" name="LỢI NHUẬN RÒNG" totalsRowFunction="sum" dataDxfId="436" totalsRowDxfId="435"/>
    <tableColumn id="7" xr3:uid="{A2B49A3F-7CE2-4E1A-9CED-F9ECAE288A5A}" name="TỔNG NHẬN" totalsRowFunction="sum" dataDxfId="434" totalsRowDxfId="433">
      <calculatedColumnFormula>D3+Table8414194101324273239434853567111825[[#This Row],[LỢI NHUẬN RÒNG]]</calculatedColumnFormula>
    </tableColumn>
    <tableColumn id="8" xr3:uid="{4C0F4213-D848-44DA-BC13-4793DF4F174C}" name="Column1" dataDxfId="432" totalsRowDxfId="431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84DF921-51CD-4DAF-8CF2-A737A45DBB2D}" name="Table9515205111425283340444954578121926" displayName="Table9515205111425283340444954578121926" ref="K2:O26" totalsRowShown="0" headerRowDxfId="430" dataDxfId="428" headerRowBorderDxfId="429" tableBorderDxfId="427" totalsRowBorderDxfId="426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9C91FF0C-9A34-46C6-BA6E-9A3131AA0AA2}" name="CỔ ĐÔNG" dataDxfId="425"/>
    <tableColumn id="2" xr3:uid="{5BC5ED14-03BF-46B4-B1DF-6D061DE44997}" name="VỐN CP" dataDxfId="424"/>
    <tableColumn id="3" xr3:uid="{D92CFDA7-05B2-4539-8C35-1CA01D343BE6}" name="LỢI NHUẬN GỘP" dataDxfId="423"/>
    <tableColumn id="4" xr3:uid="{E3C653A9-B9FF-44D8-A565-D9C76846C05C}" name="LỢI NHUẬN RÒNG" dataDxfId="422"/>
    <tableColumn id="5" xr3:uid="{47F8EB54-A264-41C2-9622-561DA285A59A}" name="TỔNG NHẬN" dataDxfId="421"/>
  </tableColumns>
  <tableStyleInfo name="TableStyleMedium2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69B963-4E9E-498A-8255-9570CB287492}" name="Table12716213122126313645505560132027" displayName="Table12716213122126313645505560132027" ref="A2:F28" totalsRowShown="0" headerRowDxfId="420" dataDxfId="418" headerRowBorderDxfId="419" tableBorderDxfId="417" totalsRowBorderDxfId="416">
  <autoFilter ref="A2:F28" xr:uid="{212B1B83-9292-4DF1-8EEA-4F21A0F208AE}"/>
  <sortState xmlns:xlrd2="http://schemas.microsoft.com/office/spreadsheetml/2017/richdata2" ref="A3:F27">
    <sortCondition ref="A7:A27"/>
  </sortState>
  <tableColumns count="6">
    <tableColumn id="1" xr3:uid="{6E66E372-9FFD-4966-97FB-D7BDDBD3BE19}" name="CỔ ĐÔNG" dataDxfId="415"/>
    <tableColumn id="2" xr3:uid="{6A72E804-BDC3-4296-ADA2-D4A2B69E1FBA}" name="VỐN CP" dataDxfId="414"/>
    <tableColumn id="3" xr3:uid="{E8665B5C-40CF-4F25-BC30-68F219096F45}" name="LỢI NHUẬN GỘP" dataDxfId="413"/>
    <tableColumn id="4" xr3:uid="{E812499D-C065-4822-B949-E5BD3A21D75A}" name="LỢI NHUẬN RÒNG" dataDxfId="412"/>
    <tableColumn id="5" xr3:uid="{345868BE-059B-4D2E-96E9-1619F3EC5C37}" name="TỔNG NHẬN" dataDxfId="411"/>
    <tableColumn id="6" xr3:uid="{F423EC66-DFD2-4A20-91E5-2478F42569B3}" name="TỶ LỆ ĐT" dataDxfId="410">
      <calculatedColumnFormula>D3/B3</calculatedColumnFormula>
    </tableColumn>
  </tableColumns>
  <tableStyleInfo name="TableStyleMedium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1620C46-DF61-46D9-9E30-B2BC71DE6454}" name="Table521117681522293437414651589162332" displayName="Table521117681522293437414651589162332" ref="A3:G155" totalsRowCount="1" headerRowDxfId="409" dataDxfId="407" headerRowBorderDxfId="408" tableBorderDxfId="406" totalsRowBorderDxfId="405">
  <autoFilter ref="A3:G154" xr:uid="{8151022E-F251-4527-B654-08E36BDAA1FB}">
    <filterColumn colId="1">
      <filters>
        <filter val="NGỌC"/>
      </filters>
    </filterColumn>
  </autoFilter>
  <sortState xmlns:xlrd2="http://schemas.microsoft.com/office/spreadsheetml/2017/richdata2" ref="A4:G154">
    <sortCondition ref="A4:A154"/>
  </sortState>
  <tableColumns count="7">
    <tableColumn id="1" xr3:uid="{009D40D8-74B8-4C9E-BA34-0CFB949C4254}" name="MÃ TOÀ" dataDxfId="404" totalsRowDxfId="403"/>
    <tableColumn id="2" xr3:uid="{DB0CC3DF-F933-4C92-A62B-B6C165FC81A2}" name="CỔ ĐÔNG" dataDxfId="402" totalsRowDxfId="401"/>
    <tableColumn id="3" xr3:uid="{D26C2AAC-E787-4677-A9E8-4BADDD30832A}" name="TỈ LỆ %" dataDxfId="400" totalsRowDxfId="399"/>
    <tableColumn id="4" xr3:uid="{AEDA36F4-1B3D-4359-BA4F-16DE4093055A}" name="VỐN CP" totalsRowFunction="sum" dataDxfId="398" totalsRowDxfId="397"/>
    <tableColumn id="5" xr3:uid="{582C4757-10C8-411A-A08B-534E043F524B}" name="LỢI NHUẬN GỘP" totalsRowFunction="sum" dataDxfId="396" totalsRowDxfId="395"/>
    <tableColumn id="6" xr3:uid="{EFB9CE63-AD56-4F1C-B5A3-089CB6E1CB7A}" name="LỢI NHUẬN RÒNG" totalsRowFunction="sum" dataDxfId="394" totalsRowDxfId="393"/>
    <tableColumn id="7" xr3:uid="{09B4DEF0-2B47-455A-8B80-6AB6E33A5210}" name="TỔNG NHẬN" totalsRowFunction="sum" dataDxfId="392" totalsRowDxfId="391">
      <calculatedColumnFormula>Table521117681522293437414651589162332[[#This Row],[LỢI NHUẬN RÒNG]]+Table521117681522293437414651589162332[[#This Row],[VỐN CP]]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D16E3DE-EC81-45E0-8A9F-7DA7D94E1C47}" name="Table7312187916233035384247525910172433" displayName="Table7312187916233035384247525910172433" ref="K2:O18" totalsRowShown="0" headerRowDxfId="390" dataDxfId="388" headerRowBorderDxfId="389" tableBorderDxfId="387" totalsRowBorderDxfId="386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3B54D32A-B6A1-4790-BEF1-12CE57F08254}" name="CỔ ĐÔNG" dataDxfId="385"/>
    <tableColumn id="2" xr3:uid="{FBE931D4-FACB-4D43-BA80-8D11B0017300}" name="VỐN CP" dataDxfId="384"/>
    <tableColumn id="3" xr3:uid="{EDEA60F1-EA72-4216-8C92-B972F4AA3F04}" name="LỢI NHUẬN GỘP" dataDxfId="383"/>
    <tableColumn id="4" xr3:uid="{9D0A8AEA-B732-4AA7-A023-4B01FA1C4691}" name="LỢI NHUẬN RÒNG" dataDxfId="382"/>
    <tableColumn id="5" xr3:uid="{086B9480-5185-45E8-96B6-EEA540860C9D}" name="TỔNG NHẬN" dataDxfId="38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261C468-EFA2-4A5D-A39D-F67A04B17259}" name="Table8414194101324273239434853567142128" displayName="Table8414194101324273239434853567142128" ref="A2:H410" totalsRowCount="1" headerRowDxfId="380" dataDxfId="379" tableBorderDxfId="378">
  <autoFilter ref="A2:H409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12">
    <sortCondition ref="A2:A409"/>
  </sortState>
  <tableColumns count="8">
    <tableColumn id="1" xr3:uid="{B7871447-7467-4524-AC7A-0CAF8B8787D4}" name="MÃ TOÀ" dataDxfId="377" totalsRowDxfId="376"/>
    <tableColumn id="2" xr3:uid="{2F578A47-DAE6-4631-ACB9-39A6B194D070}" name="CỔ ĐÔNG" dataDxfId="375" totalsRowDxfId="374"/>
    <tableColumn id="3" xr3:uid="{E20A7DDD-0D30-4C65-9B04-06D67A91B8E7}" name="TỈ LỆ %" dataDxfId="373" totalsRowDxfId="372"/>
    <tableColumn id="4" xr3:uid="{6CADD282-CED3-4DE1-BDC1-7329B408DE01}" name="VỐN CP" totalsRowFunction="sum" dataDxfId="371" totalsRowDxfId="370"/>
    <tableColumn id="5" xr3:uid="{64CFCC38-0767-48A6-A056-42D262D66E94}" name="LỢI NHUẬN GỘP" totalsRowFunction="sum" dataDxfId="369" totalsRowDxfId="368"/>
    <tableColumn id="6" xr3:uid="{867464F3-7D4E-43C6-B695-E261E253EF8C}" name="LỢI NHUẬN RÒNG" totalsRowFunction="sum" dataDxfId="367" totalsRowDxfId="366"/>
    <tableColumn id="7" xr3:uid="{7C5B3CD0-B2AD-4B17-A8E5-199FBA575583}" name="TỔNG NHẬN" totalsRowFunction="sum" dataDxfId="365" totalsRowDxfId="364">
      <calculatedColumnFormula>D3+Table8414194101324273239434853567142128[[#This Row],[LỢI NHUẬN RÒNG]]</calculatedColumnFormula>
    </tableColumn>
    <tableColumn id="8" xr3:uid="{5B9B0480-7249-4848-BA52-A620C2C2BEE9}" name="Column1" dataDxfId="363" totalsRowDxfId="362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5756166-64B7-4629-8ECF-95179D59DDF1}" name="Table9515205111425283340444954578152229" displayName="Table9515205111425283340444954578152229" ref="K2:O26" totalsRowShown="0" headerRowDxfId="361" dataDxfId="359" headerRowBorderDxfId="360" tableBorderDxfId="358" totalsRowBorderDxfId="357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3F9F9C03-F7AB-4323-9804-0800862B09EF}" name="CỔ ĐÔNG" dataDxfId="356"/>
    <tableColumn id="2" xr3:uid="{2E57886A-98C1-4FBA-BA1D-FA50AD43D8C6}" name="VỐN CP" dataDxfId="355"/>
    <tableColumn id="3" xr3:uid="{38AAFECB-A10F-4596-A694-0F06331CF058}" name="LỢI NHUẬN GỘP" dataDxfId="354"/>
    <tableColumn id="4" xr3:uid="{7688A97B-9037-47D9-9A7F-27E965B3E144}" name="LỢI NHUẬN RÒNG" dataDxfId="353"/>
    <tableColumn id="5" xr3:uid="{F52BC7BF-4477-43E7-ABDF-111E5F23BD3D}" name="TỔNG NHẬN" dataDxfId="352"/>
  </tableColumns>
  <tableStyleInfo name="TableStyleMedium2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FAAAB33-73F4-4E82-9B7D-F203969259B6}" name="Table841419410132427323943485356711182530" displayName="Table841419410132427323943485356711182530" ref="A2:H421" totalsRowCount="1" headerRowDxfId="351" dataDxfId="350" tableBorderDxfId="349">
  <autoFilter ref="A2:H420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710BE48B-697A-4D23-8E18-2D1EB98909D4}" name="MÃ TOÀ" dataDxfId="348" totalsRowDxfId="347"/>
    <tableColumn id="2" xr3:uid="{61E3EA82-D349-403E-B5D7-BE97A3ED8DB9}" name="CỔ ĐÔNG" dataDxfId="346" totalsRowDxfId="345"/>
    <tableColumn id="3" xr3:uid="{C01BE9A4-5CB0-4910-9BC5-F00BD00AFAEB}" name="TỈ LỆ %" dataDxfId="344" totalsRowDxfId="343"/>
    <tableColumn id="4" xr3:uid="{E0C3E93F-9827-45FD-A7E9-24BDB7D29BB5}" name="VỐN CP" totalsRowFunction="sum" dataDxfId="342" totalsRowDxfId="341"/>
    <tableColumn id="5" xr3:uid="{7DD6BAE0-EA47-41DE-BB88-E8B011D84E2B}" name="LỢI NHUẬN GỘP" totalsRowFunction="sum" dataDxfId="340" totalsRowDxfId="339"/>
    <tableColumn id="6" xr3:uid="{C4B2E5F3-85E4-4843-9C3F-3FAD39CB8AFF}" name="LỢI NHUẬN RÒNG" totalsRowFunction="sum" dataDxfId="338" totalsRowDxfId="337"/>
    <tableColumn id="7" xr3:uid="{3E1413EF-A682-4056-97E2-461641A9EBDE}" name="TỔNG NHẬN" totalsRowFunction="sum" dataDxfId="336" totalsRowDxfId="335">
      <calculatedColumnFormula>D3+Table841419410132427323943485356711182530[[#This Row],[LỢI NHUẬN RÒNG]]</calculatedColumnFormula>
    </tableColumn>
    <tableColumn id="8" xr3:uid="{2E546651-7B68-4EFE-AEA0-784D1FFBE175}" name="Column1" dataDxfId="334" totalsRowDxfId="333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1433615-91F9-4272-9C94-0A74F64CFA63}" name="Table951520511142528334044495457812192631" displayName="Table951520511142528334044495457812192631" ref="K2:O26" totalsRowShown="0" headerRowDxfId="332" dataDxfId="330" headerRowBorderDxfId="331" tableBorderDxfId="329" totalsRowBorderDxfId="328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3ADA1E93-996B-459B-A586-DE45856EF81C}" name="CỔ ĐÔNG" dataDxfId="327"/>
    <tableColumn id="2" xr3:uid="{061E1E8B-D60C-48DE-AB40-2F892DC2FF2B}" name="VỐN CP" dataDxfId="326"/>
    <tableColumn id="3" xr3:uid="{13A5398F-22C6-40ED-938D-E43FC1EBCC93}" name="LỢI NHUẬN GỘP" dataDxfId="325"/>
    <tableColumn id="4" xr3:uid="{639BD065-73FC-4F3C-B598-D39372C16DB8}" name="LỢI NHUẬN RÒNG" dataDxfId="324"/>
    <tableColumn id="5" xr3:uid="{C6841D6F-840F-4A6A-B1D8-DA0AE493421B}" name="TỔNG NHẬN" dataDxfId="323"/>
  </tableColumns>
  <tableStyleInfo name="TableStyleMedium2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16D1C66-D9D2-4BC1-8581-DDAC0386F762}" name="Table1271621312212631364550556013202734" displayName="Table1271621312212631364550556013202734" ref="A2:F28" totalsRowShown="0" headerRowDxfId="322" dataDxfId="320" headerRowBorderDxfId="321" tableBorderDxfId="319" totalsRowBorderDxfId="318">
  <autoFilter ref="A2:F28" xr:uid="{212B1B83-9292-4DF1-8EEA-4F21A0F208AE}"/>
  <sortState xmlns:xlrd2="http://schemas.microsoft.com/office/spreadsheetml/2017/richdata2" ref="A3:F27">
    <sortCondition ref="A7:A27"/>
  </sortState>
  <tableColumns count="6">
    <tableColumn id="1" xr3:uid="{52C1D059-CAA3-4646-99B8-B0A7BD0609F7}" name="CỔ ĐÔNG" dataDxfId="317"/>
    <tableColumn id="2" xr3:uid="{A47613E6-6A34-479D-A4E5-93F5B7575EC5}" name="VỐN CP" dataDxfId="316"/>
    <tableColumn id="3" xr3:uid="{3583F1E6-3F68-4F5F-94DC-1AC54BF02D5B}" name="LỢI NHUẬN GỘP" dataDxfId="315"/>
    <tableColumn id="4" xr3:uid="{C61BD4E6-8D96-4A87-B52D-419E98F6234C}" name="LỢI NHUẬN RÒNG" dataDxfId="314"/>
    <tableColumn id="5" xr3:uid="{36CBFC21-4C7D-4B4C-A146-69D331A4B645}" name="TỔNG NHẬN" dataDxfId="313"/>
    <tableColumn id="6" xr3:uid="{0D6DD4ED-1C94-4FCE-A35D-103B262D53E4}" name="TỶ LỆ ĐT" dataDxfId="312">
      <calculatedColumnFormula>D3/B3</calculatedColumnFormula>
    </tableColumn>
  </tableColumns>
  <tableStyleInfo name="TableStyleMedium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6F18DB2-5B92-4E7B-96D4-5442B85E003E}" name="Table52111768152229343741465158916233237" displayName="Table52111768152229343741465158916233237" ref="A3:G155" totalsRowCount="1" headerRowDxfId="311" dataDxfId="309" headerRowBorderDxfId="310" tableBorderDxfId="308" totalsRowBorderDxfId="307">
  <autoFilter ref="A3:G154" xr:uid="{8151022E-F251-4527-B654-08E36BDAA1FB}">
    <filterColumn colId="1">
      <filters>
        <filter val="NGỌC"/>
      </filters>
    </filterColumn>
  </autoFilter>
  <sortState xmlns:xlrd2="http://schemas.microsoft.com/office/spreadsheetml/2017/richdata2" ref="A4:G154">
    <sortCondition ref="A4:A154"/>
  </sortState>
  <tableColumns count="7">
    <tableColumn id="1" xr3:uid="{A624914E-858F-47EC-8827-79077EAC32B0}" name="MÃ TOÀ" dataDxfId="306" totalsRowDxfId="305"/>
    <tableColumn id="2" xr3:uid="{1AC6A751-63DC-4DB9-804D-CFAD2F93C367}" name="CỔ ĐÔNG" dataDxfId="304" totalsRowDxfId="303"/>
    <tableColumn id="3" xr3:uid="{8A058DF3-2FB2-4827-B588-6C1C1C3705A9}" name="TỈ LỆ %" dataDxfId="302" totalsRowDxfId="301"/>
    <tableColumn id="4" xr3:uid="{2D67F1E9-E752-4B1A-9CF2-C571CA841E2F}" name="VỐN CP" totalsRowFunction="sum" dataDxfId="300" totalsRowDxfId="299"/>
    <tableColumn id="5" xr3:uid="{66AD606D-DA75-42B7-8023-2FB0C3E9F553}" name="LỢI NHUẬN GỘP" totalsRowFunction="sum" dataDxfId="298" totalsRowDxfId="297"/>
    <tableColumn id="6" xr3:uid="{58AA9FA8-EE09-4B5D-94E2-03AB0EFDB06B}" name="LỢI NHUẬN RÒNG" totalsRowFunction="sum" dataDxfId="296" totalsRowDxfId="295"/>
    <tableColumn id="7" xr3:uid="{E1AE5EE5-A940-414C-9BDE-26E4A7560437}" name="TỔNG NHẬN" totalsRowFunction="sum" dataDxfId="294" totalsRowDxfId="293">
      <calculatedColumnFormula>Table52111768152229343741465158916233237[[#This Row],[LỢI NHUẬN RÒNG]]+Table52111768152229343741465158916233237[[#This Row],[VỐN CP]]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3201B11-A07A-4397-AF8A-B9E5B13F7808}" name="Table731218791623303538424752591017243338" displayName="Table731218791623303538424752591017243338" ref="K2:O18" totalsRowShown="0" headerRowDxfId="292" dataDxfId="290" headerRowBorderDxfId="291" tableBorderDxfId="289" totalsRowBorderDxfId="288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2D8B0E39-C4F1-471E-97E6-5D15B2EEAABF}" name="CỔ ĐÔNG" dataDxfId="287"/>
    <tableColumn id="2" xr3:uid="{073B3FCE-E092-421E-8C2E-2E426A3D09DE}" name="VỐN CP" dataDxfId="286"/>
    <tableColumn id="3" xr3:uid="{0AE91580-5B10-4351-8208-6EA16A4F31D0}" name="LỢI NHUẬN GỘP" dataDxfId="285"/>
    <tableColumn id="4" xr3:uid="{F7D99F06-D969-42AB-A4D6-E6DB26762E11}" name="LỢI NHUẬN RÒNG" dataDxfId="284"/>
    <tableColumn id="5" xr3:uid="{5A84F6F4-84D5-4D63-8E6E-2A47ABCC2448}" name="TỔNG NHẬN" dataDxfId="28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1B1BF6D-7472-444D-BB90-1C53C3D61CD6}" name="Table841419410132427323943485356714212835" displayName="Table841419410132427323943485356714212835" ref="A2:H410" totalsRowCount="1" headerRowDxfId="282" dataDxfId="281" tableBorderDxfId="280">
  <autoFilter ref="A2:H409" xr:uid="{10E92A52-563C-4B29-A367-52408783BDE1}">
    <filterColumn colId="1">
      <filters>
        <filter val="NGỌC"/>
      </filters>
    </filterColumn>
  </autoFilter>
  <sortState xmlns:xlrd2="http://schemas.microsoft.com/office/spreadsheetml/2017/richdata2" ref="A4:H67">
    <sortCondition ref="A2:A409"/>
  </sortState>
  <tableColumns count="8">
    <tableColumn id="1" xr3:uid="{FF98D1DC-6F74-4848-A24A-F8663C09DD6D}" name="MÃ TOÀ" dataDxfId="279" totalsRowDxfId="278"/>
    <tableColumn id="2" xr3:uid="{5264316A-2232-4D64-8020-4F5FA6E8701C}" name="CỔ ĐÔNG" dataDxfId="277" totalsRowDxfId="276"/>
    <tableColumn id="3" xr3:uid="{1FBEAB24-7559-4E62-A844-1D7C81BDF82D}" name="TỈ LỆ %" dataDxfId="275" totalsRowDxfId="274"/>
    <tableColumn id="4" xr3:uid="{7C06E73D-6F76-4F98-807A-8654C61B78E8}" name="VỐN CP" totalsRowFunction="sum" dataDxfId="273" totalsRowDxfId="272"/>
    <tableColumn id="5" xr3:uid="{100DADAB-4262-4CDD-B90B-D18C565C5733}" name="LỢI NHUẬN GỘP" totalsRowFunction="sum" dataDxfId="271" totalsRowDxfId="270"/>
    <tableColumn id="6" xr3:uid="{DD6762F3-203A-4F2A-8392-9BD45639A9AF}" name="LỢI NHUẬN RÒNG" totalsRowFunction="sum" dataDxfId="269" totalsRowDxfId="268"/>
    <tableColumn id="7" xr3:uid="{A50AE211-664A-4F24-A095-B17F50BCEDEF}" name="TỔNG NHẬN" totalsRowFunction="sum" dataDxfId="267" totalsRowDxfId="266">
      <calculatedColumnFormula>D3+Table841419410132427323943485356714212835[[#This Row],[LỢI NHUẬN RÒNG]]</calculatedColumnFormula>
    </tableColumn>
    <tableColumn id="8" xr3:uid="{7D6F1407-2C0E-4F11-A94C-8BE7CE8B40D7}" name="Column1" dataDxfId="265" totalsRowDxfId="264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49E159A-CAAE-4832-B16E-21B1FA546A09}" name="Table951520511142528334044495457815222936" displayName="Table951520511142528334044495457815222936" ref="K2:O26" totalsRowShown="0" headerRowDxfId="263" dataDxfId="261" headerRowBorderDxfId="262" tableBorderDxfId="260" totalsRowBorderDxfId="259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D33900B4-9875-4A70-91E2-7E39A67800BC}" name="CỔ ĐÔNG" dataDxfId="258"/>
    <tableColumn id="2" xr3:uid="{CD6D9896-770B-4E0D-80CB-701497AA49DC}" name="VỐN CP" dataDxfId="257"/>
    <tableColumn id="3" xr3:uid="{0EB7D31C-5A20-41DD-BDF4-29473E8DA9D5}" name="LỢI NHUẬN GỘP" dataDxfId="256"/>
    <tableColumn id="4" xr3:uid="{E3CB4DBA-0472-49A9-82E7-5A322CA39892}" name="LỢI NHUẬN RÒNG" dataDxfId="255"/>
    <tableColumn id="5" xr3:uid="{DE22080E-149E-4700-B9FA-EF62D6C71C99}" name="TỔNG NHẬN" dataDxfId="254"/>
  </tableColumns>
  <tableStyleInfo name="TableStyleMedium2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E78CC12-4C3D-44D4-A96B-45DFC88F2BB6}" name="Table84141941013242732394348535671118253039" displayName="Table84141941013242732394348535671118253039" ref="A2:H421" totalsRowCount="1" headerRowDxfId="253" dataDxfId="252" tableBorderDxfId="251">
  <autoFilter ref="A2:H420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369"/>
  </sortState>
  <tableColumns count="8">
    <tableColumn id="1" xr3:uid="{D3F6CFFB-7F82-4F1D-924A-61CEAFDAB6AB}" name="MÃ TOÀ" dataDxfId="250" totalsRowDxfId="249"/>
    <tableColumn id="2" xr3:uid="{04445AAB-6FF5-4288-81B6-52ECE009E553}" name="CỔ ĐÔNG" dataDxfId="248" totalsRowDxfId="247"/>
    <tableColumn id="3" xr3:uid="{6EEF4FAF-2B5A-4812-9D09-4B4955C6856A}" name="TỈ LỆ %" dataDxfId="246" totalsRowDxfId="245"/>
    <tableColumn id="4" xr3:uid="{794B19A5-DA5C-4C8B-8012-12A78A509730}" name="VỐN CP" totalsRowFunction="sum" dataDxfId="244" totalsRowDxfId="243"/>
    <tableColumn id="5" xr3:uid="{C9D81762-856E-452A-8328-1C16EC5FF936}" name="LỢI NHUẬN GỘP" totalsRowFunction="sum" dataDxfId="242" totalsRowDxfId="241"/>
    <tableColumn id="6" xr3:uid="{F5BDE20F-9BAE-4B5A-AE87-BFF99F129EC6}" name="LỢI NHUẬN RÒNG" totalsRowFunction="sum" dataDxfId="240" totalsRowDxfId="239"/>
    <tableColumn id="7" xr3:uid="{E39DFB60-EF3E-4023-BEDD-B6EF35766658}" name="TỔNG NHẬN" totalsRowFunction="sum" dataDxfId="238" totalsRowDxfId="237">
      <calculatedColumnFormula>D3+Table84141941013242732394348535671118253039[[#This Row],[LỢI NHUẬN RÒNG]]</calculatedColumnFormula>
    </tableColumn>
    <tableColumn id="8" xr3:uid="{FA5CCD36-780B-4501-9948-6A50515ED005}" name="Column1" dataDxfId="236" totalsRowDxfId="235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BCDD811-7D03-4361-BCD9-99E3503506D6}" name="Table95152051114252833404449545781219263140" displayName="Table95152051114252833404449545781219263140" ref="K2:O26" totalsRowShown="0" headerRowDxfId="234" dataDxfId="232" headerRowBorderDxfId="233" tableBorderDxfId="231" totalsRowBorderDxfId="230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9443DEBF-E2D9-49A8-8CE9-04A1CE9904F9}" name="CỔ ĐÔNG" dataDxfId="229"/>
    <tableColumn id="2" xr3:uid="{5526BF98-5E47-4BA4-B8C9-5D352694D199}" name="VỐN CP" dataDxfId="228"/>
    <tableColumn id="3" xr3:uid="{16E51512-D5E4-4D5F-B4A2-57D390301F58}" name="LỢI NHUẬN GỘP" dataDxfId="227"/>
    <tableColumn id="4" xr3:uid="{ACB008F8-46FF-466A-A8DD-180B8BE34DED}" name="LỢI NHUẬN RÒNG" dataDxfId="226"/>
    <tableColumn id="5" xr3:uid="{01BE4A7A-DC02-40EA-B150-285A5ACB8547}" name="TỔNG NHẬN" dataDxfId="225"/>
  </tableColumns>
  <tableStyleInfo name="TableStyleMedium2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F535D36-4A1C-47B9-824D-A6130D97C122}" name="Table127162131221263136455055601320273441" displayName="Table127162131221263136455055601320273441" ref="A2:F28" totalsRowShown="0" headerRowDxfId="224" dataDxfId="222" headerRowBorderDxfId="223" tableBorderDxfId="221" totalsRowBorderDxfId="220">
  <autoFilter ref="A2:F28" xr:uid="{212B1B83-9292-4DF1-8EEA-4F21A0F208AE}"/>
  <sortState xmlns:xlrd2="http://schemas.microsoft.com/office/spreadsheetml/2017/richdata2" ref="A3:F27">
    <sortCondition ref="A7:A27"/>
  </sortState>
  <tableColumns count="6">
    <tableColumn id="1" xr3:uid="{3C90E94D-40FD-4198-98B4-44466F3D7E1A}" name="CỔ ĐÔNG" dataDxfId="219"/>
    <tableColumn id="2" xr3:uid="{0D797698-9698-4937-8650-302F40BAD8BE}" name="VỐN CP" dataDxfId="218"/>
    <tableColumn id="3" xr3:uid="{38DCE37D-4BFD-469F-AE7D-FF59CE874DD4}" name="LỢI NHUẬN GỘP" dataDxfId="217"/>
    <tableColumn id="4" xr3:uid="{3018E047-174F-42BA-844D-881F77229AE9}" name="LỢI NHUẬN RÒNG" dataDxfId="216"/>
    <tableColumn id="5" xr3:uid="{FE8E5A7F-4139-4098-A6CA-EA9D62B4609F}" name="TỔNG NHẬN" dataDxfId="215"/>
    <tableColumn id="6" xr3:uid="{068224FD-9146-40ED-A71E-C66BE981C962}" name="TỶ LỆ ĐT" dataDxfId="214">
      <calculatedColumnFormula>D3/B3</calculatedColumnFormula>
    </tableColumn>
  </tableColumns>
  <tableStyleInfo name="TableStyleMedium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25CAD7A-7356-4BE9-8536-8E3A52C0A796}" name="Table5211176815222934374146515891623323742" displayName="Table5211176815222934374146515891623323742" ref="A3:G155" totalsRowCount="1" headerRowDxfId="213" dataDxfId="211" headerRowBorderDxfId="212" tableBorderDxfId="210" totalsRowBorderDxfId="209">
  <autoFilter ref="A3:G154" xr:uid="{8151022E-F251-4527-B654-08E36BDAA1FB}">
    <filterColumn colId="1">
      <filters>
        <filter val="NGỌC"/>
      </filters>
    </filterColumn>
  </autoFilter>
  <sortState xmlns:xlrd2="http://schemas.microsoft.com/office/spreadsheetml/2017/richdata2" ref="A4:G154">
    <sortCondition ref="A4:A154"/>
  </sortState>
  <tableColumns count="7">
    <tableColumn id="1" xr3:uid="{C890A673-FB63-476F-958E-47F85F0E5F57}" name="MÃ TOÀ" dataDxfId="208" totalsRowDxfId="207"/>
    <tableColumn id="2" xr3:uid="{DFCFA8EE-0FC0-4C33-9CE4-460859B2B4F5}" name="CỔ ĐÔNG" dataDxfId="206" totalsRowDxfId="205"/>
    <tableColumn id="3" xr3:uid="{FBA1E4C2-380D-442D-B74C-64389399C755}" name="TỈ LỆ %" dataDxfId="204" totalsRowDxfId="203"/>
    <tableColumn id="4" xr3:uid="{98E37B7E-0B5D-4088-87BE-DB205E54186C}" name="VỐN CP" totalsRowFunction="sum" dataDxfId="202" totalsRowDxfId="201"/>
    <tableColumn id="5" xr3:uid="{FB63F5C2-9103-467A-93BD-775B512048DD}" name="LỢI NHUẬN GỘP" totalsRowFunction="sum" dataDxfId="200" totalsRowDxfId="199"/>
    <tableColumn id="6" xr3:uid="{CD8F5956-897A-4F09-9E7E-93D18DDCB5E4}" name="LỢI NHUẬN RÒNG" totalsRowFunction="sum" dataDxfId="198" totalsRowDxfId="197"/>
    <tableColumn id="7" xr3:uid="{9A05A9D8-9A88-4D1F-8E5D-9C9FA5A2460F}" name="TỔNG NHẬN" totalsRowFunction="sum" dataDxfId="196" totalsRowDxfId="195">
      <calculatedColumnFormula>Table5211176815222934374146515891623323742[[#This Row],[LỢI NHUẬN RÒNG]]+Table5211176815222934374146515891623323742[[#This Row],[VỐN CP]]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E93EF79-99E4-4606-9359-F4F276D04979}" name="Table73121879162330353842475259101724333843" displayName="Table73121879162330353842475259101724333843" ref="K2:O18" totalsRowShown="0" headerRowDxfId="194" dataDxfId="192" headerRowBorderDxfId="193" tableBorderDxfId="191" totalsRowBorderDxfId="190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ACCFBB2B-4B68-4FDE-9745-57D12D6026CC}" name="CỔ ĐÔNG" dataDxfId="189"/>
    <tableColumn id="2" xr3:uid="{BE4F7300-11E9-43FA-B9D9-0FFA9314614B}" name="VỐN CP" dataDxfId="188"/>
    <tableColumn id="3" xr3:uid="{68A430D3-48B3-47C6-9DB2-B3BD5304EE28}" name="LỢI NHUẬN GỘP" dataDxfId="187"/>
    <tableColumn id="4" xr3:uid="{B3BFBED1-2FA1-478D-A2AB-727EF1171029}" name="LỢI NHUẬN RÒNG" dataDxfId="186"/>
    <tableColumn id="5" xr3:uid="{ED867BCF-5E24-458C-A479-007B33B3982D}" name="TỔNG NHẬN" dataDxfId="18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11FE228-F0BF-4A2A-B6BB-322F02B9B4BB}" name="Table521117681522293437414651589162332374253" displayName="Table521117681522293437414651589162332374253" ref="A3:G155" totalsRowCount="1" headerRowDxfId="184" dataDxfId="182" headerRowBorderDxfId="183" tableBorderDxfId="181" totalsRowBorderDxfId="180">
  <autoFilter ref="A3:G154" xr:uid="{8151022E-F251-4527-B654-08E36BDAA1FB}">
    <filterColumn colId="1">
      <filters>
        <filter val="MẠNH"/>
      </filters>
    </filterColumn>
  </autoFilter>
  <sortState xmlns:xlrd2="http://schemas.microsoft.com/office/spreadsheetml/2017/richdata2" ref="A4:G154">
    <sortCondition ref="A4:A154"/>
  </sortState>
  <tableColumns count="7">
    <tableColumn id="1" xr3:uid="{AC5496EC-9242-4282-B6A5-8CDACE808099}" name="MÃ TOÀ" dataDxfId="29" totalsRowDxfId="22"/>
    <tableColumn id="2" xr3:uid="{41AF67A6-D849-4E1D-966C-394CD99F4E0B}" name="CỔ ĐÔNG" dataDxfId="28" totalsRowDxfId="21"/>
    <tableColumn id="3" xr3:uid="{76A0EF77-7263-4C7F-80E4-DC59CA4E4168}" name="TỈ LỆ %" dataDxfId="27" totalsRowDxfId="20"/>
    <tableColumn id="4" xr3:uid="{3D26141C-A382-45DF-AF1E-D5D842019AD4}" name="VỐN CP" totalsRowFunction="sum" dataDxfId="26" totalsRowDxfId="19"/>
    <tableColumn id="5" xr3:uid="{53B8216C-596C-44FC-909D-C1677BC3CBB7}" name="LỢI NHUẬN GỘP" totalsRowFunction="sum" dataDxfId="25" totalsRowDxfId="18"/>
    <tableColumn id="6" xr3:uid="{854D6D46-025D-4A4B-88BF-700040F6CFF0}" name="LỢI NHUẬN RÒNG" totalsRowFunction="sum" dataDxfId="24" totalsRowDxfId="17"/>
    <tableColumn id="7" xr3:uid="{4861BF9D-ECB0-4729-A407-141E46584ABF}" name="TỔNG NHẬN" totalsRowFunction="sum" dataDxfId="23" totalsRowDxfId="16">
      <calculatedColumnFormula>Table521117681522293437414651589162332374253[[#This Row],[LỢI NHUẬN RÒNG]]+Table521117681522293437414651589162332374253[[#This Row],[VỐN CP]]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607BE6E-B50D-4927-B24B-9BDEC212D76B}" name="Table7312187916233035384247525910172433384354" displayName="Table7312187916233035384247525910172433384354" ref="K2:O18" totalsRowShown="0" headerRowDxfId="179" dataDxfId="177" headerRowBorderDxfId="178" tableBorderDxfId="176" totalsRowBorderDxfId="175">
  <autoFilter ref="K2:O18" xr:uid="{E86EE27A-683E-432C-8C06-26F3F7BE0AA8}"/>
  <sortState xmlns:xlrd2="http://schemas.microsoft.com/office/spreadsheetml/2017/richdata2" ref="K3:O17">
    <sortCondition ref="K7:K17"/>
  </sortState>
  <tableColumns count="5">
    <tableColumn id="1" xr3:uid="{0AE86D44-E574-4D8C-BE75-A1D2172E959A}" name="CỔ ĐÔNG" dataDxfId="174"/>
    <tableColumn id="2" xr3:uid="{896805AE-006F-4675-AD7F-4534D82B44BB}" name="VỐN CP" dataDxfId="173"/>
    <tableColumn id="3" xr3:uid="{19C70797-87F3-443D-9BCC-D993E91178B9}" name="LỢI NHUẬN GỘP" dataDxfId="172"/>
    <tableColumn id="4" xr3:uid="{F342A4DA-B83C-411C-BA39-1B805EE38B3B}" name="LỢI NHUẬN RÒNG" dataDxfId="171"/>
    <tableColumn id="5" xr3:uid="{45DD4F13-EE9C-4871-9CA9-DD44901C19C0}" name="TỔNG NHẬN" dataDxfId="17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7D27AA3-8833-4351-8C28-FB952CE463AC}" name="Table84141941013242732394348535671421283544" displayName="Table84141941013242732394348535671421283544" ref="A2:H410" totalsRowCount="1" headerRowDxfId="169" dataDxfId="168" tableBorderDxfId="167">
  <autoFilter ref="A2:H409" xr:uid="{10E92A52-563C-4B29-A367-52408783BDE1}">
    <filterColumn colId="1">
      <filters>
        <filter val="NGỌC"/>
      </filters>
    </filterColumn>
  </autoFilter>
  <sortState xmlns:xlrd2="http://schemas.microsoft.com/office/spreadsheetml/2017/richdata2" ref="A3:H66">
    <sortCondition ref="A2:A409"/>
  </sortState>
  <tableColumns count="8">
    <tableColumn id="1" xr3:uid="{F011F7A3-9F41-4A77-A688-5512B2070488}" name="MÃ TOÀ" dataDxfId="166" totalsRowDxfId="165"/>
    <tableColumn id="2" xr3:uid="{C2D6D7AD-CB53-4BD2-8AA3-110E59DE6ACC}" name="CỔ ĐÔNG" dataDxfId="164" totalsRowDxfId="163"/>
    <tableColumn id="3" xr3:uid="{1B6B799A-9125-4418-850F-264C7C0C647A}" name="TỈ LỆ %" dataDxfId="162" totalsRowDxfId="161"/>
    <tableColumn id="4" xr3:uid="{8F5FF93F-C2A9-47B4-8ADF-8CA48B9B8113}" name="VỐN CP" totalsRowFunction="sum" dataDxfId="160" totalsRowDxfId="159"/>
    <tableColumn id="5" xr3:uid="{99C72C5C-C5F3-49FD-8A97-72A10248C581}" name="LỢI NHUẬN GỘP" totalsRowFunction="sum" dataDxfId="158" totalsRowDxfId="157"/>
    <tableColumn id="6" xr3:uid="{198E7934-4609-48CA-A11E-766D560E9D5B}" name="LỢI NHUẬN RÒNG" totalsRowFunction="sum" dataDxfId="156" totalsRowDxfId="155"/>
    <tableColumn id="7" xr3:uid="{022CC0C0-F670-4D00-A34C-C52495040A56}" name="TỔNG NHẬN" totalsRowFunction="sum" dataDxfId="154" totalsRowDxfId="153">
      <calculatedColumnFormula>D3+Table84141941013242732394348535671421283544[[#This Row],[LỢI NHUẬN RÒNG]]</calculatedColumnFormula>
    </tableColumn>
    <tableColumn id="8" xr3:uid="{B89D0FF7-457E-4F0E-A81A-6967FFB207D2}" name="Column1" dataDxfId="152" totalsRowDxfId="151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42400D3-A141-4312-8B2A-C2E596B08EEF}" name="Table95152051114252833404449545781522293645" displayName="Table95152051114252833404449545781522293645" ref="K2:O26" totalsRowShown="0" headerRowDxfId="150" dataDxfId="148" headerRowBorderDxfId="149" tableBorderDxfId="147" totalsRowBorderDxfId="146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69F4779C-FF57-4AF8-8225-E5921C4575D3}" name="CỔ ĐÔNG" dataDxfId="145"/>
    <tableColumn id="2" xr3:uid="{15C1155A-C1E9-47FB-ADBD-B7B4A613DA77}" name="VỐN CP" dataDxfId="144"/>
    <tableColumn id="3" xr3:uid="{DD12BB4D-DB06-4327-A05D-A5F9343755FA}" name="LỢI NHUẬN GỘP" dataDxfId="143"/>
    <tableColumn id="4" xr3:uid="{3ED4957A-F359-4B04-8ECB-6EECF63ED226}" name="LỢI NHUẬN RÒNG" dataDxfId="142"/>
    <tableColumn id="5" xr3:uid="{5F523D48-F747-41C9-8B13-3F3E43CD910D}" name="TỔNG NHẬN" dataDxfId="141"/>
  </tableColumns>
  <tableStyleInfo name="TableStyleMedium2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26AFA49-FC16-468C-A84F-8D516E2994FC}" name="Table8414194101324273239434853567111825303946" displayName="Table8414194101324273239434853567111825303946" ref="A2:H421" totalsRowCount="1" headerRowDxfId="140" dataDxfId="139" tableBorderDxfId="138">
  <autoFilter ref="A2:H420" xr:uid="{10E92A52-563C-4B29-A367-52408783BDE1}">
    <filterColumn colId="1">
      <filters>
        <filter val="KHẢI"/>
      </filters>
    </filterColumn>
  </autoFilter>
  <sortState xmlns:xlrd2="http://schemas.microsoft.com/office/spreadsheetml/2017/richdata2" ref="A3:H66">
    <sortCondition ref="A2:A369"/>
  </sortState>
  <tableColumns count="8">
    <tableColumn id="1" xr3:uid="{479B570D-F2DB-4FC7-B5E8-175DC7C69B98}" name="MÃ TOÀ" dataDxfId="137" totalsRowDxfId="136"/>
    <tableColumn id="2" xr3:uid="{52BFA2F2-1493-449C-90C0-5762F7EC71B9}" name="CỔ ĐÔNG" dataDxfId="135" totalsRowDxfId="134"/>
    <tableColumn id="3" xr3:uid="{2C48C9FC-AABB-480F-BE6E-B0B36E5B8638}" name="TỈ LỆ %" dataDxfId="133" totalsRowDxfId="132"/>
    <tableColumn id="4" xr3:uid="{3EB8DCD8-F295-4990-98B5-5F115E534F99}" name="VỐN CP" totalsRowFunction="sum" dataDxfId="131" totalsRowDxfId="130"/>
    <tableColumn id="5" xr3:uid="{33B7A4BA-309D-42B8-A97F-794B6E217033}" name="LỢI NHUẬN GỘP" totalsRowFunction="sum" dataDxfId="129" totalsRowDxfId="128"/>
    <tableColumn id="6" xr3:uid="{C8F9A183-39F2-459A-9969-72534A7CDF89}" name="LỢI NHUẬN RÒNG" totalsRowFunction="sum" dataDxfId="127" totalsRowDxfId="126"/>
    <tableColumn id="7" xr3:uid="{F32C8645-A02E-445E-BA42-FECB8ED7DECC}" name="TỔNG NHẬN" totalsRowFunction="sum" dataDxfId="125" totalsRowDxfId="124">
      <calculatedColumnFormula>D3+Table8414194101324273239434853567111825303946[[#This Row],[LỢI NHUẬN RÒNG]]</calculatedColumnFormula>
    </tableColumn>
    <tableColumn id="8" xr3:uid="{473BE6D1-8695-4065-BEDC-E7B1D7F369D4}" name="Column1" dataDxfId="123" totalsRowDxfId="122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1319695-0C6C-4A3B-8138-A76C570E51D1}" name="Table9515205111425283340444954578121926314047" displayName="Table9515205111425283340444954578121926314047" ref="K2:O26" totalsRowShown="0" headerRowDxfId="121" dataDxfId="119" headerRowBorderDxfId="120" tableBorderDxfId="118" totalsRowBorderDxfId="117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9EB64A77-E504-4A77-8BCE-5E89BB47BED7}" name="CỔ ĐÔNG" dataDxfId="116"/>
    <tableColumn id="2" xr3:uid="{EC9BFD9E-31B0-4378-97EA-DEB0C5203495}" name="VỐN CP" dataDxfId="115"/>
    <tableColumn id="3" xr3:uid="{C104F117-0C6D-4E13-96A9-444DCA70F136}" name="LỢI NHUẬN GỘP" dataDxfId="114"/>
    <tableColumn id="4" xr3:uid="{EA9E8D86-5E71-479A-A2E4-B212C9740B89}" name="LỢI NHUẬN RÒNG" dataDxfId="113"/>
    <tableColumn id="5" xr3:uid="{170A1C04-E152-4D26-844E-78FAEA8A5390}" name="TỔNG NHẬN" dataDxfId="112"/>
  </tableColumns>
  <tableStyleInfo name="TableStyleMedium2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7A93220-C0C1-4C92-A24F-9D576D41731D}" name="Table12716213122126313645505560132027344148" displayName="Table12716213122126313645505560132027344148" ref="A2:F30" totalsRowShown="0" headerRowDxfId="111" dataDxfId="109" headerRowBorderDxfId="110" tableBorderDxfId="108" totalsRowBorderDxfId="107">
  <autoFilter ref="A2:F30" xr:uid="{212B1B83-9292-4DF1-8EEA-4F21A0F208AE}"/>
  <sortState xmlns:xlrd2="http://schemas.microsoft.com/office/spreadsheetml/2017/richdata2" ref="A3:F29">
    <sortCondition ref="A7:A29"/>
  </sortState>
  <tableColumns count="6">
    <tableColumn id="1" xr3:uid="{29615933-9089-4BB4-9E06-4556B210BE58}" name="CỔ ĐÔNG" dataDxfId="106"/>
    <tableColumn id="2" xr3:uid="{2ED326CC-A2C7-49EC-A8B7-C0EA56DE7353}" name="VỐN CP" dataDxfId="105"/>
    <tableColumn id="3" xr3:uid="{8B8B8480-67DF-43F9-ABE7-B361BB72C383}" name="LỢI NHUẬN GỘP" dataDxfId="104"/>
    <tableColumn id="4" xr3:uid="{A986A646-ED83-46CD-AD7F-8CBAA580B04B}" name="LỢI NHUẬN RÒNG" dataDxfId="103"/>
    <tableColumn id="5" xr3:uid="{E29A2600-927A-49EC-8F98-54C1CA039BEF}" name="TỔNG NHẬN" dataDxfId="102"/>
    <tableColumn id="6" xr3:uid="{552EB038-1BCE-48D4-A967-BBAB327B6120}" name="TỶ LỆ ĐT" dataDxfId="101">
      <calculatedColumnFormula>D3/B3</calculatedColumnFormula>
    </tableColumn>
  </tableColumns>
  <tableStyleInfo name="TableStyleMedium1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3818A20-EA24-4218-975F-88F989434828}" name="Table8414194101324273239434853567142128354451" displayName="Table8414194101324273239434853567142128354451" ref="A2:H410" totalsRowCount="1" headerRowDxfId="100" dataDxfId="99" tableBorderDxfId="98">
  <autoFilter ref="A2:H409" xr:uid="{10E92A52-563C-4B29-A367-52408783BDE1}">
    <filterColumn colId="1">
      <filters>
        <filter val="MẠNH"/>
      </filters>
    </filterColumn>
  </autoFilter>
  <sortState xmlns:xlrd2="http://schemas.microsoft.com/office/spreadsheetml/2017/richdata2" ref="A394:H401">
    <sortCondition ref="A2:A409"/>
  </sortState>
  <tableColumns count="8">
    <tableColumn id="1" xr3:uid="{B5F8629E-B53B-4936-9696-396035E2D906}" name="MÃ TOÀ" dataDxfId="15" totalsRowDxfId="7"/>
    <tableColumn id="2" xr3:uid="{453FCC1B-CE0A-40C7-B0D3-A43A29652CBE}" name="CỔ ĐÔNG" dataDxfId="14" totalsRowDxfId="6"/>
    <tableColumn id="3" xr3:uid="{0CD5C429-0F5C-4BFF-A216-435BFFAB41AB}" name="TỈ LỆ %" dataDxfId="13" totalsRowDxfId="5"/>
    <tableColumn id="4" xr3:uid="{602A0F5F-DA1A-4484-BFA6-644E17FD3FC6}" name="VỐN CP" totalsRowFunction="sum" dataDxfId="12" totalsRowDxfId="4"/>
    <tableColumn id="5" xr3:uid="{B4571BAA-59E5-4779-9CA5-88FAB284A4A8}" name="LỢI NHUẬN GỘP" totalsRowFunction="sum" dataDxfId="11" totalsRowDxfId="3"/>
    <tableColumn id="6" xr3:uid="{8FCD8707-6D37-4FD8-A28F-2324C11A04B3}" name="LỢI NHUẬN RÒNG" totalsRowFunction="sum" dataDxfId="10" totalsRowDxfId="2"/>
    <tableColumn id="7" xr3:uid="{8D53030B-2999-46A9-8B86-E65A5E4AF7E6}" name="TỔNG NHẬN" totalsRowFunction="sum" dataDxfId="9" totalsRowDxfId="1">
      <calculatedColumnFormula>D3+Table8414194101324273239434853567142128354451[[#This Row],[LỢI NHUẬN RÒNG]]</calculatedColumnFormula>
    </tableColumn>
    <tableColumn id="8" xr3:uid="{2EDCFF29-654B-4B12-8B24-3CE785EC42EE}" name="Column1" dataDxfId="8" totalsRowDxfId="0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9971B90-9CC8-4F29-AE4B-015066BF9A88}" name="Table9515205111425283340444954578152229364552" displayName="Table9515205111425283340444954578152229364552" ref="K2:O26" totalsRowShown="0" headerRowDxfId="97" dataDxfId="95" headerRowBorderDxfId="96" tableBorderDxfId="94" totalsRowBorderDxfId="93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8ECC13D8-BD4B-4A7D-9707-81AC8706CC8E}" name="CỔ ĐÔNG" dataDxfId="92"/>
    <tableColumn id="2" xr3:uid="{C6BDA96D-2B15-4A5D-99FD-830A09D56FC3}" name="VỐN CP" dataDxfId="91"/>
    <tableColumn id="3" xr3:uid="{D25B398A-695D-456F-8D7D-B4BED6C373A7}" name="LỢI NHUẬN GỘP" dataDxfId="90"/>
    <tableColumn id="4" xr3:uid="{3DAFC24C-8FEB-4673-92EA-08FF0C06AE3E}" name="LỢI NHUẬN RÒNG" dataDxfId="89"/>
    <tableColumn id="5" xr3:uid="{F1A4CEF4-9F28-44E7-8CC3-F4793A5859F9}" name="TỔNG NHẬN" dataDxfId="88"/>
  </tableColumns>
  <tableStyleInfo name="TableStyleMedium2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C12C7F0-F417-4EA6-BD34-89B567A11368}" name="Table841419410132427323943485356711182530394649" displayName="Table841419410132427323943485356711182530394649" ref="A2:H421" totalsRowCount="1" headerRowDxfId="87" dataDxfId="86" tableBorderDxfId="85">
  <autoFilter ref="A2:H420" xr:uid="{10E92A52-563C-4B29-A367-52408783BDE1}">
    <filterColumn colId="1">
      <filters>
        <filter val="MẠNH"/>
      </filters>
    </filterColumn>
  </autoFilter>
  <sortState xmlns:xlrd2="http://schemas.microsoft.com/office/spreadsheetml/2017/richdata2" ref="A3:H66">
    <sortCondition ref="A2:A369"/>
  </sortState>
  <tableColumns count="8">
    <tableColumn id="1" xr3:uid="{BB1E9022-1F31-4CA2-9D39-AA519E80627D}" name="MÃ TOÀ" dataDxfId="84" totalsRowDxfId="37"/>
    <tableColumn id="2" xr3:uid="{6B4C43A3-ABD6-48B0-86C9-4223A179037E}" name="CỔ ĐÔNG" dataDxfId="83" totalsRowDxfId="36"/>
    <tableColumn id="3" xr3:uid="{7162B045-9403-4293-9BAA-B95D03F3DF16}" name="TỈ LỆ %" dataDxfId="82" totalsRowDxfId="35"/>
    <tableColumn id="4" xr3:uid="{6CCDD86E-50BE-46C7-86F2-B60562718C2E}" name="VỐN CP" totalsRowFunction="sum" dataDxfId="81" totalsRowDxfId="34"/>
    <tableColumn id="5" xr3:uid="{63AC061A-BB93-4EB6-9435-1179960B289D}" name="LỢI NHUẬN GỘP" totalsRowFunction="sum" dataDxfId="80" totalsRowDxfId="33"/>
    <tableColumn id="6" xr3:uid="{584CCE7D-0041-47C8-AF7B-5DCF76AA030B}" name="LỢI NHUẬN RÒNG" totalsRowFunction="sum" dataDxfId="79" totalsRowDxfId="32"/>
    <tableColumn id="7" xr3:uid="{EB851714-1EA4-42A7-8CBB-FC660C191ACC}" name="TỔNG NHẬN" totalsRowFunction="sum" dataDxfId="78" totalsRowDxfId="31">
      <calculatedColumnFormula>D3+Table841419410132427323943485356711182530394649[[#This Row],[LỢI NHUẬN RÒNG]]</calculatedColumnFormula>
    </tableColumn>
    <tableColumn id="8" xr3:uid="{BF579868-B800-41AA-B07C-7D727EB6EDCE}" name="Column1" dataDxfId="77" totalsRowDxfId="30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FE7C93E-54DB-4809-9EF4-8A02F9DE525D}" name="Table951520511142528334044495457812192631404750" displayName="Table951520511142528334044495457812192631404750" ref="K2:O26" totalsRowShown="0" headerRowDxfId="76" dataDxfId="74" headerRowBorderDxfId="75" tableBorderDxfId="73" totalsRowBorderDxfId="72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D2A8F8C7-5BF4-4722-92C9-52A5EAF61A9E}" name="CỔ ĐÔNG" dataDxfId="71"/>
    <tableColumn id="2" xr3:uid="{BFC70041-EB74-4555-B141-558C0A61246E}" name="VỐN CP" dataDxfId="70"/>
    <tableColumn id="3" xr3:uid="{415E7503-8A15-4E1E-9147-C4A51B7A893F}" name="LỢI NHUẬN GỘP" dataDxfId="69"/>
    <tableColumn id="4" xr3:uid="{94914736-0062-4BDF-94E0-1542AD3ADE21}" name="LỢI NHUẬN RÒNG" dataDxfId="68"/>
    <tableColumn id="5" xr3:uid="{60910859-2050-4C0C-B5F7-CDC45967F70C}" name="TỔNG NHẬN" dataDxfId="67"/>
  </tableColumns>
  <tableStyleInfo name="TableStyleMedium2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D5B8D4D-CBBF-4046-889F-00B17579030B}" name="Table1271621312212631364550556013202734414855" displayName="Table1271621312212631364550556013202734414855" ref="A2:F30" totalsRowShown="0" headerRowDxfId="754" dataDxfId="752" headerRowBorderDxfId="753" tableBorderDxfId="751" totalsRowBorderDxfId="750">
  <autoFilter ref="A2:F30" xr:uid="{212B1B83-9292-4DF1-8EEA-4F21A0F208AE}"/>
  <sortState xmlns:xlrd2="http://schemas.microsoft.com/office/spreadsheetml/2017/richdata2" ref="A3:F29">
    <sortCondition ref="A7:A29"/>
  </sortState>
  <tableColumns count="6">
    <tableColumn id="1" xr3:uid="{AFD2BDBC-EB23-494F-9A14-990B343C6957}" name="CỔ ĐÔNG" dataDxfId="749"/>
    <tableColumn id="2" xr3:uid="{13335E66-C484-4E23-9D04-8ACC33B79F0C}" name="VỐN CP" dataDxfId="748"/>
    <tableColumn id="3" xr3:uid="{3E598AE1-111C-4980-818E-FC8DA2B10218}" name="LỢI NHUẬN GỘP" dataDxfId="747"/>
    <tableColumn id="4" xr3:uid="{63BFC260-6E23-4E95-9D46-32E165D060C5}" name="LỢI NHUẬN RÒNG" dataDxfId="746"/>
    <tableColumn id="5" xr3:uid="{370B1E09-9806-47DD-8725-AB8116F44BF0}" name="TỔNG NHẬN" dataDxfId="745"/>
    <tableColumn id="6" xr3:uid="{C58A5930-A490-4D5C-BDF7-FF053AFA6DEB}" name="TỶ LỆ ĐT" dataDxfId="744">
      <calculatedColumnFormula>D3/B3</calculatedColumnFormula>
    </tableColumn>
  </tableColumns>
  <tableStyleInfo name="TableStyleMedium1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20282-3E34-4F0A-9D1F-D64AB3322916}" name="Table841419410132427323943485356" displayName="Table841419410132427323943485356" ref="A2:H421" totalsRowCount="1" headerRowDxfId="66" dataDxfId="65" tableBorderDxfId="64">
  <autoFilter ref="A2:H420" xr:uid="{10E92A52-563C-4B29-A367-52408783BDE1}">
    <filterColumn colId="1">
      <filters>
        <filter val="TÙNG"/>
      </filters>
    </filterColumn>
  </autoFilter>
  <sortState xmlns:xlrd2="http://schemas.microsoft.com/office/spreadsheetml/2017/richdata2" ref="A3:H66">
    <sortCondition ref="A2:A369"/>
  </sortState>
  <tableColumns count="8">
    <tableColumn id="1" xr3:uid="{37F74FAC-7D39-4358-A4F4-6BF7B4A38759}" name="MÃ TOÀ" dataDxfId="63" totalsRowDxfId="62"/>
    <tableColumn id="2" xr3:uid="{696B822F-0C26-4846-9330-EBF7B1A27D1B}" name="CỔ ĐÔNG" dataDxfId="61" totalsRowDxfId="60"/>
    <tableColumn id="3" xr3:uid="{740AF792-CBBC-4D81-AB38-6879FE37C7DA}" name="TỈ LỆ %" dataDxfId="59" totalsRowDxfId="58"/>
    <tableColumn id="4" xr3:uid="{6E1F3512-AA49-4AD8-808D-26597B7EF199}" name="VỐN CP" totalsRowFunction="sum" dataDxfId="57" totalsRowDxfId="56"/>
    <tableColumn id="5" xr3:uid="{D1C62CB1-E4D2-415D-B8E1-1AB1D59B6F7F}" name="LỢI NHUẬN GỘP" totalsRowFunction="sum" dataDxfId="55" totalsRowDxfId="54"/>
    <tableColumn id="6" xr3:uid="{B7E29D0A-7390-4BCA-AD35-609A3B6A573B}" name="LỢI NHUẬN RÒNG" totalsRowFunction="sum" dataDxfId="53" totalsRowDxfId="52"/>
    <tableColumn id="7" xr3:uid="{5D85579B-C334-4789-9405-6F6A0C938468}" name="TỔNG NHẬN" totalsRowFunction="sum" dataDxfId="51" totalsRowDxfId="50">
      <calculatedColumnFormula>D3+Table841419410132427323943485356[[#This Row],[LỢI NHUẬN RÒNG]]</calculatedColumnFormula>
    </tableColumn>
    <tableColumn id="8" xr3:uid="{746ED07D-5891-41C6-891B-D92F25198B04}" name="Column1" dataDxfId="49" totalsRowDxfId="48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0B46FA-4105-475B-A4B0-8DB3F2C26A82}" name="Table951520511142528334044495457" displayName="Table951520511142528334044495457" ref="K2:O26" totalsRowShown="0" headerRowDxfId="47" dataDxfId="45" headerRowBorderDxfId="46" tableBorderDxfId="44" totalsRowBorderDxfId="43">
  <autoFilter ref="K2:O26" xr:uid="{3612DFF3-0DDE-4144-8F9E-2E92E90BCC45}"/>
  <sortState xmlns:xlrd2="http://schemas.microsoft.com/office/spreadsheetml/2017/richdata2" ref="K3:O25">
    <sortCondition ref="K12:K25"/>
  </sortState>
  <tableColumns count="5">
    <tableColumn id="1" xr3:uid="{29EF834E-2149-45B8-B4F5-1B504D6379AE}" name="CỔ ĐÔNG" dataDxfId="42"/>
    <tableColumn id="2" xr3:uid="{7FCA3FB5-E0F9-4270-9A13-63B6E1478351}" name="VỐN CP" dataDxfId="41"/>
    <tableColumn id="3" xr3:uid="{65D4A6D0-F72A-4D73-BD33-4C9A6D290F07}" name="LỢI NHUẬN GỘP" dataDxfId="40"/>
    <tableColumn id="4" xr3:uid="{59A9D821-46E1-423C-8E5F-EE032F923806}" name="LỢI NHUẬN RÒNG" dataDxfId="39"/>
    <tableColumn id="5" xr3:uid="{8003C683-4852-420F-9601-D78C2A84E246}" name="TỔNG NHẬN" dataDxfId="38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table" Target="../tables/table4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E7BE-ACBD-4C68-B148-D3714BD73C47}">
  <sheetPr codeName="Sheet1"/>
  <dimension ref="A1:J37"/>
  <sheetViews>
    <sheetView topLeftCell="A13" workbookViewId="0">
      <selection activeCell="E20" sqref="E20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132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Table73121879162330353842475259[[#This Row],[VỐN CP]]+Table951520511142528334044495457[[#This Row],[VỐN CP]]</f>
        <v>69784166.666666672</v>
      </c>
      <c r="C3" s="14">
        <f>Table73121879162330353842475259[[#This Row],[LỢI NHUẬN GỘP]]+Table951520511142528334044495457[[#This Row],[LỢI NHUẬN GỘP]]</f>
        <v>21976044.199999996</v>
      </c>
      <c r="D3" s="14">
        <f>Table73121879162330353842475259[[#This Row],[LỢI NHUẬN RÒNG]]+Table951520511142528334044495457[[#This Row],[LỢI NHUẬN RÒNG]]</f>
        <v>12987739.639913896</v>
      </c>
      <c r="E3" s="14">
        <f>Table73121879162330353842475259[[#This Row],[TỔNG NHẬN]]+Table951520511142528334044495457[[#This Row],[TỔNG NHẬN]]</f>
        <v>82771906.306580558</v>
      </c>
      <c r="F3" s="49">
        <f t="shared" ref="F3:F27" si="0">D3/B3</f>
        <v>0.18611298608682336</v>
      </c>
    </row>
    <row r="4" spans="1:10" x14ac:dyDescent="0.3">
      <c r="A4" s="13" t="s">
        <v>87</v>
      </c>
      <c r="B4" s="14">
        <f>Table73121879162330353842475259[[#This Row],[VỐN CP]]</f>
        <v>81893333.333333328</v>
      </c>
      <c r="C4" s="14">
        <f>Table73121879162330353842475259[[#This Row],[LỢI NHUẬN GỘP]]</f>
        <v>24281547.699999999</v>
      </c>
      <c r="D4" s="14">
        <f>Table73121879162330353842475259[[#This Row],[LỢI NHUẬN RÒNG]]</f>
        <v>14639970.1644227</v>
      </c>
      <c r="E4" s="14">
        <f>Table73121879162330353842475259[[#This Row],[TỔNG NHẬN]]</f>
        <v>96533303.497756034</v>
      </c>
      <c r="F4" s="49">
        <f t="shared" si="0"/>
        <v>0.1787687662539405</v>
      </c>
      <c r="I4" s="50"/>
    </row>
    <row r="5" spans="1:10" x14ac:dyDescent="0.3">
      <c r="A5" s="13" t="s">
        <v>9</v>
      </c>
      <c r="B5" s="14">
        <f>Table73121879162330353842475259[[#This Row],[VỐN CP]]+'Tháng 1 nhà S'!L4</f>
        <v>788740833.33333337</v>
      </c>
      <c r="C5" s="14">
        <f>Table73121879162330353842475259[[#This Row],[LỢI NHUẬN GỘP]]+'Tháng 1 nhà S'!M4</f>
        <v>271066956.6941666</v>
      </c>
      <c r="D5" s="14">
        <f>Table73121879162330353842475259[[#This Row],[LỢI NHUẬN RÒNG]]+'Tháng 1 nhà S'!N4</f>
        <v>169737245.07443175</v>
      </c>
      <c r="E5" s="14">
        <f>Table73121879162330353842475259[[#This Row],[TỔNG NHẬN]]+'Tháng 1 nhà S'!O4</f>
        <v>958478078.40776491</v>
      </c>
      <c r="F5" s="49">
        <f t="shared" si="0"/>
        <v>0.21520027606165321</v>
      </c>
      <c r="I5" s="50"/>
    </row>
    <row r="6" spans="1:10" x14ac:dyDescent="0.3">
      <c r="A6" s="13" t="s">
        <v>88</v>
      </c>
      <c r="B6" s="14">
        <f>Table73121879162330353842475259[[#This Row],[VỐN CP]]+'Tháng 1 nhà S'!L5</f>
        <v>75105000</v>
      </c>
      <c r="C6" s="14">
        <f>Table73121879162330353842475259[[#This Row],[LỢI NHUẬN GỘP]]+'Tháng 1 nhà S'!M5</f>
        <v>23106800.896666665</v>
      </c>
      <c r="D6" s="14">
        <f>Table73121879162330353842475259[[#This Row],[LỢI NHUẬN RÒNG]]+'Tháng 1 nhà S'!N5</f>
        <v>13600861.331571646</v>
      </c>
      <c r="E6" s="14">
        <f>Table73121879162330353842475259[[#This Row],[TỔNG NHẬN]]+'Tháng 1 nhà S'!O5</f>
        <v>88705861.331571639</v>
      </c>
      <c r="F6" s="49">
        <f t="shared" si="0"/>
        <v>0.18109128994836091</v>
      </c>
    </row>
    <row r="7" spans="1:10" x14ac:dyDescent="0.3">
      <c r="A7" s="13" t="s">
        <v>89</v>
      </c>
      <c r="B7" s="14">
        <f>Table73121879162330353842475259[[#This Row],[VỐN CP]]+'Tháng 1 nhà S'!L6</f>
        <v>35213333.333333336</v>
      </c>
      <c r="C7" s="14">
        <f>Table73121879162330353842475259[[#This Row],[LỢI NHUẬN GỘP]]+'Tháng 1 nhà S'!M6</f>
        <v>12971635.716666667</v>
      </c>
      <c r="D7" s="14">
        <f>Table73121879162330353842475259[[#This Row],[LỢI NHUẬN RÒNG]]+'Tháng 1 nhà S'!N6</f>
        <v>8543095.996331986</v>
      </c>
      <c r="E7" s="14">
        <f>Table73121879162330353842475259[[#This Row],[TỔNG NHẬN]]+'Tháng 1 nhà S'!O6</f>
        <v>43756429.329665326</v>
      </c>
      <c r="F7" s="49">
        <f t="shared" si="0"/>
        <v>0.24260969319382769</v>
      </c>
      <c r="I7" s="50"/>
    </row>
    <row r="8" spans="1:10" x14ac:dyDescent="0.3">
      <c r="A8" s="13" t="s">
        <v>17</v>
      </c>
      <c r="B8" s="14">
        <f>'Tháng 1 nhà S'!L7</f>
        <v>6795000</v>
      </c>
      <c r="C8" s="14">
        <f>'Tháng 1 nhà S'!M7</f>
        <v>3124019.85</v>
      </c>
      <c r="D8" s="14">
        <f>'Tháng 1 nhà S'!N7</f>
        <v>2375974.3262969209</v>
      </c>
      <c r="E8" s="14">
        <f>'Tháng 1 nhà S'!O7</f>
        <v>9170974.3262969218</v>
      </c>
      <c r="F8" s="49">
        <f t="shared" si="0"/>
        <v>0.3496650958494365</v>
      </c>
    </row>
    <row r="9" spans="1:10" x14ac:dyDescent="0.3">
      <c r="A9" s="13" t="s">
        <v>19</v>
      </c>
      <c r="B9" s="14">
        <f>'Tháng 1 nhà T  '!L8+'Tháng 1 nhà S'!L8</f>
        <v>807783333.33333337</v>
      </c>
      <c r="C9" s="14">
        <f>'Tháng 1 nhà T  '!M8+'Tháng 1 nhà S'!M8</f>
        <v>266981563.20833328</v>
      </c>
      <c r="D9" s="14">
        <f>'Tháng 1 nhà T  '!N8+'Tháng 1 nhà S'!N8</f>
        <v>160797767.80931592</v>
      </c>
      <c r="E9" s="14">
        <f>'Tháng 1 nhà T  '!O8+'Tháng 1 nhà S'!O8</f>
        <v>935130171.65791583</v>
      </c>
      <c r="F9" s="49">
        <f t="shared" si="0"/>
        <v>0.19906051681678161</v>
      </c>
      <c r="I9" s="50"/>
    </row>
    <row r="10" spans="1:10" x14ac:dyDescent="0.3">
      <c r="A10" s="16" t="s">
        <v>21</v>
      </c>
      <c r="B10" s="14">
        <f>'Tháng 1 nhà T  '!L9+'Tháng 1 nhà S'!L9</f>
        <v>414943333.33333337</v>
      </c>
      <c r="C10" s="14">
        <f>'Tháng 1 nhà T  '!M9+'Tháng 1 nhà S'!M9</f>
        <v>150022345.92916667</v>
      </c>
      <c r="D10" s="14">
        <f>'Tháng 1 nhà T  '!N9+'Tháng 1 nhà S'!N9</f>
        <v>100037172.48439491</v>
      </c>
      <c r="E10" s="14">
        <f>'Tháng 1 nhà T  '!O9+'Tháng 1 nhà S'!O9</f>
        <v>514980505.81772828</v>
      </c>
      <c r="F10" s="49">
        <f t="shared" si="0"/>
        <v>0.24108634709412907</v>
      </c>
      <c r="J10" s="50"/>
    </row>
    <row r="11" spans="1:10" x14ac:dyDescent="0.3">
      <c r="A11" s="13" t="s">
        <v>23</v>
      </c>
      <c r="B11" s="14">
        <f>'Tháng 1 nhà T  '!L10+'Tháng 1 nhà S'!L10</f>
        <v>51435000</v>
      </c>
      <c r="C11" s="14">
        <f>'Tháng 1 nhà T  '!M10+'Tháng 1 nhà S'!M10</f>
        <v>15085242.916666666</v>
      </c>
      <c r="D11" s="14">
        <f>'Tháng 1 nhà T  '!N10+'Tháng 1 nhà S'!N10</f>
        <v>7627804.0665821666</v>
      </c>
      <c r="E11" s="14">
        <f>'Tháng 1 nhà T  '!O10+'Tháng 1 nhà S'!O10</f>
        <v>59062804.066582173</v>
      </c>
      <c r="F11" s="49">
        <f t="shared" si="0"/>
        <v>0.14829987492139918</v>
      </c>
    </row>
    <row r="12" spans="1:10" x14ac:dyDescent="0.3">
      <c r="A12" s="13" t="s">
        <v>25</v>
      </c>
      <c r="B12" s="14">
        <f>'Tháng 1 nhà T  '!L16+'Tháng 1 nhà S'!L11</f>
        <v>99101666.666666672</v>
      </c>
      <c r="C12" s="14">
        <f>'Tháng 1 nhà T  '!M16+'Tháng 1 nhà S'!M11</f>
        <v>35197055.913333334</v>
      </c>
      <c r="D12" s="14">
        <f>'Tháng 1 nhà T  '!N16+'Tháng 1 nhà S'!N11</f>
        <v>24431148.36138647</v>
      </c>
      <c r="E12" s="14">
        <f>'Tháng 1 nhà T  '!O16+'Tháng 1 nhà S'!O11</f>
        <v>123532815.02805315</v>
      </c>
      <c r="F12" s="49">
        <f t="shared" si="0"/>
        <v>0.24652610983387233</v>
      </c>
    </row>
    <row r="13" spans="1:10" x14ac:dyDescent="0.3">
      <c r="A13" s="13" t="s">
        <v>27</v>
      </c>
      <c r="B13" s="14">
        <f>'Tháng 1 nhà T  '!L11+'Tháng 1 nhà S'!L12</f>
        <v>405718333.33333331</v>
      </c>
      <c r="C13" s="14">
        <f>'Tháng 1 nhà T  '!M11+'Tháng 1 nhà S'!M12</f>
        <v>141620930.67499998</v>
      </c>
      <c r="D13" s="14">
        <f>'Tháng 1 nhà T  '!N11+'Tháng 1 nhà S'!N12</f>
        <v>81365506.049828887</v>
      </c>
      <c r="E13" s="14">
        <f>'Tháng 1 nhà T  '!O11+'Tháng 1 nhà S'!O12</f>
        <v>487083839.3831622</v>
      </c>
      <c r="F13" s="49">
        <f t="shared" si="0"/>
        <v>0.20054678175703725</v>
      </c>
    </row>
    <row r="14" spans="1:10" x14ac:dyDescent="0.3">
      <c r="A14" s="13" t="s">
        <v>29</v>
      </c>
      <c r="B14" s="14">
        <f>'Tháng 1 nhà S'!L13</f>
        <v>38973333.333333328</v>
      </c>
      <c r="C14" s="14">
        <f>'Tháng 1 nhà S'!M13</f>
        <v>16571623.550000001</v>
      </c>
      <c r="D14" s="14">
        <f>'Tháng 1 nhà S'!N13</f>
        <v>11190577.79508288</v>
      </c>
      <c r="E14" s="14">
        <f>'Tháng 1 nhà S'!O13</f>
        <v>50163911.128416225</v>
      </c>
      <c r="F14" s="49">
        <f t="shared" si="0"/>
        <v>0.2871342232744496</v>
      </c>
    </row>
    <row r="15" spans="1:10" x14ac:dyDescent="0.3">
      <c r="A15" s="13" t="s">
        <v>31</v>
      </c>
      <c r="B15" s="14">
        <f>'Tháng 1 nhà T  '!L12+'Tháng 1 nhà S'!L14</f>
        <v>191020000</v>
      </c>
      <c r="C15" s="14">
        <f>'Tháng 1 nhà T  '!M12+'Tháng 1 nhà S'!M14</f>
        <v>64356110.199999996</v>
      </c>
      <c r="D15" s="14">
        <f>'Tháng 1 nhà T  '!N12+'Tháng 1 nhà S'!N14</f>
        <v>40229351.317394644</v>
      </c>
      <c r="E15" s="14">
        <f>'Tháng 1 nhà T  '!O12+'Tháng 1 nhà S'!O14</f>
        <v>231249351.31739467</v>
      </c>
      <c r="F15" s="49">
        <f t="shared" si="0"/>
        <v>0.21060282335564151</v>
      </c>
    </row>
    <row r="16" spans="1:10" x14ac:dyDescent="0.3">
      <c r="A16" s="13" t="s">
        <v>91</v>
      </c>
      <c r="B16" s="14">
        <f>'Tháng 1 nhà T  '!L13</f>
        <v>8400000</v>
      </c>
      <c r="C16" s="14">
        <f>'Tháng 1 nhà T  '!M13</f>
        <v>5211706.0333333323</v>
      </c>
      <c r="D16" s="14">
        <f>'Tháng 1 nhà T  '!N13</f>
        <v>2937946.8391169077</v>
      </c>
      <c r="E16" s="14">
        <f>'Tháng 1 nhà T  '!O13</f>
        <v>11337946.839116909</v>
      </c>
      <c r="F16" s="49">
        <f t="shared" si="0"/>
        <v>0.34975557608534613</v>
      </c>
    </row>
    <row r="17" spans="1:6" x14ac:dyDescent="0.3">
      <c r="A17" s="13" t="s">
        <v>33</v>
      </c>
      <c r="B17" s="14">
        <f>'Tháng 1 nhà T  '!L14+'Tháng 1 nhà S'!L15</f>
        <v>79818333.333333343</v>
      </c>
      <c r="C17" s="14">
        <f>'Tháng 1 nhà T  '!M14+'Tháng 1 nhà S'!M15</f>
        <v>28010796.733333327</v>
      </c>
      <c r="D17" s="14">
        <f>'Tháng 1 nhà T  '!N14+'Tháng 1 nhà S'!N15</f>
        <v>18063570.712755568</v>
      </c>
      <c r="E17" s="14">
        <f>'Tháng 1 nhà T  '!O14+'Tháng 1 nhà S'!O15</f>
        <v>97881904.046088874</v>
      </c>
      <c r="F17" s="49">
        <f t="shared" si="0"/>
        <v>0.22630854289226243</v>
      </c>
    </row>
    <row r="18" spans="1:6" x14ac:dyDescent="0.3">
      <c r="A18" s="13" t="s">
        <v>35</v>
      </c>
      <c r="B18" s="14">
        <f>'Tháng 1 nhà S'!L16</f>
        <v>52721666.666666672</v>
      </c>
      <c r="C18" s="14">
        <f>'Tháng 1 nhà S'!M16</f>
        <v>19022347.733333331</v>
      </c>
      <c r="D18" s="14">
        <f>'Tháng 1 nhà S'!N16</f>
        <v>12775747.035253441</v>
      </c>
      <c r="E18" s="14">
        <f>'Tháng 1 nhà S'!O16</f>
        <v>65497413.701920107</v>
      </c>
      <c r="F18" s="49">
        <f t="shared" si="0"/>
        <v>0.2423244150460615</v>
      </c>
    </row>
    <row r="19" spans="1:6" x14ac:dyDescent="0.3">
      <c r="A19" s="16" t="s">
        <v>37</v>
      </c>
      <c r="B19" s="14">
        <f>'Tháng 1 nhà T  '!L15+'Tháng 1 nhà S'!L17</f>
        <v>205618333.33333331</v>
      </c>
      <c r="C19" s="14">
        <f>'Tháng 1 nhà T  '!M15+'Tháng 1 nhà S'!M17</f>
        <v>74470185.733333349</v>
      </c>
      <c r="D19" s="14">
        <f>'Tháng 1 nhà T  '!N15+'Tháng 1 nhà S'!N17</f>
        <v>49471606.03430932</v>
      </c>
      <c r="E19" s="14">
        <f>'Tháng 1 nhà T  '!O15+'Tháng 1 nhà S'!O17</f>
        <v>255089939.36764264</v>
      </c>
      <c r="F19" s="51">
        <f t="shared" si="0"/>
        <v>0.24059919770923147</v>
      </c>
    </row>
    <row r="20" spans="1:6" x14ac:dyDescent="0.3">
      <c r="A20" s="13" t="s">
        <v>39</v>
      </c>
      <c r="B20" s="14">
        <f>'Tháng 1 nhà S'!L18</f>
        <v>1583333.3333333335</v>
      </c>
      <c r="C20" s="14">
        <f>'Tháng 1 nhà S'!M18</f>
        <v>890396.96666666644</v>
      </c>
      <c r="D20" s="14">
        <f>'Tháng 1 nhà S'!N18</f>
        <v>733654.19366630318</v>
      </c>
      <c r="E20" s="14">
        <f>'Tháng 1 nhà S'!O18</f>
        <v>2316987.5269996366</v>
      </c>
      <c r="F20" s="51">
        <f t="shared" si="0"/>
        <v>0.46336054336819144</v>
      </c>
    </row>
    <row r="21" spans="1:6" x14ac:dyDescent="0.3">
      <c r="A21" s="13" t="s">
        <v>41</v>
      </c>
      <c r="B21" s="14">
        <f>'Tháng 1 nhà S'!L19</f>
        <v>2533333.3333333335</v>
      </c>
      <c r="C21" s="14">
        <f>'Tháng 1 nhà S'!M19</f>
        <v>1317041.1666666665</v>
      </c>
      <c r="D21" s="14">
        <f>'Tháng 1 nhà S'!N19</f>
        <v>1025904.7268664504</v>
      </c>
      <c r="E21" s="14">
        <f>'Tháng 1 nhà S'!O19</f>
        <v>3559238.0601997836</v>
      </c>
      <c r="F21" s="51">
        <f t="shared" si="0"/>
        <v>0.40496239218412511</v>
      </c>
    </row>
    <row r="22" spans="1:6" x14ac:dyDescent="0.3">
      <c r="A22" s="13" t="s">
        <v>42</v>
      </c>
      <c r="B22" s="14">
        <f>'Tháng 1 nhà S'!L20</f>
        <v>2083333.3333333335</v>
      </c>
      <c r="C22" s="14">
        <f>'Tháng 1 nhà S'!M20</f>
        <v>1330249.1666666665</v>
      </c>
      <c r="D22" s="14">
        <f>'Tháng 1 nhà S'!N20</f>
        <v>932414.38177087577</v>
      </c>
      <c r="E22" s="14">
        <f>'Tháng 1 nhà S'!O20</f>
        <v>3015747.7151042093</v>
      </c>
      <c r="F22" s="51">
        <f t="shared" si="0"/>
        <v>0.44755890325002035</v>
      </c>
    </row>
    <row r="23" spans="1:6" x14ac:dyDescent="0.3">
      <c r="A23" s="13" t="s">
        <v>43</v>
      </c>
      <c r="B23" s="14">
        <f>'Tháng 1 nhà S'!L21</f>
        <v>89468333.333333343</v>
      </c>
      <c r="C23" s="14">
        <f>'Tháng 1 nhà S'!M21</f>
        <v>31659903.91666666</v>
      </c>
      <c r="D23" s="14">
        <f>'Tháng 1 nhà S'!N21</f>
        <v>22401581.169962537</v>
      </c>
      <c r="E23" s="14">
        <f>'Tháng 1 nhà S'!O21</f>
        <v>111869914.50329588</v>
      </c>
      <c r="F23" s="51">
        <f t="shared" si="0"/>
        <v>0.25038558711606568</v>
      </c>
    </row>
    <row r="24" spans="1:6" x14ac:dyDescent="0.3">
      <c r="A24" s="13" t="s">
        <v>44</v>
      </c>
      <c r="B24" s="14">
        <f>'Tháng 1 nhà S'!L22</f>
        <v>4700000</v>
      </c>
      <c r="C24" s="14">
        <f>'Tháng 1 nhà S'!M22</f>
        <v>2696858.5833333335</v>
      </c>
      <c r="D24" s="14">
        <f>'Tháng 1 nhà S'!N22</f>
        <v>1723105.4183786949</v>
      </c>
      <c r="E24" s="14">
        <f>'Tháng 1 nhà S'!O22</f>
        <v>6423105.418378694</v>
      </c>
      <c r="F24" s="51">
        <f t="shared" si="0"/>
        <v>0.36661817412312658</v>
      </c>
    </row>
    <row r="25" spans="1:6" x14ac:dyDescent="0.3">
      <c r="A25" s="13" t="s">
        <v>45</v>
      </c>
      <c r="B25" s="14">
        <f>'Tháng 1 nhà S'!L23</f>
        <v>13700000</v>
      </c>
      <c r="C25" s="14">
        <f>'Tháng 1 nhà S'!M23</f>
        <v>4908757.5999999996</v>
      </c>
      <c r="D25" s="14">
        <f>'Tháng 1 nhà S'!N23</f>
        <v>3503690.1632093452</v>
      </c>
      <c r="E25" s="14">
        <f>'Tháng 1 nhà S'!O23</f>
        <v>17203690.163209345</v>
      </c>
      <c r="F25" s="49">
        <f t="shared" si="0"/>
        <v>0.25574380753352882</v>
      </c>
    </row>
    <row r="26" spans="1:6" s="52" customFormat="1" x14ac:dyDescent="0.3">
      <c r="A26" s="13" t="s">
        <v>46</v>
      </c>
      <c r="B26" s="14">
        <f>'Tháng 1 nhà S'!L24</f>
        <v>13350000</v>
      </c>
      <c r="C26" s="14">
        <f>'Tháng 1 nhà S'!M24</f>
        <v>4392079</v>
      </c>
      <c r="D26" s="14">
        <f>'Tháng 1 nhà S'!N24</f>
        <v>2997536.4143975056</v>
      </c>
      <c r="E26" s="14">
        <f>'Tháng 1 nhà S'!O24</f>
        <v>16347536.414397506</v>
      </c>
      <c r="F26" s="49">
        <f t="shared" si="0"/>
        <v>0.22453456287621765</v>
      </c>
    </row>
    <row r="27" spans="1:6" x14ac:dyDescent="0.3">
      <c r="A27" s="16" t="s">
        <v>129</v>
      </c>
      <c r="B27" s="14">
        <f>'[1]Tháng 9 nhà S '!L25</f>
        <v>1745166666.6666663</v>
      </c>
      <c r="C27" s="17">
        <f>SUBTOTAL(109,C2:C26)</f>
        <v>1220272200.083333</v>
      </c>
      <c r="D27" s="17">
        <f>SUBTOTAL(109,D2:D26)</f>
        <v>764130971.50664163</v>
      </c>
      <c r="E27" s="17">
        <f>SUBTOTAL(109,E2:E26)</f>
        <v>4271163375.3552418</v>
      </c>
      <c r="F27" s="51">
        <f t="shared" si="0"/>
        <v>0.43785558485721049</v>
      </c>
    </row>
    <row r="28" spans="1:6" x14ac:dyDescent="0.3">
      <c r="A28" s="16"/>
      <c r="B28" s="17"/>
      <c r="C28" s="17"/>
      <c r="D28" s="17"/>
      <c r="E28" s="17"/>
      <c r="F28" s="51"/>
    </row>
    <row r="30" spans="1:6" x14ac:dyDescent="0.3">
      <c r="B30" s="50"/>
      <c r="C30" s="50"/>
      <c r="D30" s="50"/>
      <c r="E30" s="50"/>
    </row>
    <row r="31" spans="1:6" ht="14.5" x14ac:dyDescent="0.35">
      <c r="B31" s="53"/>
      <c r="C31" s="50"/>
      <c r="D31" s="50"/>
      <c r="E31" s="50"/>
    </row>
    <row r="32" spans="1:6" x14ac:dyDescent="0.3">
      <c r="B32" s="50"/>
      <c r="C32" s="50"/>
      <c r="D32" s="50"/>
      <c r="E32" s="50"/>
    </row>
    <row r="33" spans="2:5" x14ac:dyDescent="0.3">
      <c r="B33" s="50"/>
      <c r="C33" s="50"/>
      <c r="D33" s="50"/>
      <c r="E33" s="50"/>
    </row>
    <row r="34" spans="2:5" x14ac:dyDescent="0.3">
      <c r="B34" s="50"/>
      <c r="C34" s="50"/>
      <c r="D34" s="50"/>
      <c r="E34" s="50"/>
    </row>
    <row r="36" spans="2:5" x14ac:dyDescent="0.3">
      <c r="D36" s="50"/>
    </row>
    <row r="37" spans="2:5" x14ac:dyDescent="0.3">
      <c r="D37" s="5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060F-F732-4FBD-890F-CFA0A047F740}">
  <sheetPr codeName="Sheet2"/>
  <dimension ref="A1:O161"/>
  <sheetViews>
    <sheetView zoomScale="121" zoomScaleNormal="121" workbookViewId="0">
      <selection activeCell="F92" sqref="F15:F131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131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21095833.333333332</v>
      </c>
      <c r="M3" s="37">
        <f>SUMIF('Tháng 1 nhà T  '!$B$4:$B$154,K3,'Tháng 1 nhà T  '!$E$4:$E$154)</f>
        <v>3878978.9666666677</v>
      </c>
      <c r="N3" s="37">
        <f>SUMIF('Tháng 1 nhà T  '!$B$4:$B$154,K3,'Tháng 1 nhà T  '!$F$4:$F$154)</f>
        <v>1471327.6535787433</v>
      </c>
      <c r="O3" s="38">
        <f>SUMIF('Tháng 1 nhà T  '!$B$4:$B$154,K3,'Tháng 1 nhà T  '!$G$4:$G$154)</f>
        <v>22567160.986912075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4928485.5</v>
      </c>
      <c r="F4" s="11">
        <v>3069862.5132929562</v>
      </c>
      <c r="G4" s="12">
        <f>Table52111768152229343741465158[[#This Row],[LỢI NHUẬN RÒNG]]+Table52111768152229343741465158[[#This Row],[VỐN CP]]</f>
        <v>16269862.513292957</v>
      </c>
      <c r="K4" s="36" t="s">
        <v>87</v>
      </c>
      <c r="L4" s="11">
        <f t="shared" si="0"/>
        <v>81893333.333333328</v>
      </c>
      <c r="M4" s="37">
        <f>SUMIF('Tháng 1 nhà T  '!$B$4:$B$154,K4,'Tháng 1 nhà T  '!$E$4:$E$154)</f>
        <v>24281547.699999999</v>
      </c>
      <c r="N4" s="37">
        <f>SUMIF('Tháng 1 nhà T  '!$B$4:$B$154,K4,'Tháng 1 nhà T  '!$F$4:$F$154)</f>
        <v>14639970.1644227</v>
      </c>
      <c r="O4" s="38">
        <f>SUMIF('Tháng 1 nhà T  '!$B$4:$B$154,K4,'Tháng 1 nhà T  '!$G$4:$G$154)</f>
        <v>96533303.497756034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4928485.5</v>
      </c>
      <c r="F5" s="11">
        <v>3069862.5132929562</v>
      </c>
      <c r="G5" s="12">
        <f>Table52111768152229343741465158[[#This Row],[LỢI NHUẬN RÒNG]]+Table52111768152229343741465158[[#This Row],[VỐN CP]]</f>
        <v>16269862.513292957</v>
      </c>
      <c r="I5" s="11"/>
      <c r="K5" s="36" t="s">
        <v>9</v>
      </c>
      <c r="L5" s="11">
        <f t="shared" si="0"/>
        <v>411664166.66666669</v>
      </c>
      <c r="M5" s="37">
        <f>SUMIF('Tháng 1 nhà T  '!$B$4:$B$154,K5,'Tháng 1 nhà T  '!$E$4:$E$154)</f>
        <v>138089876.06666663</v>
      </c>
      <c r="N5" s="37">
        <f>SUMIF('Tháng 1 nhà T  '!$B$4:$B$154,K5,'Tháng 1 nhà T  '!$F$4:$F$154)</f>
        <v>79345993.592475921</v>
      </c>
      <c r="O5" s="38">
        <f>SUMIF('Tháng 1 nhà T  '!$B$4:$B$154,K5,'Tháng 1 nhà T  '!$G$4:$G$154)</f>
        <v>491010160.25914246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1642828.5</v>
      </c>
      <c r="F6" s="11">
        <v>1023287.5044309854</v>
      </c>
      <c r="G6" s="12">
        <f>Table52111768152229343741465158[[#This Row],[LỢI NHUẬN RÒNG]]+Table52111768152229343741465158[[#This Row],[VỐN CP]]</f>
        <v>5423287.5044309851</v>
      </c>
      <c r="K6" s="36" t="s">
        <v>88</v>
      </c>
      <c r="L6" s="11">
        <f t="shared" si="0"/>
        <v>10693333.333333334</v>
      </c>
      <c r="M6" s="37">
        <f>SUMIF('Tháng 1 nhà T  '!$B$4:$B$154,K6,'Tháng 1 nhà T  '!$E$4:$E$154)</f>
        <v>636610.56666666642</v>
      </c>
      <c r="N6" s="37">
        <f>SUMIF('Tháng 1 nhà T  '!$B$4:$B$154,K6,'Tháng 1 nhà T  '!$F$4:$F$154)</f>
        <v>-354918.24938426615</v>
      </c>
      <c r="O6" s="38">
        <f>SUMIF('Tháng 1 nhà T  '!$B$4:$B$154,K6,'Tháng 1 nhà T  '!$G$4:$G$154)</f>
        <v>10338415.083949067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3285657</v>
      </c>
      <c r="F7" s="11">
        <v>2046575.0088619709</v>
      </c>
      <c r="G7" s="12">
        <f>Table52111768152229343741465158[[#This Row],[LỢI NHUẬN RÒNG]]+Table52111768152229343741465158[[#This Row],[VỐN CP]]</f>
        <v>10846575.00886197</v>
      </c>
      <c r="K7" s="36" t="s">
        <v>89</v>
      </c>
      <c r="L7" s="11">
        <f t="shared" si="0"/>
        <v>6666666.666666666</v>
      </c>
      <c r="M7" s="37">
        <f>SUMIF('Tháng 1 nhà T  '!$B$4:$B$154,K7,'Tháng 1 nhà T  '!$E$4:$E$154)</f>
        <v>822070.73333333433</v>
      </c>
      <c r="N7" s="37">
        <f>SUMIF('Tháng 1 nhà T  '!$B$4:$B$154,K7,'Tháng 1 nhà T  '!$F$4:$F$154)</f>
        <v>179299.5232185483</v>
      </c>
      <c r="O7" s="38">
        <f>SUMIF('Tháng 1 nhà T  '!$B$4:$B$154,K7,'Tháng 1 nhà T  '!$G$4:$G$154)</f>
        <v>6845966.189885214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1642828.5</v>
      </c>
      <c r="F8" s="11">
        <v>1023287.5044309854</v>
      </c>
      <c r="G8" s="12">
        <f>Table52111768152229343741465158[[#This Row],[LỢI NHUẬN RÒNG]]+Table52111768152229343741465158[[#This Row],[VỐN CP]]</f>
        <v>5423287.5044309851</v>
      </c>
      <c r="K8" s="36" t="s">
        <v>19</v>
      </c>
      <c r="L8" s="11">
        <f t="shared" si="0"/>
        <v>413860000</v>
      </c>
      <c r="M8" s="37">
        <f>SUMIF('Tháng 1 nhà T  '!$B$4:$B$154,K8,'Tháng 1 nhà T  '!$E$4:$E$154)</f>
        <v>137962723.18333331</v>
      </c>
      <c r="N8" s="37">
        <f>SUMIF('Tháng 1 nhà T  '!$B$4:$B$154,K8,'Tháng 1 nhà T  '!$F$4:$F$154)</f>
        <v>79513416.064272881</v>
      </c>
      <c r="O8" s="38">
        <f>SUMIF('Tháng 1 nhà T  '!$B$4:$B$154,K8,'Tháng 1 nhà T  '!$G$4:$G$154)</f>
        <v>459922486.5795396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1233106.1000000015</v>
      </c>
      <c r="F9" s="11">
        <v>268949.28482782247</v>
      </c>
      <c r="G9" s="12">
        <f>Table52111768152229343741465158[[#This Row],[LỢI NHUẬN RÒNG]]+Table52111768152229343741465158[[#This Row],[VỐN CP]]</f>
        <v>10268949.284827823</v>
      </c>
      <c r="K9" s="36" t="s">
        <v>21</v>
      </c>
      <c r="L9" s="11">
        <f t="shared" si="0"/>
        <v>68785000</v>
      </c>
      <c r="M9" s="37">
        <f>SUMIF('Tháng 1 nhà T  '!$B$4:$B$154,K9,'Tháng 1 nhà T  '!$E$4:$E$154)</f>
        <v>26646325.850000001</v>
      </c>
      <c r="N9" s="37">
        <f>SUMIF('Tháng 1 nhà T  '!$B$4:$B$154,K9,'Tháng 1 nhà T  '!$F$4:$F$154)</f>
        <v>17441226.79984621</v>
      </c>
      <c r="O9" s="38">
        <f>SUMIF('Tháng 1 nhà T  '!$B$4:$B$154,K9,'Tháng 1 nhà T  '!$G$4:$G$154)</f>
        <v>86226226.799846202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822070.73333333433</v>
      </c>
      <c r="F10" s="11">
        <v>179299.5232185483</v>
      </c>
      <c r="G10" s="12">
        <f>Table52111768152229343741465158[[#This Row],[LỢI NHUẬN RÒNG]]+Table52111768152229343741465158[[#This Row],[VỐN CP]]</f>
        <v>6845966.189885214</v>
      </c>
      <c r="K10" s="36" t="s">
        <v>23</v>
      </c>
      <c r="L10" s="11">
        <f t="shared" si="0"/>
        <v>16000000</v>
      </c>
      <c r="M10" s="37">
        <f>SUMIF('Tháng 1 nhà T  '!$B$4:$B$154,K10,'Tháng 1 nhà T  '!$E$4:$E$154)</f>
        <v>4816046.5999999996</v>
      </c>
      <c r="N10" s="37">
        <f>SUMIF('Tháng 1 nhà T  '!$B$4:$B$154,K10,'Tháng 1 nhà T  '!$F$4:$F$154)</f>
        <v>1578919.0476839959</v>
      </c>
      <c r="O10" s="38">
        <f>SUMIF('Tháng 1 nhà T  '!$B$4:$B$154,K10,'Tháng 1 nhà T  '!$G$4:$G$154)</f>
        <v>17578919.047683995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1233106.1000000015</v>
      </c>
      <c r="F11" s="11">
        <v>268949.28482782247</v>
      </c>
      <c r="G11" s="12">
        <f>Table52111768152229343741465158[[#This Row],[LỢI NHUẬN RÒNG]]+Table52111768152229343741465158[[#This Row],[VỐN CP]]</f>
        <v>10268949.284827823</v>
      </c>
      <c r="J11" s="11"/>
      <c r="K11" s="36" t="s">
        <v>27</v>
      </c>
      <c r="L11" s="11">
        <f t="shared" si="0"/>
        <v>327348333.33333331</v>
      </c>
      <c r="M11" s="37">
        <f>SUMIF('Tháng 1 nhà T  '!$B$4:$B$154,K11,'Tháng 1 nhà T  '!$E$4:$E$154)</f>
        <v>118339749.89999999</v>
      </c>
      <c r="N11" s="37">
        <f>SUMIF('Tháng 1 nhà T  '!$B$4:$B$154,K11,'Tháng 1 nhà T  '!$F$4:$F$154)</f>
        <v>66617993.706882007</v>
      </c>
      <c r="O11" s="38">
        <f>SUMIF(Table52111768152229343741465158[CỔ ĐÔNG],K11,Table52111768152229343741465158[TỔNG NHẬN])</f>
        <v>393966327.04021531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822070.73333333433</v>
      </c>
      <c r="F12" s="11">
        <v>179299.5232185483</v>
      </c>
      <c r="G12" s="12">
        <f>Table52111768152229343741465158[[#This Row],[LỢI NHUẬN RÒNG]]+Table52111768152229343741465158[[#This Row],[VỐN CP]]</f>
        <v>6845966.189885214</v>
      </c>
      <c r="K12" s="36" t="s">
        <v>31</v>
      </c>
      <c r="L12" s="11">
        <f t="shared" si="0"/>
        <v>44946666.666666664</v>
      </c>
      <c r="M12" s="37">
        <f>SUMIF('Tháng 1 nhà T  '!$B$4:$B$154,K12,'Tháng 1 nhà T  '!$E$4:$E$154)</f>
        <v>12009010.333333334</v>
      </c>
      <c r="N12" s="37">
        <f>SUMIF('Tháng 1 nhà T  '!$B$4:$B$154,K12,'Tháng 1 nhà T  '!$F$4:$F$154)</f>
        <v>6367755.7815252962</v>
      </c>
      <c r="O12" s="38">
        <f>SUMIF('Tháng 1 nhà T  '!$B$4:$B$154,K12,'Tháng 1 nhà T  '!$G$4:$G$154)</f>
        <v>51314422.448191963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822070.73333333433</v>
      </c>
      <c r="F13" s="11">
        <v>179299.5232185483</v>
      </c>
      <c r="G13" s="12">
        <f>Table52111768152229343741465158[[#This Row],[LỢI NHUẬN RÒNG]]+Table52111768152229343741465158[[#This Row],[VỐN CP]]</f>
        <v>6845966.189885214</v>
      </c>
      <c r="K13" s="36" t="s">
        <v>91</v>
      </c>
      <c r="L13" s="11">
        <f t="shared" si="0"/>
        <v>8400000</v>
      </c>
      <c r="M13" s="37">
        <f>SUMIF('Tháng 1 nhà T  '!$B$4:$B$154,K13,'Tháng 1 nhà T  '!$E$4:$E$154)</f>
        <v>5211706.0333333323</v>
      </c>
      <c r="N13" s="37">
        <f>SUMIF('Tháng 1 nhà T  '!$B$4:$B$154,K13,'Tháng 1 nhà T  '!$F$4:$F$154)</f>
        <v>2937946.8391169077</v>
      </c>
      <c r="O13" s="38">
        <f>SUMIF('Tháng 1 nhà T  '!$B$4:$B$154,K13,'Tháng 1 nhà T  '!$G$4:$G$154)</f>
        <v>11337946.839116909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822070.73333333433</v>
      </c>
      <c r="F14" s="11">
        <v>179299.5232185483</v>
      </c>
      <c r="G14" s="12">
        <f>Table52111768152229343741465158[[#This Row],[LỢI NHUẬN RÒNG]]+Table52111768152229343741465158[[#This Row],[VỐN CP]]</f>
        <v>6845966.189885214</v>
      </c>
      <c r="K14" s="36" t="s">
        <v>33</v>
      </c>
      <c r="L14" s="11">
        <f t="shared" si="0"/>
        <v>17560000</v>
      </c>
      <c r="M14" s="37">
        <f>SUMIF('Tháng 1 nhà T  '!$B$4:$B$154,K14,'Tháng 1 nhà T  '!$E$4:$E$154)</f>
        <v>4665013.0999999996</v>
      </c>
      <c r="N14" s="37">
        <f>SUMIF('Tháng 1 nhà T  '!$B$4:$B$154,K14,'Tháng 1 nhà T  '!$F$4:$F$154)</f>
        <v>2038947.7744366853</v>
      </c>
      <c r="O14" s="38">
        <f>SUMIF('Tháng 1 nhà T  '!$B$4:$B$154,K14,'Tháng 1 nhà T  '!$G$4:$G$154)</f>
        <v>19598947.774436686</v>
      </c>
    </row>
    <row r="15" spans="1:15" ht="15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1644141.4666666687</v>
      </c>
      <c r="F15" s="11">
        <v>358599.04643709661</v>
      </c>
      <c r="G15" s="12">
        <f>Table52111768152229343741465158[[#This Row],[LỢI NHUẬN RÒNG]]+Table52111768152229343741465158[[#This Row],[VỐN CP]]</f>
        <v>13691932.379770428</v>
      </c>
      <c r="K15" s="25" t="s">
        <v>37</v>
      </c>
      <c r="L15" s="21">
        <f t="shared" si="0"/>
        <v>42353333.333333328</v>
      </c>
      <c r="M15" s="39">
        <f>SUMIF('Tháng 1 nhà T  '!$B$4:$B$154,K15,'Tháng 1 nhà T  '!$E$4:$E$154)</f>
        <v>11045509.966666669</v>
      </c>
      <c r="N15" s="39">
        <f>SUMIF('Tháng 1 nhà T  '!$B$4:$B$154,K15,'Tháng 1 nhà T  '!$F$4:$F$154)</f>
        <v>5472285.8806009442</v>
      </c>
      <c r="O15" s="40">
        <f>SUMIF('Tháng 1 nhà T  '!$B$4:$B$154,K15,'Tháng 1 nhà T  '!$G$4:$G$154)</f>
        <v>47825619.21393428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2634169.7999999998</v>
      </c>
      <c r="F16" s="11">
        <v>1783847.0866857469</v>
      </c>
      <c r="G16" s="12">
        <f>Table52111768152229343741465158[[#This Row],[LỢI NHUẬN RÒNG]]+Table52111768152229343741465158[[#This Row],[VỐN CP]]</f>
        <v>9733847.0866857469</v>
      </c>
      <c r="K16" s="36" t="s">
        <v>25</v>
      </c>
      <c r="L16" s="21">
        <f t="shared" si="0"/>
        <v>2750000</v>
      </c>
      <c r="M16" s="41">
        <f>SUMIF('Tháng 1 nhà T  '!$B$4:$B$154,K16,'Tháng 1 nhà T  '!$E$4:$E$154)</f>
        <v>423000</v>
      </c>
      <c r="N16" s="41">
        <f>SUMIF('Tháng 1 nhà T  '!$B$4:$B$154,K16,'Tháng 1 nhà T  '!$F$4:$F$154)</f>
        <v>18494.871049749105</v>
      </c>
      <c r="O16" s="42">
        <f>SUMIF('Tháng 1 nhà T  '!$B$4:$B$154,K16,'Tháng 1 nhà T  '!$G$4:$G$154)</f>
        <v>2768494.8710497492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2634169.7999999998</v>
      </c>
      <c r="F17" s="11">
        <v>1783847.0866857469</v>
      </c>
      <c r="G17" s="12">
        <f>Table52111768152229343741465158[[#This Row],[LỢI NHUẬN RÒNG]]+Table52111768152229343741465158[[#This Row],[VỐN CP]]</f>
        <v>9733847.0866857469</v>
      </c>
      <c r="K17" s="25" t="s">
        <v>47</v>
      </c>
      <c r="L17" s="21">
        <f>SUM(L2:L16)</f>
        <v>1474016666.6666667</v>
      </c>
      <c r="M17" s="21">
        <f>SUM(M2:M16)</f>
        <v>488828169</v>
      </c>
      <c r="N17" s="21">
        <f>SUM(N2:N16)</f>
        <v>277268659.44972628</v>
      </c>
      <c r="O17" s="21">
        <f>SUM(O2:O16)</f>
        <v>1717834396.631659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878056.6</v>
      </c>
      <c r="F18" s="11">
        <v>594615.69556191564</v>
      </c>
      <c r="G18" s="12">
        <f>Table52111768152229343741465158[[#This Row],[LỢI NHUẬN RÒNG]]+Table52111768152229343741465158[[#This Row],[VỐN CP]]</f>
        <v>3244615.6955619156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1756113.2</v>
      </c>
      <c r="F19" s="11">
        <v>1189231.3911238313</v>
      </c>
      <c r="G19" s="12">
        <f>Table52111768152229343741465158[[#This Row],[LỢI NHUẬN RÒNG]]+Table52111768152229343741465158[[#This Row],[VỐN CP]]</f>
        <v>6489231.3911238313</v>
      </c>
    </row>
    <row r="20" spans="1:15" ht="15" hidden="1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878056.6</v>
      </c>
      <c r="F20" s="11">
        <v>594615.69556191564</v>
      </c>
      <c r="G20" s="12">
        <f>Table52111768152229343741465158[[#This Row],[LỢI NHUẬN RÒNG]]+Table52111768152229343741465158[[#This Row],[VỐN CP]]</f>
        <v>3244615.6955619156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2115000</v>
      </c>
      <c r="F21" s="11">
        <v>92474.355248745531</v>
      </c>
      <c r="G21" s="12">
        <f>Table52111768152229343741465158[[#This Row],[LỢI NHUẬN RÒNG]]+Table52111768152229343741465158[[#This Row],[VỐN CP]]</f>
        <v>13842474.355248746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2115000</v>
      </c>
      <c r="F22" s="11">
        <v>92474.355248745531</v>
      </c>
      <c r="G22" s="12">
        <f>Table52111768152229343741465158[[#This Row],[LỢI NHUẬN RÒNG]]+Table52111768152229343741465158[[#This Row],[VỐN CP]]</f>
        <v>13842474.355248746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423000</v>
      </c>
      <c r="F23" s="11">
        <v>18494.871049749105</v>
      </c>
      <c r="G23" s="12">
        <f>Table52111768152229343741465158[[#This Row],[LỢI NHUẬN RÒNG]]+Table52111768152229343741465158[[#This Row],[VỐN CP]]</f>
        <v>2768494.8710497492</v>
      </c>
    </row>
    <row r="24" spans="1:15" ht="15" hidden="1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423000</v>
      </c>
      <c r="F24" s="11">
        <v>18494.871049749105</v>
      </c>
      <c r="G24" s="12">
        <f>Table52111768152229343741465158[[#This Row],[LỢI NHUẬN RÒNG]]+Table52111768152229343741465158[[#This Row],[VỐN CP]]</f>
        <v>2768494.8710497492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1692000</v>
      </c>
      <c r="F25" s="11">
        <v>73979.484198996419</v>
      </c>
      <c r="G25" s="12">
        <f>Table52111768152229343741465158[[#This Row],[LỢI NHUẬN RÒNG]]+Table52111768152229343741465158[[#This Row],[VỐN CP]]</f>
        <v>11073979.484198997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846000</v>
      </c>
      <c r="F26" s="11">
        <v>36989.742099498209</v>
      </c>
      <c r="G26" s="12">
        <f>Table52111768152229343741465158[[#This Row],[LỢI NHUẬN RÒNG]]+Table52111768152229343741465158[[#This Row],[VỐN CP]]</f>
        <v>5536989.7420994984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15298730.300000001</v>
      </c>
      <c r="F27" s="11">
        <v>10221248.444585709</v>
      </c>
      <c r="G27" s="12">
        <f>Table52111768152229343741465158[[#This Row],[LỢI NHUẬN RÒNG]]+Table52111768152229343741465158[[#This Row],[VỐN CP]]</f>
        <v>55458748.444585711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17484263.199999999</v>
      </c>
      <c r="F28" s="11">
        <v>11681426.79381224</v>
      </c>
      <c r="G28" s="12">
        <f>Table52111768152229343741465158[[#This Row],[LỢI NHUẬN RÒNG]]+Table52111768152229343741465158[[#This Row],[VỐN CP]]</f>
        <v>63381426.793812238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4371065.8</v>
      </c>
      <c r="F29" s="11">
        <v>2920356.6984530599</v>
      </c>
      <c r="G29" s="12">
        <f>Table52111768152229343741465158[[#This Row],[LỢI NHUẬN RÒNG]]+Table52111768152229343741465158[[#This Row],[VỐN CP]]</f>
        <v>15845356.698453059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4371065.8</v>
      </c>
      <c r="F30" s="11">
        <v>2920356.6984530599</v>
      </c>
      <c r="G30" s="12">
        <f>Table52111768152229343741465158[[#This Row],[LỢI NHUẬN RÒNG]]+Table52111768152229343741465158[[#This Row],[VỐN CP]]</f>
        <v>15845356.698453059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2782737.65</v>
      </c>
      <c r="F31" s="11">
        <v>617690.59589963371</v>
      </c>
      <c r="G31" s="12">
        <f>Table52111768152229343741465158[[#This Row],[LỢI NHUẬN RÒNG]]+Table52111768152229343741465158[[#This Row],[VỐN CP]]</f>
        <v>9717690.5958996341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2782737.65</v>
      </c>
      <c r="F32" s="11">
        <v>617690.59589963371</v>
      </c>
      <c r="G32" s="12">
        <f>Table52111768152229343741465158[[#This Row],[LỢI NHUẬN RÒNG]]+Table52111768152229343741465158[[#This Row],[VỐN CP]]</f>
        <v>9717690.5958996341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1590135.8</v>
      </c>
      <c r="F33" s="11">
        <v>352966.05479979067</v>
      </c>
      <c r="G33" s="12">
        <f>Table52111768152229343741465158[[#This Row],[LỢI NHUẬN RÒNG]]+Table52111768152229343741465158[[#This Row],[VỐN CP]]</f>
        <v>5552966.0547997905</v>
      </c>
    </row>
    <row r="34" spans="1:7" ht="15" hidden="1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795067.9</v>
      </c>
      <c r="F34" s="11">
        <v>176483.02739989533</v>
      </c>
      <c r="G34" s="12">
        <f>Table52111768152229343741465158[[#This Row],[LỢI NHUẬN RÒNG]]+Table52111768152229343741465158[[#This Row],[VỐN CP]]</f>
        <v>2776483.0273998952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2851641.45</v>
      </c>
      <c r="F35" s="11">
        <v>1597829.1656924612</v>
      </c>
      <c r="G35" s="12">
        <f>Table52111768152229343741465158[[#This Row],[LỢI NHUẬN RÒNG]]+Table52111768152229343741465158[[#This Row],[VỐN CP]]</f>
        <v>10697829.165692462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2851641.45</v>
      </c>
      <c r="F36" s="11">
        <v>1597829.1656924612</v>
      </c>
      <c r="G36" s="12">
        <f>Table52111768152229343741465158[[#This Row],[LỢI NHUẬN RÒNG]]+Table52111768152229343741465158[[#This Row],[VỐN CP]]</f>
        <v>10697829.165692462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1629509.4</v>
      </c>
      <c r="F37" s="11">
        <v>913045.23753854935</v>
      </c>
      <c r="G37" s="12">
        <f>Table52111768152229343741465158[[#This Row],[LỢI NHUẬN RÒNG]]+Table52111768152229343741465158[[#This Row],[VỐN CP]]</f>
        <v>6113045.2375385491</v>
      </c>
    </row>
    <row r="38" spans="1:7" ht="15" hidden="1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814754.7</v>
      </c>
      <c r="F38" s="11">
        <v>456522.61876927468</v>
      </c>
      <c r="G38" s="12">
        <f>Table52111768152229343741465158[[#This Row],[LỢI NHUẬN RÒNG]]+Table52111768152229343741465158[[#This Row],[VỐN CP]]</f>
        <v>3056522.6187692746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1418678</v>
      </c>
      <c r="F39" s="11">
        <v>951284.78881776182</v>
      </c>
      <c r="G39" s="12">
        <f>Table52111768152229343741465158[[#This Row],[LỢI NHUẬN RÒNG]]+Table52111768152229343741465158[[#This Row],[VỐN CP]]</f>
        <v>5751284.7888177615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2128017</v>
      </c>
      <c r="F40" s="11">
        <v>1426927.1832266427</v>
      </c>
      <c r="G40" s="12">
        <f>Table52111768152229343741465158[[#This Row],[LỢI NHUẬN RÒNG]]+Table52111768152229343741465158[[#This Row],[VỐN CP]]</f>
        <v>8626927.1832266431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2128017</v>
      </c>
      <c r="F41" s="11">
        <v>1426927.1832266427</v>
      </c>
      <c r="G41" s="12">
        <f>Table52111768152229343741465158[[#This Row],[LỢI NHUẬN RÒNG]]+Table52111768152229343741465158[[#This Row],[VỐN CP]]</f>
        <v>8626927.1832266431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1418678</v>
      </c>
      <c r="F42" s="11">
        <v>951284.78881776182</v>
      </c>
      <c r="G42" s="12">
        <f>Table52111768152229343741465158[[#This Row],[LỢI NHUẬN RÒNG]]+Table52111768152229343741465158[[#This Row],[VỐN CP]]</f>
        <v>5751284.7888177615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1853495.6</v>
      </c>
      <c r="F43" s="11">
        <v>1137009.6949537336</v>
      </c>
      <c r="G43" s="12">
        <f>Table52111768152229343741465158[[#This Row],[LỢI NHUẬN RÒNG]]+Table52111768152229343741465158[[#This Row],[VỐN CP]]</f>
        <v>4937009.6949537341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2316869.5</v>
      </c>
      <c r="F44" s="11">
        <v>1421262.1186921671</v>
      </c>
      <c r="G44" s="12">
        <f>Table52111768152229343741465158[[#This Row],[LỢI NHUẬN RÒNG]]+Table52111768152229343741465158[[#This Row],[VỐN CP]]</f>
        <v>6421262.1186921671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2316869.5</v>
      </c>
      <c r="F45" s="11">
        <v>1421262.1186921671</v>
      </c>
      <c r="G45" s="12">
        <f>Table52111768152229343741465158[[#This Row],[LỢI NHUẬN RÒNG]]+Table52111768152229343741465158[[#This Row],[VỐN CP]]</f>
        <v>6421262.1186921671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2780243.4</v>
      </c>
      <c r="F46" s="11">
        <v>1705514.5424306006</v>
      </c>
      <c r="G46" s="12">
        <f>Table52111768152229343741465158[[#This Row],[LỢI NHUẬN RÒNG]]+Table52111768152229343741465158[[#This Row],[VỐN CP]]</f>
        <v>7405514.5424306002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2160465.7999999998</v>
      </c>
      <c r="F47" s="11">
        <v>1651061.0160445035</v>
      </c>
      <c r="G47" s="12">
        <f>Table52111768152229343741465158[[#This Row],[LỢI NHUẬN RÒNG]]+Table52111768152229343741465158[[#This Row],[VỐN CP]]</f>
        <v>7051061.0160445031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3240698.7</v>
      </c>
      <c r="F48" s="11">
        <v>2476591.5240667551</v>
      </c>
      <c r="G48" s="12">
        <f>Table52111768152229343741465158[[#This Row],[LỢI NHUẬN RÒNG]]+Table52111768152229343741465158[[#This Row],[VỐN CP]]</f>
        <v>10576591.524066756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3240698.7</v>
      </c>
      <c r="F49" s="11">
        <v>2476591.5240667551</v>
      </c>
      <c r="G49" s="12">
        <f>Table52111768152229343741465158[[#This Row],[LỢI NHUẬN RÒNG]]+Table52111768152229343741465158[[#This Row],[VỐN CP]]</f>
        <v>10576591.524066756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2160465.7999999998</v>
      </c>
      <c r="F50" s="11">
        <v>1651061.0160445035</v>
      </c>
      <c r="G50" s="12">
        <f>Table52111768152229343741465158[[#This Row],[LỢI NHUẬN RÒNG]]+Table52111768152229343741465158[[#This Row],[VỐN CP]]</f>
        <v>7051061.0160445031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-47196.4</v>
      </c>
      <c r="F51" s="11">
        <v>-587847.43122923526</v>
      </c>
      <c r="G51" s="12">
        <f>Table52111768152229343741465158[[#This Row],[LỢI NHUẬN RÒNG]]+Table52111768152229343741465158[[#This Row],[VỐN CP]]</f>
        <v>6012152.5687707644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-70794.600000000006</v>
      </c>
      <c r="F52" s="11">
        <v>-881771.14684385282</v>
      </c>
      <c r="G52" s="12">
        <f>Table52111768152229343741465158[[#This Row],[LỢI NHUẬN RÒNG]]+Table52111768152229343741465158[[#This Row],[VỐN CP]]</f>
        <v>9018228.8531561475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-70794.600000000006</v>
      </c>
      <c r="F53" s="11">
        <v>-881771.14684385282</v>
      </c>
      <c r="G53" s="12">
        <f>Table52111768152229343741465158[[#This Row],[LỢI NHUẬN RÒNG]]+Table52111768152229343741465158[[#This Row],[VỐN CP]]</f>
        <v>9018228.8531561475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-47196.4</v>
      </c>
      <c r="F54" s="11">
        <v>-587847.43122923526</v>
      </c>
      <c r="G54" s="12">
        <f>Table52111768152229343741465158[[#This Row],[LỢI NHUẬN RÒNG]]+Table52111768152229343741465158[[#This Row],[VỐN CP]]</f>
        <v>6012152.5687707644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7928183.7000000002</v>
      </c>
      <c r="F55" s="11">
        <v>6385657.1767285643</v>
      </c>
      <c r="G55" s="12">
        <f>Table52111768152229343741465158[[#This Row],[LỢI NHUẬN RÒNG]]+Table52111768152229343741465158[[#This Row],[VỐN CP]]</f>
        <v>20635657.176728565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6606819.75</v>
      </c>
      <c r="F56" s="11">
        <v>5321380.9806071371</v>
      </c>
      <c r="G56" s="12">
        <f>Table52111768152229343741465158[[#This Row],[LỢI NHUẬN RÒNG]]+Table52111768152229343741465158[[#This Row],[VỐN CP]]</f>
        <v>17196380.980607137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6606819.75</v>
      </c>
      <c r="F57" s="11">
        <v>5321380.9806071371</v>
      </c>
      <c r="G57" s="12">
        <f>Table52111768152229343741465158[[#This Row],[LỢI NHUẬN RÒNG]]+Table52111768152229343741465158[[#This Row],[VỐN CP]]</f>
        <v>17196380.980607137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5285455.8</v>
      </c>
      <c r="F58" s="11">
        <v>4257104.7844857099</v>
      </c>
      <c r="G58" s="12">
        <f>Table52111768152229343741465158[[#This Row],[LỢI NHUẬN RÒNG]]+Table52111768152229343741465158[[#This Row],[VỐN CP]]</f>
        <v>13757104.784485709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5608892.7000000002</v>
      </c>
      <c r="F59" s="11">
        <v>2679123.3231015624</v>
      </c>
      <c r="G59" s="12">
        <f>Table52111768152229343741465158[[#This Row],[LỢI NHUẬN RÒNG]]+Table52111768152229343741465158[[#This Row],[VỐN CP]]</f>
        <v>22629123.323101562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4674077.25</v>
      </c>
      <c r="F60" s="11">
        <v>2232602.7692513019</v>
      </c>
      <c r="G60" s="12">
        <f>Table52111768152229343741465158[[#This Row],[LỢI NHUẬN RÒNG]]+Table52111768152229343741465158[[#This Row],[VỐN CP]]</f>
        <v>18857602.769251302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4674077.25</v>
      </c>
      <c r="F61" s="11">
        <v>2232602.7692513019</v>
      </c>
      <c r="G61" s="12">
        <f>Table52111768152229343741465158[[#This Row],[LỢI NHUẬN RÒNG]]+Table52111768152229343741465158[[#This Row],[VỐN CP]]</f>
        <v>18857602.769251302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3739261.8</v>
      </c>
      <c r="F62" s="11">
        <v>1786082.2154010416</v>
      </c>
      <c r="G62" s="12">
        <f>Table52111768152229343741465158[[#This Row],[LỢI NHUẬN RÒNG]]+Table52111768152229343741465158[[#This Row],[VỐN CP]]</f>
        <v>15086082.215401042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858196.5</v>
      </c>
      <c r="F63" s="11">
        <v>-79553.011121433228</v>
      </c>
      <c r="G63" s="12">
        <f>Table52111768152229343741465158[[#This Row],[LỢI NHUẬN RÒNG]]+Table52111768152229343741465158[[#This Row],[VỐN CP]]</f>
        <v>7420446.9888785668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858196.5</v>
      </c>
      <c r="F64" s="11">
        <v>-79553.011121433228</v>
      </c>
      <c r="G64" s="12">
        <f>Table52111768152229343741465158[[#This Row],[LỢI NHUẬN RÒNG]]+Table52111768152229343741465158[[#This Row],[VỐN CP]]</f>
        <v>7420446.9888785668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1716393</v>
      </c>
      <c r="F65" s="11">
        <v>-159106.02224286646</v>
      </c>
      <c r="G65" s="12">
        <f>Table52111768152229343741465158[[#This Row],[LỢI NHUẬN RÒNG]]+Table52111768152229343741465158[[#This Row],[VỐN CP]]</f>
        <v>14840893.977757134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5449203</v>
      </c>
      <c r="F66" s="11">
        <v>3268184</v>
      </c>
      <c r="G66" s="12">
        <f>Table52111768152229343741465158[[#This Row],[LỢI NHUẬN RÒNG]]+Table52111768152229343741465158[[#This Row],[VỐN CP]]</f>
        <v>13268184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5449203</v>
      </c>
      <c r="F67" s="11">
        <v>3268184</v>
      </c>
      <c r="G67" s="12">
        <f>Table52111768152229343741465158[[#This Row],[LỢI NHUẬN RÒNG]]+Table52111768152229343741465158[[#This Row],[VỐN CP]]</f>
        <v>13268184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10898405</v>
      </c>
      <c r="F68" s="11">
        <v>6536368</v>
      </c>
      <c r="G68" s="12">
        <f>Table52111768152229343741465158[[#This Row],[LỢI NHUẬN RÒNG]]+Table52111768152229343741465158[[#This Row],[VỐN CP]]</f>
        <v>26536368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-28297.5</v>
      </c>
      <c r="F69" s="11">
        <v>-745878.68604651128</v>
      </c>
      <c r="G69" s="12">
        <f>Table52111768152229343741465158[[#This Row],[LỢI NHUẬN RÒNG]]+Table52111768152229343741465158[[#This Row],[VỐN CP]]</f>
        <v>10104121.313953489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-28297.5</v>
      </c>
      <c r="F70" s="11">
        <v>-745878.68604651128</v>
      </c>
      <c r="G70" s="12">
        <f>Table52111768152229343741465158[[#This Row],[LỢI NHUẬN RÒNG]]+Table52111768152229343741465158[[#This Row],[VỐN CP]]</f>
        <v>10104121.313953489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-16170</v>
      </c>
      <c r="F71" s="11">
        <v>-426216.3920265779</v>
      </c>
      <c r="G71" s="12">
        <f>Table52111768152229343741465158[[#This Row],[LỢI NHUẬN RÒNG]]+Table52111768152229343741465158[[#This Row],[VỐN CP]]</f>
        <v>5773783.6079734219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-8085</v>
      </c>
      <c r="F72" s="11">
        <v>-213108.19601328895</v>
      </c>
      <c r="G72" s="12">
        <f>Table52111768152229343741465158[[#This Row],[LỢI NHUẬN RÒNG]]+Table52111768152229343741465158[[#This Row],[VỐN CP]]</f>
        <v>2886891.803986711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3929705.8</v>
      </c>
      <c r="F73" s="11">
        <v>2014646.2782885507</v>
      </c>
      <c r="G73" s="12">
        <f>Table52111768152229343741465158[[#This Row],[LỢI NHUẬN RÒNG]]+Table52111768152229343741465158[[#This Row],[VỐN CP]]</f>
        <v>6814646.2782885507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3929705.8</v>
      </c>
      <c r="F74" s="11">
        <v>2014646.2782885507</v>
      </c>
      <c r="G74" s="12">
        <f>Table52111768152229343741465158[[#This Row],[LỢI NHUẬN RÒNG]]+Table52111768152229343741465158[[#This Row],[VỐN CP]]</f>
        <v>6814646.2782885507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9824264.5</v>
      </c>
      <c r="F75" s="11">
        <v>5036615.6957213767</v>
      </c>
      <c r="G75" s="12">
        <f>Table52111768152229343741465158[[#This Row],[LỢI NHUẬN RÒNG]]+Table52111768152229343741465158[[#This Row],[VỐN CP]]</f>
        <v>17036615.695721377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1964852.9</v>
      </c>
      <c r="F76" s="11">
        <v>1007323.1391442753</v>
      </c>
      <c r="G76" s="12">
        <f>Table52111768152229343741465158[[#This Row],[LỢI NHUẬN RÒNG]]+Table52111768152229343741465158[[#This Row],[VỐN CP]]</f>
        <v>3407323.1391442753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6493706.2666666647</v>
      </c>
      <c r="F77" s="11">
        <v>3861247.3999452651</v>
      </c>
      <c r="G77" s="12">
        <f>Table52111768152229343741465158[[#This Row],[LỢI NHUẬN RÒNG]]+Table52111768152229343741465158[[#This Row],[VỐN CP]]</f>
        <v>15861247.399945265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6493706.2666666647</v>
      </c>
      <c r="F78" s="11">
        <v>3861247.3999452651</v>
      </c>
      <c r="G78" s="12">
        <f>Table52111768152229343741465158[[#This Row],[LỢI NHUẬN RÒNG]]+Table52111768152229343741465158[[#This Row],[VỐN CP]]</f>
        <v>15861247.399945265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16234265.666666664</v>
      </c>
      <c r="F79" s="11">
        <v>9653118.4998631626</v>
      </c>
      <c r="G79" s="12">
        <f>Table52111768152229343741465158[[#This Row],[LỢI NHUẬN RÒNG]]+Table52111768152229343741465158[[#This Row],[VỐN CP]]</f>
        <v>39653118.499863163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3246853.1333333324</v>
      </c>
      <c r="F80" s="11">
        <v>1930623.6999726326</v>
      </c>
      <c r="G80" s="12">
        <f>Table52111768152229343741465158[[#This Row],[LỢI NHUẬN RÒNG]]+Table52111768152229343741465158[[#This Row],[VỐN CP]]</f>
        <v>7930623.6999726323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4239659.2</v>
      </c>
      <c r="F81" s="11">
        <v>2656094.3425488896</v>
      </c>
      <c r="G81" s="12">
        <f>Table52111768152229343741465158[[#This Row],[LỢI NHUẬN RÒNG]]+Table52111768152229343741465158[[#This Row],[VỐN CP]]</f>
        <v>10846094.34254889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4239659.2</v>
      </c>
      <c r="F82" s="11">
        <v>2656094.3425488896</v>
      </c>
      <c r="G82" s="12">
        <f>Table52111768152229343741465158[[#This Row],[LỢI NHUẬN RÒNG]]+Table52111768152229343741465158[[#This Row],[VỐN CP]]</f>
        <v>10846094.34254889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3633993.6</v>
      </c>
      <c r="F83" s="11">
        <v>2276652.2936133342</v>
      </c>
      <c r="G83" s="12">
        <f>Table52111768152229343741465158[[#This Row],[LỢI NHUẬN RÒNG]]+Table52111768152229343741465158[[#This Row],[VỐN CP]]</f>
        <v>9296652.2936133333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4438794.5999999996</v>
      </c>
      <c r="F84" s="11">
        <v>3333960.7594659831</v>
      </c>
      <c r="G84" s="12">
        <f>Table52111768152229343741465158[[#This Row],[LỢI NHUẬN RÒNG]]+Table52111768152229343741465158[[#This Row],[VỐN CP]]</f>
        <v>10833960.759465983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4438794.5999999996</v>
      </c>
      <c r="F85" s="11">
        <v>3333960.7594659831</v>
      </c>
      <c r="G85" s="12">
        <f>Table52111768152229343741465158[[#This Row],[LỢI NHUẬN RÒNG]]+Table52111768152229343741465158[[#This Row],[VỐN CP]]</f>
        <v>10833960.759465983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2219397.2999999998</v>
      </c>
      <c r="F86" s="11">
        <v>1666980.3797329916</v>
      </c>
      <c r="G86" s="12">
        <f>Table52111768152229343741465158[[#This Row],[LỢI NHUẬN RÒNG]]+Table52111768152229343741465158[[#This Row],[VỐN CP]]</f>
        <v>5416980.3797329916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3698995.5</v>
      </c>
      <c r="F87" s="11">
        <v>2778300.632888319</v>
      </c>
      <c r="G87" s="12">
        <f>Table52111768152229343741465158[[#This Row],[LỢI NHUẬN RÒNG]]+Table52111768152229343741465158[[#This Row],[VỐN CP]]</f>
        <v>9028300.632888319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33000000</v>
      </c>
      <c r="E88" s="11">
        <v>13952240.699999999</v>
      </c>
      <c r="F88" s="11">
        <v>7141115.3816798506</v>
      </c>
      <c r="G88" s="12">
        <f>Table52111768152229343741465158[[#This Row],[LỢI NHUẬN RÒNG]]+Table52111768152229343741465158[[#This Row],[VỐN CP]]</f>
        <v>40141115.381679848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27500000</v>
      </c>
      <c r="E89" s="11">
        <v>11626867.25</v>
      </c>
      <c r="F89" s="11">
        <v>5950929.4847332099</v>
      </c>
      <c r="G89" s="12"/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16500000</v>
      </c>
      <c r="E90" s="11">
        <v>6976120.3499999996</v>
      </c>
      <c r="F90" s="11">
        <v>3570557.6908399253</v>
      </c>
      <c r="G90" s="12">
        <f>Table52111768152229343741465158[[#This Row],[LỢI NHUẬN RÒNG]]+Table52111768152229343741465158[[#This Row],[VỐN CP]]</f>
        <v>20070557.690839924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22000000</v>
      </c>
      <c r="E91" s="11">
        <v>9301493.8000000007</v>
      </c>
      <c r="F91" s="11">
        <v>4760743.5877865674</v>
      </c>
      <c r="G91" s="12">
        <f>Table52111768152229343741465158[[#This Row],[LỢI NHUẬN RÒNG]]+Table52111768152229343741465158[[#This Row],[VỐN CP]]</f>
        <v>26760743.587786566</v>
      </c>
    </row>
    <row r="92" spans="1:7" ht="15" customHeight="1" x14ac:dyDescent="0.3">
      <c r="A92" s="10" t="s">
        <v>111</v>
      </c>
      <c r="B92" s="11" t="s">
        <v>37</v>
      </c>
      <c r="C92" s="11">
        <v>10</v>
      </c>
      <c r="D92" s="11">
        <v>11000000</v>
      </c>
      <c r="E92" s="11">
        <v>4650746.9000000004</v>
      </c>
      <c r="F92" s="11">
        <v>2380371.7938932837</v>
      </c>
      <c r="G92" s="12">
        <f>Table52111768152229343741465158[[#This Row],[LỢI NHUẬN RÒNG]]+Table52111768152229343741465158[[#This Row],[VỐN CP]]</f>
        <v>13380371.793893283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3443460.5</v>
      </c>
      <c r="F93" s="11">
        <v>2100771.3552436046</v>
      </c>
      <c r="G93" s="12">
        <f>Table52111768152229343741465158[[#This Row],[LỢI NHUẬN RÒNG]]+Table52111768152229343741465158[[#This Row],[VỐN CP]]</f>
        <v>14600771.355243605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3443460.5</v>
      </c>
      <c r="F94" s="11">
        <v>2100771.3552436046</v>
      </c>
      <c r="G94" s="12">
        <f>Table52111768152229343741465158[[#This Row],[LỢI NHUẬN RÒNG]]+Table52111768152229343741465158[[#This Row],[VỐN CP]]</f>
        <v>14600771.355243605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1377384.2</v>
      </c>
      <c r="F95" s="11">
        <v>840308.54209744185</v>
      </c>
      <c r="G95" s="12">
        <f>Table52111768152229343741465158[[#This Row],[LỢI NHUẬN RÒNG]]+Table52111768152229343741465158[[#This Row],[VỐN CP]]</f>
        <v>5840308.5420974419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5509536.7999999998</v>
      </c>
      <c r="F96" s="11">
        <v>3361234.1683897674</v>
      </c>
      <c r="G96" s="12">
        <f>Table52111768152229343741465158[[#This Row],[LỢI NHUẬN RÒNG]]+Table52111768152229343741465158[[#This Row],[VỐN CP]]</f>
        <v>23361234.168389767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14400000</v>
      </c>
      <c r="E97" s="11">
        <v>1464649.75</v>
      </c>
      <c r="F97" s="11">
        <v>138404.18136849999</v>
      </c>
      <c r="G97" s="12">
        <f>Table52111768152229343741465158[[#This Row],[LỢI NHUẬN RÒNG]]+Table52111768152229343741465158[[#This Row],[VỐN CP]]</f>
        <v>14538404.1813685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5760000</v>
      </c>
      <c r="E98" s="11">
        <v>585859.9</v>
      </c>
      <c r="F98" s="11">
        <v>55361.672547399998</v>
      </c>
      <c r="G98" s="12">
        <f>Table52111768152229343741465158[[#This Row],[LỢI NHUẬN RÒNG]]+Table52111768152229343741465158[[#This Row],[VỐN CP]]</f>
        <v>5815361.6725474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14400000</v>
      </c>
      <c r="E99" s="11">
        <v>1464649.75</v>
      </c>
      <c r="F99" s="11">
        <v>138404.18136849999</v>
      </c>
      <c r="G99" s="12">
        <f>Table52111768152229343741465158[[#This Row],[LỢI NHUẬN RÒNG]]+Table52111768152229343741465158[[#This Row],[VỐN CP]]</f>
        <v>14538404.1813685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11520000</v>
      </c>
      <c r="E100" s="11">
        <v>1171719.8</v>
      </c>
      <c r="F100" s="11">
        <v>110723.3450948</v>
      </c>
      <c r="G100" s="12">
        <f>Table52111768152229343741465158[[#This Row],[LỢI NHUẬN RÒNG]]+Table52111768152229343741465158[[#This Row],[VỐN CP]]</f>
        <v>11630723.3450948</v>
      </c>
    </row>
    <row r="101" spans="1:7" ht="15" customHeight="1" x14ac:dyDescent="0.3">
      <c r="A101" s="10" t="s">
        <v>113</v>
      </c>
      <c r="B101" s="11" t="s">
        <v>37</v>
      </c>
      <c r="C101" s="11">
        <v>20</v>
      </c>
      <c r="D101" s="11">
        <v>11520000</v>
      </c>
      <c r="E101" s="11">
        <v>1171719.8</v>
      </c>
      <c r="F101" s="11">
        <v>110723.3450948</v>
      </c>
      <c r="G101" s="12">
        <f>Table52111768152229343741465158[[#This Row],[LỢI NHUẬN RÒNG]]+Table52111768152229343741465158[[#This Row],[VỐN CP]]</f>
        <v>11630723.3450948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4385334.75</v>
      </c>
      <c r="F102" s="11">
        <v>1982078.9041396265</v>
      </c>
      <c r="G102" s="12">
        <f>Table52111768152229343741465158[[#This Row],[LỢI NHUẬN RÒNG]]+Table52111768152229343741465158[[#This Row],[VỐN CP]]</f>
        <v>19382078.904139627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4385334.75</v>
      </c>
      <c r="F103" s="11">
        <v>1982078.9041396265</v>
      </c>
      <c r="G103" s="12">
        <f>Table52111768152229343741465158[[#This Row],[LỢI NHUẬN RÒNG]]+Table52111768152229343741465158[[#This Row],[VỐN CP]]</f>
        <v>19382078.904139627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3508267.8</v>
      </c>
      <c r="F104" s="11">
        <v>1585663.1233117015</v>
      </c>
      <c r="G104" s="12">
        <f>Table52111768152229343741465158[[#This Row],[LỢI NHUẬN RÒNG]]+Table52111768152229343741465158[[#This Row],[VỐN CP]]</f>
        <v>15505663.123311702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3508267.8</v>
      </c>
      <c r="F105" s="11">
        <v>1585663.1233117015</v>
      </c>
      <c r="G105" s="12">
        <f>Table52111768152229343741465158[[#This Row],[LỢI NHUẬN RÒNG]]+Table52111768152229343741465158[[#This Row],[VỐN CP]]</f>
        <v>15505663.123311702</v>
      </c>
    </row>
    <row r="106" spans="1:7" ht="15" hidden="1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1754133.9</v>
      </c>
      <c r="F106" s="11">
        <v>792831.56165585073</v>
      </c>
      <c r="G106" s="12">
        <f>Table52111768152229343741465158[[#This Row],[LỢI NHUẬN RÒNG]]+Table52111768152229343741465158[[#This Row],[VỐN CP]]</f>
        <v>7752831.5616558511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11047081.85</v>
      </c>
      <c r="F107" s="11">
        <v>8108449.0098721562</v>
      </c>
      <c r="G107" s="12">
        <f>Table52111768152229343741465158[[#This Row],[LỢI NHUẬN RÒNG]]+Table52111768152229343741465158[[#This Row],[VỐN CP]]</f>
        <v>36108449.009872153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11047081.85</v>
      </c>
      <c r="F108" s="11">
        <v>8108449.0098721562</v>
      </c>
      <c r="G108" s="12">
        <f>Table52111768152229343741465158[[#This Row],[LỢI NHUẬN RÒNG]]+Table52111768152229343741465158[[#This Row],[VỐN CP]]</f>
        <v>36108449.009872153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6312618.2000000002</v>
      </c>
      <c r="F109" s="11">
        <v>4633399.4342126604</v>
      </c>
      <c r="G109" s="12">
        <f>Table52111768152229343741465158[[#This Row],[LỢI NHUẬN RÒNG]]+Table52111768152229343741465158[[#This Row],[VỐN CP]]</f>
        <v>20633399.434212662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3156309.1</v>
      </c>
      <c r="F110" s="11">
        <v>2316699.7171063302</v>
      </c>
      <c r="G110" s="12">
        <f>Table52111768152229343741465158[[#This Row],[LỢI NHUẬN RÒNG]]+Table52111768152229343741465158[[#This Row],[VỐN CP]]</f>
        <v>10316699.717106331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2135676.6</v>
      </c>
      <c r="F111" s="11">
        <v>558520.72742062435</v>
      </c>
      <c r="G111" s="12">
        <f>Table52111768152229343741465158[[#This Row],[LỢI NHUẬN RÒNG]]+Table52111768152229343741465158[[#This Row],[VỐN CP]]</f>
        <v>5958520.7274206243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2135676.6</v>
      </c>
      <c r="F112" s="11">
        <v>558520.72742062435</v>
      </c>
      <c r="G112" s="12">
        <f>Table52111768152229343741465158[[#This Row],[LỢI NHUẬN RÒNG]]+Table52111768152229343741465158[[#This Row],[VỐN CP]]</f>
        <v>5958520.7274206243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1423784.4</v>
      </c>
      <c r="F113" s="11">
        <v>372347.15161374956</v>
      </c>
      <c r="G113" s="12">
        <f>Table52111768152229343741465158[[#This Row],[LỢI NHUẬN RÒNG]]+Table52111768152229343741465158[[#This Row],[VỐN CP]]</f>
        <v>3972347.1516137496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1423784.4</v>
      </c>
      <c r="F114" s="11">
        <v>372347.15161374956</v>
      </c>
      <c r="G114" s="12">
        <f>Table52111768152229343741465158[[#This Row],[LỢI NHUẬN RÒNG]]+Table52111768152229343741465158[[#This Row],[VỐN CP]]</f>
        <v>3972347.1516137496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3022317</v>
      </c>
      <c r="F115" s="11">
        <v>549395.03095920687</v>
      </c>
      <c r="G115" s="12">
        <f>Table52111768152229343741465158[[#This Row],[LỢI NHUẬN RÒNG]]+Table52111768152229343741465158[[#This Row],[VỐN CP]]</f>
        <v>11649395.030959208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3022317</v>
      </c>
      <c r="F116" s="11">
        <v>549395.03095920687</v>
      </c>
      <c r="G116" s="12">
        <f>Table52111768152229343741465158[[#This Row],[LỢI NHUẬN RÒNG]]+Table52111768152229343741465158[[#This Row],[VỐN CP]]</f>
        <v>11649395.030959208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2014878</v>
      </c>
      <c r="F117" s="11">
        <v>366263.35397280456</v>
      </c>
      <c r="G117" s="12">
        <f>Table52111768152229343741465158[[#This Row],[LỢI NHUẬN RÒNG]]+Table52111768152229343741465158[[#This Row],[VỐN CP]]</f>
        <v>7766263.3539728047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2014878</v>
      </c>
      <c r="F118" s="11">
        <v>366263.35397280456</v>
      </c>
      <c r="G118" s="12">
        <f>Table52111768152229343741465158[[#This Row],[LỢI NHUẬN RÒNG]]+Table52111768152229343741465158[[#This Row],[VỐN CP]]</f>
        <v>7766263.3539728047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4185636.25</v>
      </c>
      <c r="F119" s="11">
        <v>3685004.0875590132</v>
      </c>
      <c r="G119" s="12">
        <f>Table52111768152229343741465158[[#This Row],[LỢI NHUẬN RÒNG]]+Table52111768152229343741465158[[#This Row],[VỐN CP]]</f>
        <v>8685004.0875590127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4185636.25</v>
      </c>
      <c r="F120" s="11">
        <v>3685004.0875590132</v>
      </c>
      <c r="G120" s="12">
        <f>Table52111768152229343741465158[[#This Row],[LỢI NHUẬN RÒNG]]+Table52111768152229343741465158[[#This Row],[VỐN CP]]</f>
        <v>8685004.0875590127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5022763.5</v>
      </c>
      <c r="F121" s="11">
        <v>4422004.9050708162</v>
      </c>
      <c r="G121" s="12">
        <f>Table52111768152229343741465158[[#This Row],[LỢI NHUẬN RÒNG]]+Table52111768152229343741465158[[#This Row],[VỐN CP]]</f>
        <v>10422004.905070815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1674254.5</v>
      </c>
      <c r="F122" s="11">
        <v>1474001.6350236055</v>
      </c>
      <c r="G122" s="12">
        <f>Table52111768152229343741465158[[#This Row],[LỢI NHUẬN RÒNG]]+Table52111768152229343741465158[[#This Row],[VỐN CP]]</f>
        <v>3474001.6350236055</v>
      </c>
    </row>
    <row r="123" spans="1:7" ht="15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1674254.5</v>
      </c>
      <c r="F123" s="11">
        <v>1474001.6350236055</v>
      </c>
      <c r="G123" s="12">
        <f>Table52111768152229343741465158[[#This Row],[LỢI NHUẬN RÒNG]]+Table52111768152229343741465158[[#This Row],[VỐN CP]]</f>
        <v>3474001.6350236055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3062428.8</v>
      </c>
      <c r="F124" s="11">
        <v>2158386.5510572819</v>
      </c>
      <c r="G124" s="12">
        <f>Table52111768152229343741465158[[#This Row],[LỢI NHUẬN RÒNG]]+Table52111768152229343741465158[[#This Row],[VỐN CP]]</f>
        <v>7198386.5510572819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3062428.8</v>
      </c>
      <c r="F125" s="11">
        <v>2158386.5510572819</v>
      </c>
      <c r="G125" s="12">
        <f>Table52111768152229343741465158[[#This Row],[LỢI NHUẬN RÒNG]]+Table52111768152229343741465158[[#This Row],[VỐN CP]]</f>
        <v>7198386.5510572819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2041619.2</v>
      </c>
      <c r="F126" s="11">
        <v>1438924.367371521</v>
      </c>
      <c r="G126" s="12">
        <f>Table52111768152229343741465158[[#This Row],[LỢI NHUẬN RÒNG]]+Table52111768152229343741465158[[#This Row],[VỐN CP]]</f>
        <v>4798924.367371521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2041619.2</v>
      </c>
      <c r="F127" s="11">
        <v>1438924.367371521</v>
      </c>
      <c r="G127" s="12">
        <f>Table52111768152229343741465158[[#This Row],[LỢI NHUẬN RÒNG]]+Table52111768152229343741465158[[#This Row],[VỐN CP]]</f>
        <v>4798924.367371521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6666265.5499999998</v>
      </c>
      <c r="F128" s="11">
        <v>4020065.210532553</v>
      </c>
      <c r="G128" s="12">
        <f>Table52111768152229343741465158[[#This Row],[LỢI NHUẬN RÒNG]]+Table52111768152229343741465158[[#This Row],[VỐN CP]]</f>
        <v>19770065.210532553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6666265.5499999998</v>
      </c>
      <c r="F129" s="11">
        <v>4020065.210532553</v>
      </c>
      <c r="G129" s="12">
        <f>Table52111768152229343741465158[[#This Row],[LỢI NHUẬN RÒNG]]+Table52111768152229343741465158[[#This Row],[VỐN CP]]</f>
        <v>19770065.210532553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3809294.6</v>
      </c>
      <c r="F130" s="11">
        <v>2297180.1203043163</v>
      </c>
      <c r="G130" s="12">
        <f>Table52111768152229343741465158[[#This Row],[LỢI NHUẬN RÒNG]]+Table52111768152229343741465158[[#This Row],[VỐN CP]]</f>
        <v>11297180.120304316</v>
      </c>
    </row>
    <row r="131" spans="1:7" ht="15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1904647.3</v>
      </c>
      <c r="F131" s="11">
        <v>1148590.0601521581</v>
      </c>
      <c r="G131" s="12">
        <f>Table52111768152229343741465158[[#This Row],[LỢI NHUẬN RÒNG]]+Table52111768152229343741465158[[#This Row],[VỐN CP]]</f>
        <v>5648590.0601521581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2466666.666666667</v>
      </c>
      <c r="E132" s="11">
        <v>25375.333333333208</v>
      </c>
      <c r="F132" s="11">
        <v>-205139.96096583307</v>
      </c>
      <c r="G132" s="12">
        <f>Table52111768152229343741465158[[#This Row],[LỢI NHUẬN RÒNG]]+Table52111768152229343741465158[[#This Row],[VỐN CP]]</f>
        <v>2261526.7057008338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3700000.0000000005</v>
      </c>
      <c r="E133" s="11">
        <v>38062.999999999811</v>
      </c>
      <c r="F133" s="11">
        <v>-307709.94144874963</v>
      </c>
      <c r="G133" s="12">
        <f>Table52111768152229343741465158[[#This Row],[LỢI NHUẬN RÒNG]]+Table52111768152229343741465158[[#This Row],[VỐN CP]]</f>
        <v>3392290.058551251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4933333.333333334</v>
      </c>
      <c r="E134" s="11">
        <v>50750.666666666417</v>
      </c>
      <c r="F134" s="11">
        <v>-410279.92193166615</v>
      </c>
      <c r="G134" s="12">
        <f>Table52111768152229343741465158[[#This Row],[LỢI NHUẬN RÒNG]]+Table52111768152229343741465158[[#This Row],[VỐN CP]]</f>
        <v>4523053.4114016676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4933333.333333334</v>
      </c>
      <c r="E135" s="11">
        <v>50750.666666666417</v>
      </c>
      <c r="F135" s="11">
        <v>-410279.92193166615</v>
      </c>
      <c r="G135" s="12">
        <f>Table52111768152229343741465158[[#This Row],[LỢI NHUẬN RÒNG]]+Table52111768152229343741465158[[#This Row],[VỐN CP]]</f>
        <v>4523053.4114016676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4933333.333333334</v>
      </c>
      <c r="E136" s="11">
        <v>50750.666666666417</v>
      </c>
      <c r="F136" s="11">
        <v>-410279.92193166615</v>
      </c>
      <c r="G136" s="12">
        <f>Table52111768152229343741465158[[#This Row],[LỢI NHUẬN RÒNG]]+Table52111768152229343741465158[[#This Row],[VỐN CP]]</f>
        <v>4523053.4114016676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3700000.0000000005</v>
      </c>
      <c r="E137" s="11">
        <v>38062.999999999811</v>
      </c>
      <c r="F137" s="11">
        <v>-307709.94144874963</v>
      </c>
      <c r="G137" s="12">
        <f>Table52111768152229343741465158[[#This Row],[LỢI NHUẬN RÒNG]]+Table52111768152229343741465158[[#This Row],[VỐN CP]]</f>
        <v>3392290.058551251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822070.73333333433</v>
      </c>
      <c r="F138" s="11">
        <v>179299.5232185483</v>
      </c>
      <c r="G138" s="12">
        <f>Table52111768152229343741465158[[#This Row],[LỢI NHUẬN RÒNG]]+Table52111768152229343741465158[[#This Row],[VỐN CP]]</f>
        <v>6845966.189885214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846000</v>
      </c>
      <c r="F139" s="11">
        <v>36989.742099498209</v>
      </c>
      <c r="G139" s="12">
        <f>Table52111768152229343741465158[[#This Row],[LỢI NHUẬN RÒNG]]+Table52111768152229343741465158[[#This Row],[VỐN CP]]</f>
        <v>5536989.7420994984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2185532.9</v>
      </c>
      <c r="F140" s="11">
        <v>1460178.3492265299</v>
      </c>
      <c r="G140" s="12">
        <f>Table52111768152229343741465158[[#This Row],[LỢI NHUẬN RÒNG]]+Table52111768152229343741465158[[#This Row],[VỐN CP]]</f>
        <v>7922678.3492265297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3497454.3</v>
      </c>
      <c r="F141" s="11">
        <v>2605803.2433522241</v>
      </c>
      <c r="G141" s="12">
        <f>Table52111768152229343741465158[[#This Row],[LỢI NHUẬN RÒNG]]+Table52111768152229343741465158[[#This Row],[VỐN CP]]</f>
        <v>10825803.243352223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3497454.3</v>
      </c>
      <c r="F142" s="11">
        <v>2605803.2433522241</v>
      </c>
      <c r="G142" s="12">
        <f>Table52111768152229343741465158[[#This Row],[LỢI NHUẬN RÒNG]]+Table52111768152229343741465158[[#This Row],[VỐN CP]]</f>
        <v>10825803.243352223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4663272.4000000004</v>
      </c>
      <c r="F143" s="11">
        <v>3474404.324469632</v>
      </c>
      <c r="G143" s="12">
        <f>Table52111768152229343741465158[[#This Row],[LỢI NHUẬN RÒNG]]+Table52111768152229343741465158[[#This Row],[VỐN CP]]</f>
        <v>14434404.324469632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1914632.7</v>
      </c>
      <c r="F144" s="11">
        <v>851929.09679401515</v>
      </c>
      <c r="G144" s="12">
        <f>Table52111768152229343741465158[[#This Row],[LỢI NHUẬN RÒNG]]+Table52111768152229343741465158[[#This Row],[VỐN CP]]</f>
        <v>11951929.096794015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2233738.15</v>
      </c>
      <c r="F145" s="11">
        <v>993917.27959301765</v>
      </c>
      <c r="G145" s="12">
        <f>Table52111768152229343741465158[[#This Row],[LỢI NHUẬN RÒNG]]+Table52111768152229343741465158[[#This Row],[VỐN CP]]</f>
        <v>13943917.279593017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2233738.15</v>
      </c>
      <c r="F146" s="11">
        <v>993917.27959301765</v>
      </c>
      <c r="G146" s="12">
        <f>Table52111768152229343741465158[[#This Row],[LỢI NHUẬN RÒNG]]+Table52111768152229343741465158[[#This Row],[VỐN CP]]</f>
        <v>13943917.279593017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1218786</v>
      </c>
      <c r="F147" s="11">
        <v>-164888.22724252491</v>
      </c>
      <c r="G147" s="12">
        <f>Table52111768152229343741465158[[#This Row],[LỢI NHUẬN RÒNG]]+Table52111768152229343741465158[[#This Row],[VỐN CP]]</f>
        <v>9168445.1060908064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609393</v>
      </c>
      <c r="F148" s="11">
        <v>-82444.113621262455</v>
      </c>
      <c r="G148" s="12">
        <f>Table52111768152229343741465158[[#This Row],[LỢI NHUẬN RÒNG]]+Table52111768152229343741465158[[#This Row],[VỐN CP]]</f>
        <v>4584222.5530454032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609393</v>
      </c>
      <c r="F149" s="11">
        <v>-82444.113621262455</v>
      </c>
      <c r="G149" s="12">
        <f>Table52111768152229343741465158[[#This Row],[LỢI NHUẬN RÒNG]]+Table52111768152229343741465158[[#This Row],[VỐN CP]]</f>
        <v>4584222.5530454032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609393</v>
      </c>
      <c r="F150" s="11">
        <v>-82444.113621262455</v>
      </c>
      <c r="G150" s="12">
        <f>Table52111768152229343741465158[[#This Row],[LỢI NHUẬN RÒNG]]+Table52111768152229343741465158[[#This Row],[VỐN CP]]</f>
        <v>4584222.5530454032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2225609.6</v>
      </c>
      <c r="F151" s="11">
        <v>1736640.7264543206</v>
      </c>
      <c r="G151" s="12">
        <f>Table52111768152229343741465158[[#This Row],[LỢI NHUẬN RÒNG]]+Table52111768152229343741465158[[#This Row],[VỐN CP]]</f>
        <v>8396640.7264543213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2225609.6</v>
      </c>
      <c r="F152" s="11">
        <v>1736640.7264543206</v>
      </c>
      <c r="G152" s="12">
        <f>Table52111768152229343741465158[[#This Row],[LỢI NHUẬN RÒNG]]+Table52111768152229343741465158[[#This Row],[VỐN CP]]</f>
        <v>8396640.7264543213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2225609.6</v>
      </c>
      <c r="F153" s="11">
        <v>1736640.7264543206</v>
      </c>
      <c r="G153" s="12">
        <f>Table52111768152229343741465158[[#This Row],[LỢI NHUẬN RÒNG]]+Table52111768152229343741465158[[#This Row],[VỐN CP]]</f>
        <v>8396640.7264543213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4451219.2</v>
      </c>
      <c r="F154" s="21">
        <v>3473281.4529086412</v>
      </c>
      <c r="G154" s="12">
        <f>Table52111768152229343741465158[[#This Row],[LỢI NHUẬN RÒNG]]+Table52111768152229343741465158[[#This Row],[VỐN CP]]</f>
        <v>16793281.452908643</v>
      </c>
    </row>
    <row r="155" spans="1:8" x14ac:dyDescent="0.3">
      <c r="A155" s="20"/>
      <c r="B155" s="21"/>
      <c r="C155" s="21"/>
      <c r="D155" s="21">
        <f>SUBTOTAL(109,Table52111768152229343741465158[VỐN CP])</f>
        <v>42353333.333333328</v>
      </c>
      <c r="E155" s="21">
        <f>SUBTOTAL(109,Table52111768152229343741465158[LỢI NHUẬN GỘP])</f>
        <v>11045509.966666669</v>
      </c>
      <c r="F155" s="21">
        <f>SUBTOTAL(109,Table52111768152229343741465158[LỢI NHUẬN RÒNG])</f>
        <v>5472285.8806009442</v>
      </c>
      <c r="G155" s="21">
        <f>SUBTOTAL(109,Table52111768152229343741465158[TỔNG NHẬN])</f>
        <v>47825619.21393428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7298-3B44-4CAC-9956-A093DB4AAA2D}">
  <sheetPr codeName="Sheet9"/>
  <dimension ref="A1:O161"/>
  <sheetViews>
    <sheetView zoomScale="121" zoomScaleNormal="121" workbookViewId="0">
      <selection activeCell="F20" sqref="F20:F106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143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21095833.333333332</v>
      </c>
      <c r="M3" s="37">
        <f>SUMIF('Tháng 3 nhà T  '!$B$4:$B$154,K3,'Tháng 3 nhà T  '!$E$4:$E$154)</f>
        <v>2901245.5666666678</v>
      </c>
      <c r="N3" s="37">
        <f>SUMIF('Tháng 3 nhà T  '!$B$4:$B$154,K3,'Tháng 3 nhà T  '!$F$4:$F$154)</f>
        <v>169181.99011896155</v>
      </c>
      <c r="O3" s="38">
        <f>SUMIF('Tháng 3 nhà T  '!$B$4:$B$154,K3,'Tháng 3 nhà T  '!$G$4:$G$154)</f>
        <v>21265015.323452294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5360637</v>
      </c>
      <c r="F4" s="11">
        <v>4219731.7378126504</v>
      </c>
      <c r="G4" s="12">
        <f>Table52111768152229343741465158916[[#This Row],[LỢI NHUẬN RÒNG]]+Table52111768152229343741465158916[[#This Row],[VỐN CP]]</f>
        <v>17419731.737812649</v>
      </c>
      <c r="K4" s="36" t="s">
        <v>87</v>
      </c>
      <c r="L4" s="11">
        <f t="shared" si="0"/>
        <v>81893333.333333328</v>
      </c>
      <c r="M4" s="37">
        <f>SUMIF('Tháng 3 nhà T  '!$B$4:$B$154,K4,'Tháng 3 nhà T  '!$E$4:$E$154)</f>
        <v>27512028.099999998</v>
      </c>
      <c r="N4" s="37">
        <f>SUMIF('Tháng 3 nhà T  '!$B$4:$B$154,K4,'Tháng 3 nhà T  '!$F$4:$F$154)</f>
        <v>17408162.116917666</v>
      </c>
      <c r="O4" s="38">
        <f>SUMIF('Tháng 3 nhà T  '!$B$4:$B$154,K4,'Tháng 3 nhà T  '!$G$4:$G$154)</f>
        <v>99301495.450250998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5360637</v>
      </c>
      <c r="F5" s="11">
        <v>4219731.7378126504</v>
      </c>
      <c r="G5" s="12">
        <f>Table52111768152229343741465158916[[#This Row],[LỢI NHUẬN RÒNG]]+Table52111768152229343741465158916[[#This Row],[VỐN CP]]</f>
        <v>17419731.737812649</v>
      </c>
      <c r="I5" s="11"/>
      <c r="K5" s="36" t="s">
        <v>9</v>
      </c>
      <c r="L5" s="11">
        <f t="shared" si="0"/>
        <v>411664166.66666669</v>
      </c>
      <c r="M5" s="37">
        <f>SUMIF('Tháng 3 nhà T  '!$B$4:$B$154,K5,'Tháng 3 nhà T  '!$E$4:$E$154)</f>
        <v>127934612.96666665</v>
      </c>
      <c r="N5" s="37">
        <f>SUMIF('Tháng 3 nhà T  '!$B$4:$B$154,K5,'Tháng 3 nhà T  '!$F$4:$F$154)</f>
        <v>74392778.208768606</v>
      </c>
      <c r="O5" s="38">
        <f>SUMIF('Tháng 3 nhà T  '!$B$4:$B$154,K5,'Tháng 3 nhà T  '!$G$4:$G$154)</f>
        <v>486056944.87543523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1786879</v>
      </c>
      <c r="F6" s="11">
        <v>1406577.24593755</v>
      </c>
      <c r="G6" s="12">
        <f>Table52111768152229343741465158916[[#This Row],[LỢI NHUẬN RÒNG]]+Table52111768152229343741465158916[[#This Row],[VỐN CP]]</f>
        <v>5806577.2459375504</v>
      </c>
      <c r="K6" s="36" t="s">
        <v>88</v>
      </c>
      <c r="L6" s="11">
        <f t="shared" si="0"/>
        <v>10693333.333333334</v>
      </c>
      <c r="M6" s="37">
        <f>SUMIF('Tháng 3 nhà T  '!$B$4:$B$154,K6,'Tháng 3 nhà T  '!$E$4:$E$154)</f>
        <v>-1077774.6333333338</v>
      </c>
      <c r="N6" s="37">
        <f>SUMIF('Tháng 3 nhà T  '!$B$4:$B$154,K6,'Tháng 3 nhà T  '!$F$4:$F$154)</f>
        <v>-1971771.24808693</v>
      </c>
      <c r="O6" s="38">
        <f>SUMIF('Tháng 3 nhà T  '!$B$4:$B$154,K6,'Tháng 3 nhà T  '!$G$4:$G$154)</f>
        <v>8721562.0852464028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3573758</v>
      </c>
      <c r="F7" s="11">
        <v>2813154.4918750999</v>
      </c>
      <c r="G7" s="12">
        <f>Table52111768152229343741465158916[[#This Row],[LỢI NHUẬN RÒNG]]+Table52111768152229343741465158916[[#This Row],[VỐN CP]]</f>
        <v>11613154.491875101</v>
      </c>
      <c r="K7" s="36" t="s">
        <v>89</v>
      </c>
      <c r="L7" s="11">
        <f t="shared" si="0"/>
        <v>6666666.666666666</v>
      </c>
      <c r="M7" s="37">
        <f>SUMIF('Tháng 3 nhà T  '!$B$4:$B$154,K7,'Tháng 3 nhà T  '!$E$4:$E$154)</f>
        <v>10073.933333334327</v>
      </c>
      <c r="N7" s="37">
        <f>SUMIF('Tháng 3 nhà T  '!$B$4:$B$154,K7,'Tháng 3 nhà T  '!$F$4:$F$154)</f>
        <v>-641895.78977798822</v>
      </c>
      <c r="O7" s="38">
        <f>SUMIF('Tháng 3 nhà T  '!$B$4:$B$154,K7,'Tháng 3 nhà T  '!$G$4:$G$154)</f>
        <v>6024770.8768886775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1786879</v>
      </c>
      <c r="F8" s="11">
        <v>1406577.24593755</v>
      </c>
      <c r="G8" s="12">
        <f>Table52111768152229343741465158916[[#This Row],[LỢI NHUẬN RÒNG]]+Table52111768152229343741465158916[[#This Row],[VỐN CP]]</f>
        <v>5806577.2459375504</v>
      </c>
      <c r="K8" s="36" t="s">
        <v>19</v>
      </c>
      <c r="L8" s="11">
        <f t="shared" si="0"/>
        <v>413860000</v>
      </c>
      <c r="M8" s="37">
        <f>SUMIF('Tháng 3 nhà T  '!$B$4:$B$154,K8,'Tháng 3 nhà T  '!$E$4:$E$154)</f>
        <v>128145774.88333333</v>
      </c>
      <c r="N8" s="37">
        <f>SUMIF('Tháng 3 nhà T  '!$B$4:$B$154,K8,'Tháng 3 nhà T  '!$F$4:$F$154)</f>
        <v>74656331.201577142</v>
      </c>
      <c r="O8" s="38">
        <f>SUMIF('Tháng 3 nhà T  '!$B$4:$B$154,K8,'Tháng 3 nhà T  '!$G$4:$G$154)</f>
        <v>456581850.86667496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15110.900000001489</v>
      </c>
      <c r="F9" s="11">
        <v>-962843.68466698227</v>
      </c>
      <c r="G9" s="12">
        <f>Table52111768152229343741465158916[[#This Row],[LỢI NHUẬN RÒNG]]+Table52111768152229343741465158916[[#This Row],[VỐN CP]]</f>
        <v>9037156.3153330181</v>
      </c>
      <c r="K9" s="36" t="s">
        <v>21</v>
      </c>
      <c r="L9" s="11">
        <f t="shared" si="0"/>
        <v>68785000</v>
      </c>
      <c r="M9" s="37">
        <f>SUMIF('Tháng 3 nhà T  '!$B$4:$B$154,K9,'Tháng 3 nhà T  '!$E$4:$E$154)</f>
        <v>26065060.949999999</v>
      </c>
      <c r="N9" s="37">
        <f>SUMIF('Tháng 3 nhà T  '!$B$4:$B$154,K9,'Tháng 3 nhà T  '!$F$4:$F$154)</f>
        <v>15834007.672391748</v>
      </c>
      <c r="O9" s="38">
        <f>SUMIF('Tháng 3 nhà T  '!$B$4:$B$154,K9,'Tháng 3 nhà T  '!$G$4:$G$154)</f>
        <v>84619007.672391742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10073.933333334327</v>
      </c>
      <c r="F10" s="11">
        <v>-641895.78977798822</v>
      </c>
      <c r="G10" s="12">
        <f>Table52111768152229343741465158916[[#This Row],[LỢI NHUẬN RÒNG]]+Table52111768152229343741465158916[[#This Row],[VỐN CP]]</f>
        <v>6024770.8768886775</v>
      </c>
      <c r="K10" s="36" t="s">
        <v>23</v>
      </c>
      <c r="L10" s="11">
        <f t="shared" si="0"/>
        <v>16000000</v>
      </c>
      <c r="M10" s="37">
        <f>SUMIF('Tháng 3 nhà T  '!$B$4:$B$154,K10,'Tháng 3 nhà T  '!$E$4:$E$154)</f>
        <v>3927113.1</v>
      </c>
      <c r="N10" s="37">
        <f>SUMIF('Tháng 3 nhà T  '!$B$4:$B$154,K10,'Tháng 3 nhà T  '!$F$4:$F$154)</f>
        <v>2336407.8399821003</v>
      </c>
      <c r="O10" s="38">
        <f>SUMIF('Tháng 3 nhà T  '!$B$4:$B$154,K10,'Tháng 3 nhà T  '!$G$4:$G$154)</f>
        <v>18336407.8399821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15110.900000001489</v>
      </c>
      <c r="F11" s="11">
        <v>-962843.68466698227</v>
      </c>
      <c r="G11" s="12">
        <f>Table52111768152229343741465158916[[#This Row],[LỢI NHUẬN RÒNG]]+Table52111768152229343741465158916[[#This Row],[VỐN CP]]</f>
        <v>9037156.3153330181</v>
      </c>
      <c r="J11" s="11"/>
      <c r="K11" s="36" t="s">
        <v>27</v>
      </c>
      <c r="L11" s="11">
        <f t="shared" si="0"/>
        <v>327348333.33333331</v>
      </c>
      <c r="M11" s="37">
        <f>SUMIF('Tháng 3 nhà T  '!$B$4:$B$154,K11,'Tháng 3 nhà T  '!$E$4:$E$154)</f>
        <v>105316411.3</v>
      </c>
      <c r="N11" s="37">
        <f>SUMIF('Tháng 3 nhà T  '!$B$4:$B$154,K11,'Tháng 3 nhà T  '!$F$4:$F$154)</f>
        <v>62076804.094915204</v>
      </c>
      <c r="O11" s="38">
        <f>SUMIF(Table52111768152229343741465158916[CỔ ĐÔNG],K11,Table52111768152229343741465158916[TỔNG NHẬN])</f>
        <v>389425137.42824852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10073.933333334327</v>
      </c>
      <c r="F12" s="11">
        <v>-641895.78977798822</v>
      </c>
      <c r="G12" s="12">
        <f>Table52111768152229343741465158916[[#This Row],[LỢI NHUẬN RÒNG]]+Table52111768152229343741465158916[[#This Row],[VỐN CP]]</f>
        <v>6024770.8768886775</v>
      </c>
      <c r="K12" s="36" t="s">
        <v>31</v>
      </c>
      <c r="L12" s="11">
        <f t="shared" si="0"/>
        <v>44946666.666666664</v>
      </c>
      <c r="M12" s="37">
        <f>SUMIF('Tháng 3 nhà T  '!$B$4:$B$154,K12,'Tháng 3 nhà T  '!$E$4:$E$154)</f>
        <v>10588585.333333336</v>
      </c>
      <c r="N12" s="37">
        <f>SUMIF('Tháng 3 nhà T  '!$B$4:$B$154,K12,'Tháng 3 nhà T  '!$F$4:$F$154)</f>
        <v>5330265.8785773553</v>
      </c>
      <c r="O12" s="38">
        <f>SUMIF('Tháng 3 nhà T  '!$B$4:$B$154,K12,'Tháng 3 nhà T  '!$G$4:$G$154)</f>
        <v>50276932.545244023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10073.933333334327</v>
      </c>
      <c r="F13" s="11">
        <v>-641895.78977798822</v>
      </c>
      <c r="G13" s="12">
        <f>Table52111768152229343741465158916[[#This Row],[LỢI NHUẬN RÒNG]]+Table52111768152229343741465158916[[#This Row],[VỐN CP]]</f>
        <v>6024770.8768886775</v>
      </c>
      <c r="K13" s="36" t="s">
        <v>91</v>
      </c>
      <c r="L13" s="11">
        <f t="shared" si="0"/>
        <v>8400000</v>
      </c>
      <c r="M13" s="37">
        <f>SUMIF('Tháng 3 nhà T  '!$B$4:$B$154,K13,'Tháng 3 nhà T  '!$E$4:$E$154)</f>
        <v>4581122.5333333332</v>
      </c>
      <c r="N13" s="37">
        <f>SUMIF('Tháng 3 nhà T  '!$B$4:$B$154,K13,'Tháng 3 nhà T  '!$F$4:$F$154)</f>
        <v>3146163.2297769017</v>
      </c>
      <c r="O13" s="38">
        <f>SUMIF('Tháng 3 nhà T  '!$B$4:$B$154,K13,'Tháng 3 nhà T  '!$G$4:$G$154)</f>
        <v>11546163.2297769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10073.933333334327</v>
      </c>
      <c r="F14" s="11">
        <v>-641895.78977798822</v>
      </c>
      <c r="G14" s="12">
        <f>Table52111768152229343741465158916[[#This Row],[LỢI NHUẬN RÒNG]]+Table52111768152229343741465158916[[#This Row],[VỐN CP]]</f>
        <v>6024770.8768886775</v>
      </c>
      <c r="K14" s="36" t="s">
        <v>33</v>
      </c>
      <c r="L14" s="11">
        <f t="shared" si="0"/>
        <v>17560000</v>
      </c>
      <c r="M14" s="37">
        <f>SUMIF('Tháng 3 nhà T  '!$B$4:$B$154,K14,'Tháng 3 nhà T  '!$E$4:$E$154)</f>
        <v>4946809.6000000006</v>
      </c>
      <c r="N14" s="37">
        <f>SUMIF('Tháng 3 nhà T  '!$B$4:$B$154,K14,'Tháng 3 nhà T  '!$F$4:$F$154)</f>
        <v>2648469.1461579003</v>
      </c>
      <c r="O14" s="38">
        <f>SUMIF('Tháng 3 nhà T  '!$B$4:$B$154,K14,'Tháng 3 nhà T  '!$G$4:$G$154)</f>
        <v>20208469.146157898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20147.866666668655</v>
      </c>
      <c r="F15" s="11">
        <v>-1283791.5795559764</v>
      </c>
      <c r="G15" s="12">
        <f>Table52111768152229343741465158916[[#This Row],[LỢI NHUẬN RÒNG]]+Table52111768152229343741465158916[[#This Row],[VỐN CP]]</f>
        <v>12049541.753777355</v>
      </c>
      <c r="K15" s="25" t="s">
        <v>37</v>
      </c>
      <c r="L15" s="21">
        <f t="shared" si="0"/>
        <v>42353333.333333328</v>
      </c>
      <c r="M15" s="39">
        <f>SUMIF('Tháng 3 nhà T  '!$B$4:$B$154,K15,'Tháng 3 nhà T  '!$E$4:$E$154)</f>
        <v>4417203.9666666687</v>
      </c>
      <c r="N15" s="39">
        <f>SUMIF('Tháng 3 nhà T  '!$B$4:$B$154,K15,'Tháng 3 nhà T  '!$F$4:$F$154)</f>
        <v>-847234.573551954</v>
      </c>
      <c r="O15" s="40">
        <f>SUMIF('Tháng 3 nhà T  '!$B$4:$B$154,K15,'Tháng 3 nhà T  '!$G$4:$G$154)</f>
        <v>41506098.759781376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3140702.7</v>
      </c>
      <c r="F16" s="11">
        <v>1510924.3570505239</v>
      </c>
      <c r="G16" s="12">
        <f>Table52111768152229343741465158916[[#This Row],[LỢI NHUẬN RÒNG]]+Table52111768152229343741465158916[[#This Row],[VỐN CP]]</f>
        <v>9460924.3570505232</v>
      </c>
      <c r="K16" s="36" t="s">
        <v>25</v>
      </c>
      <c r="L16" s="21">
        <f t="shared" si="0"/>
        <v>2750000</v>
      </c>
      <c r="M16" s="41">
        <f>SUMIF('Tháng 3 nhà T  '!$B$4:$B$154,K16,'Tháng 3 nhà T  '!$E$4:$E$154)</f>
        <v>275458.40000000002</v>
      </c>
      <c r="N16" s="41">
        <f>SUMIF('Tháng 3 nhà T  '!$B$4:$B$154,K16,'Tháng 3 nhà T  '!$F$4:$F$154)</f>
        <v>-189202.3872697711</v>
      </c>
      <c r="O16" s="42">
        <f>SUMIF('Tháng 3 nhà T  '!$B$4:$B$154,K16,'Tháng 3 nhà T  '!$G$4:$G$154)</f>
        <v>2560797.6127302288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3140702.7</v>
      </c>
      <c r="F17" s="11">
        <v>1510924.3570505239</v>
      </c>
      <c r="G17" s="12">
        <f>Table52111768152229343741465158916[[#This Row],[LỢI NHUẬN RÒNG]]+Table52111768152229343741465158916[[#This Row],[VỐN CP]]</f>
        <v>9460924.3570505232</v>
      </c>
      <c r="K17" s="25" t="s">
        <v>47</v>
      </c>
      <c r="L17" s="21">
        <f>SUM(L2:L16)</f>
        <v>1474016666.6666667</v>
      </c>
      <c r="M17" s="21">
        <f>SUM(M2:M16)</f>
        <v>445543726</v>
      </c>
      <c r="N17" s="21">
        <f>SUM(N2:N16)</f>
        <v>254348467.38049692</v>
      </c>
      <c r="O17" s="21">
        <f>SUM(O2:O16)</f>
        <v>1696430653.7122614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1046900.9</v>
      </c>
      <c r="F18" s="11">
        <v>503641.45235017466</v>
      </c>
      <c r="G18" s="12">
        <f>Table52111768152229343741465158916[[#This Row],[LỢI NHUẬN RÒNG]]+Table52111768152229343741465158916[[#This Row],[VỐN CP]]</f>
        <v>3153641.4523501745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2093801.8</v>
      </c>
      <c r="F19" s="11">
        <v>1007282.9047003493</v>
      </c>
      <c r="G19" s="12">
        <f>Table52111768152229343741465158916[[#This Row],[LỢI NHUẬN RÒNG]]+Table52111768152229343741465158916[[#This Row],[VỐN CP]]</f>
        <v>6307282.9047003491</v>
      </c>
    </row>
    <row r="20" spans="1:15" ht="15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1046900.9</v>
      </c>
      <c r="F20" s="11">
        <v>503641.45235017466</v>
      </c>
      <c r="G20" s="12">
        <f>Table52111768152229343741465158916[[#This Row],[LỢI NHUẬN RÒNG]]+Table52111768152229343741465158916[[#This Row],[VỐN CP]]</f>
        <v>3153641.4523501745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1377292</v>
      </c>
      <c r="F21" s="11">
        <v>-946011.9363488555</v>
      </c>
      <c r="G21" s="12">
        <f>Table52111768152229343741465158916[[#This Row],[LỢI NHUẬN RÒNG]]+Table52111768152229343741465158916[[#This Row],[VỐN CP]]</f>
        <v>12803988.063651145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1377292</v>
      </c>
      <c r="F22" s="11">
        <v>-946011.9363488555</v>
      </c>
      <c r="G22" s="12">
        <f>Table52111768152229343741465158916[[#This Row],[LỢI NHUẬN RÒNG]]+Table52111768152229343741465158916[[#This Row],[VỐN CP]]</f>
        <v>12803988.063651145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275458.40000000002</v>
      </c>
      <c r="F23" s="11">
        <v>-189202.3872697711</v>
      </c>
      <c r="G23" s="12">
        <f>Table52111768152229343741465158916[[#This Row],[LỢI NHUẬN RÒNG]]+Table52111768152229343741465158916[[#This Row],[VỐN CP]]</f>
        <v>2560797.6127302288</v>
      </c>
    </row>
    <row r="24" spans="1:15" ht="15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275458.40000000002</v>
      </c>
      <c r="F24" s="11">
        <v>-189202.3872697711</v>
      </c>
      <c r="G24" s="12">
        <f>Table52111768152229343741465158916[[#This Row],[LỢI NHUẬN RÒNG]]+Table52111768152229343741465158916[[#This Row],[VỐN CP]]</f>
        <v>2560797.6127302288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1101833.6000000001</v>
      </c>
      <c r="F25" s="11">
        <v>-756809.54907908442</v>
      </c>
      <c r="G25" s="12">
        <f>Table52111768152229343741465158916[[#This Row],[LỢI NHUẬN RÒNG]]+Table52111768152229343741465158916[[#This Row],[VỐN CP]]</f>
        <v>10243190.450920915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550916.80000000005</v>
      </c>
      <c r="F26" s="11">
        <v>-378404.77453954221</v>
      </c>
      <c r="G26" s="12">
        <f>Table52111768152229343741465158916[[#This Row],[LỢI NHUẬN RÒNG]]+Table52111768152229343741465158916[[#This Row],[VỐN CP]]</f>
        <v>5121595.2254604576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14223290.199999999</v>
      </c>
      <c r="F27" s="11">
        <v>7779908.9559899615</v>
      </c>
      <c r="G27" s="12">
        <f>Table52111768152229343741465158916[[#This Row],[LỢI NHUẬN RÒNG]]+Table52111768152229343741465158916[[#This Row],[VỐN CP]]</f>
        <v>53017408.955989964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16255188.800000001</v>
      </c>
      <c r="F28" s="11">
        <v>8891324.5211313851</v>
      </c>
      <c r="G28" s="12">
        <f>Table52111768152229343741465158916[[#This Row],[LỢI NHUẬN RÒNG]]+Table52111768152229343741465158916[[#This Row],[VỐN CP]]</f>
        <v>60591324.521131381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4063797.2</v>
      </c>
      <c r="F29" s="11">
        <v>2222831.1302828463</v>
      </c>
      <c r="G29" s="12">
        <f>Table52111768152229343741465158916[[#This Row],[LỢI NHUẬN RÒNG]]+Table52111768152229343741465158916[[#This Row],[VỐN CP]]</f>
        <v>15147831.130282845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4063797.2</v>
      </c>
      <c r="F30" s="11">
        <v>2222831.1302828463</v>
      </c>
      <c r="G30" s="12">
        <f>Table52111768152229343741465158916[[#This Row],[LỢI NHUẬN RÒNG]]+Table52111768152229343741465158916[[#This Row],[VỐN CP]]</f>
        <v>15147831.130282845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2250532.9</v>
      </c>
      <c r="F31" s="11">
        <v>1382378.2205596927</v>
      </c>
      <c r="G31" s="12">
        <f>Table52111768152229343741465158916[[#This Row],[LỢI NHUẬN RÒNG]]+Table52111768152229343741465158916[[#This Row],[VỐN CP]]</f>
        <v>10482378.220559692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2250532.9</v>
      </c>
      <c r="F32" s="11">
        <v>1382378.2205596927</v>
      </c>
      <c r="G32" s="12">
        <f>Table52111768152229343741465158916[[#This Row],[LỢI NHUẬN RÒNG]]+Table52111768152229343741465158916[[#This Row],[VỐN CP]]</f>
        <v>10482378.220559692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1286018.8</v>
      </c>
      <c r="F33" s="11">
        <v>789930.41174839588</v>
      </c>
      <c r="G33" s="12">
        <f>Table52111768152229343741465158916[[#This Row],[LỢI NHUẬN RÒNG]]+Table52111768152229343741465158916[[#This Row],[VỐN CP]]</f>
        <v>5989930.4117483962</v>
      </c>
    </row>
    <row r="34" spans="1:7" ht="15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643009.4</v>
      </c>
      <c r="F34" s="11">
        <v>394965.20587419794</v>
      </c>
      <c r="G34" s="12">
        <f>Table52111768152229343741465158916[[#This Row],[LỢI NHUẬN RÒNG]]+Table52111768152229343741465158916[[#This Row],[VỐN CP]]</f>
        <v>2994965.2058741981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4201271.2</v>
      </c>
      <c r="F35" s="11">
        <v>3291757.57471951</v>
      </c>
      <c r="G35" s="12">
        <f>Table52111768152229343741465158916[[#This Row],[LỢI NHUẬN RÒNG]]+Table52111768152229343741465158916[[#This Row],[VỐN CP]]</f>
        <v>12391757.574719511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4201271.2</v>
      </c>
      <c r="F36" s="11">
        <v>3291757.57471951</v>
      </c>
      <c r="G36" s="12">
        <f>Table52111768152229343741465158916[[#This Row],[LỢI NHUẬN RÒNG]]+Table52111768152229343741465158916[[#This Row],[VỐN CP]]</f>
        <v>12391757.574719511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2400726.4</v>
      </c>
      <c r="F37" s="11">
        <v>1881004.3284111484</v>
      </c>
      <c r="G37" s="12">
        <f>Table52111768152229343741465158916[[#This Row],[LỢI NHUẬN RÒNG]]+Table52111768152229343741465158916[[#This Row],[VỐN CP]]</f>
        <v>7081004.3284111489</v>
      </c>
    </row>
    <row r="38" spans="1:7" ht="15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1200363.2</v>
      </c>
      <c r="F38" s="11">
        <v>940502.1642055742</v>
      </c>
      <c r="G38" s="12">
        <f>Table52111768152229343741465158916[[#This Row],[LỢI NHUẬN RÒNG]]+Table52111768152229343741465158916[[#This Row],[VỐN CP]]</f>
        <v>3540502.1642055744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2233867.4</v>
      </c>
      <c r="F39" s="11">
        <v>1744371.0961727405</v>
      </c>
      <c r="G39" s="12">
        <f>Table52111768152229343741465158916[[#This Row],[LỢI NHUẬN RÒNG]]+Table52111768152229343741465158916[[#This Row],[VỐN CP]]</f>
        <v>6544371.0961727407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3350801.1</v>
      </c>
      <c r="F40" s="11">
        <v>2616556.6442591106</v>
      </c>
      <c r="G40" s="12">
        <f>Table52111768152229343741465158916[[#This Row],[LỢI NHUẬN RÒNG]]+Table52111768152229343741465158916[[#This Row],[VỐN CP]]</f>
        <v>9816556.6442591101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3350801.1</v>
      </c>
      <c r="F41" s="11">
        <v>2616556.6442591106</v>
      </c>
      <c r="G41" s="12">
        <f>Table52111768152229343741465158916[[#This Row],[LỢI NHUẬN RÒNG]]+Table52111768152229343741465158916[[#This Row],[VỐN CP]]</f>
        <v>9816556.6442591101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2233867.4</v>
      </c>
      <c r="F42" s="11">
        <v>1744371.0961727405</v>
      </c>
      <c r="G42" s="12">
        <f>Table52111768152229343741465158916[[#This Row],[LỢI NHUẬN RÒNG]]+Table52111768152229343741465158916[[#This Row],[VỐN CP]]</f>
        <v>6544371.0961727407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2125180.7999999998</v>
      </c>
      <c r="F43" s="11">
        <v>1583793.6508919015</v>
      </c>
      <c r="G43" s="12">
        <f>Table52111768152229343741465158916[[#This Row],[LỢI NHUẬN RÒNG]]+Table52111768152229343741465158916[[#This Row],[VỐN CP]]</f>
        <v>5383793.6508919019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2656476</v>
      </c>
      <c r="F44" s="11">
        <v>1979742.0636148769</v>
      </c>
      <c r="G44" s="12">
        <f>Table52111768152229343741465158916[[#This Row],[LỢI NHUẬN RÒNG]]+Table52111768152229343741465158916[[#This Row],[VỐN CP]]</f>
        <v>6979742.0636148769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2656476</v>
      </c>
      <c r="F45" s="11">
        <v>1979742.0636148769</v>
      </c>
      <c r="G45" s="12">
        <f>Table52111768152229343741465158916[[#This Row],[LỢI NHUẬN RÒNG]]+Table52111768152229343741465158916[[#This Row],[VỐN CP]]</f>
        <v>6979742.0636148769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3187771.2</v>
      </c>
      <c r="F46" s="11">
        <v>2375690.4763378524</v>
      </c>
      <c r="G46" s="12">
        <f>Table52111768152229343741465158916[[#This Row],[LỢI NHUẬN RÒNG]]+Table52111768152229343741465158916[[#This Row],[VỐN CP]]</f>
        <v>8075690.476337852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2457511.2000000002</v>
      </c>
      <c r="F47" s="11">
        <v>1894204.9519512474</v>
      </c>
      <c r="G47" s="12">
        <f>Table52111768152229343741465158916[[#This Row],[LỢI NHUẬN RÒNG]]+Table52111768152229343741465158916[[#This Row],[VỐN CP]]</f>
        <v>7294204.9519512476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3686266.8</v>
      </c>
      <c r="F48" s="11">
        <v>2841307.427926871</v>
      </c>
      <c r="G48" s="12">
        <f>Table52111768152229343741465158916[[#This Row],[LỢI NHUẬN RÒNG]]+Table52111768152229343741465158916[[#This Row],[VỐN CP]]</f>
        <v>10941307.427926872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3686266.8</v>
      </c>
      <c r="F49" s="11">
        <v>2841307.427926871</v>
      </c>
      <c r="G49" s="12">
        <f>Table52111768152229343741465158916[[#This Row],[LỢI NHUẬN RÒNG]]+Table52111768152229343741465158916[[#This Row],[VỐN CP]]</f>
        <v>10941307.427926872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2457511.2000000002</v>
      </c>
      <c r="F50" s="11">
        <v>1894204.9519512474</v>
      </c>
      <c r="G50" s="12">
        <f>Table52111768152229343741465158916[[#This Row],[LỢI NHUẬN RÒNG]]+Table52111768152229343741465158916[[#This Row],[VỐN CP]]</f>
        <v>7294204.9519512476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1470900</v>
      </c>
      <c r="F51" s="11">
        <v>346931.97417721304</v>
      </c>
      <c r="G51" s="12">
        <f>Table52111768152229343741465158916[[#This Row],[LỢI NHUẬN RÒNG]]+Table52111768152229343741465158916[[#This Row],[VỐN CP]]</f>
        <v>6946931.9741772134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2206350</v>
      </c>
      <c r="F52" s="11">
        <v>520397.9612658195</v>
      </c>
      <c r="G52" s="12">
        <f>Table52111768152229343741465158916[[#This Row],[LỢI NHUẬN RÒNG]]+Table52111768152229343741465158916[[#This Row],[VỐN CP]]</f>
        <v>10420397.961265819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2206350</v>
      </c>
      <c r="F53" s="11">
        <v>520397.9612658195</v>
      </c>
      <c r="G53" s="12">
        <f>Table52111768152229343741465158916[[#This Row],[LỢI NHUẬN RÒNG]]+Table52111768152229343741465158916[[#This Row],[VỐN CP]]</f>
        <v>10420397.961265819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1470900</v>
      </c>
      <c r="F54" s="11">
        <v>346931.97417721304</v>
      </c>
      <c r="G54" s="12">
        <f>Table52111768152229343741465158916[[#This Row],[LỢI NHUẬN RÒNG]]+Table52111768152229343741465158916[[#This Row],[VỐN CP]]</f>
        <v>6946931.9741772134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9587089.5</v>
      </c>
      <c r="F55" s="11">
        <v>8017825.8797731111</v>
      </c>
      <c r="G55" s="12">
        <f>Table52111768152229343741465158916[[#This Row],[LỢI NHUẬN RÒNG]]+Table52111768152229343741465158916[[#This Row],[VỐN CP]]</f>
        <v>22267825.87977311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7989241.25</v>
      </c>
      <c r="F56" s="11">
        <v>6681521.566477593</v>
      </c>
      <c r="G56" s="12">
        <f>Table52111768152229343741465158916[[#This Row],[LỢI NHUẬN RÒNG]]+Table52111768152229343741465158916[[#This Row],[VỐN CP]]</f>
        <v>18556521.566477593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7989241.25</v>
      </c>
      <c r="F57" s="11">
        <v>6681521.566477593</v>
      </c>
      <c r="G57" s="12">
        <f>Table52111768152229343741465158916[[#This Row],[LỢI NHUẬN RÒNG]]+Table52111768152229343741465158916[[#This Row],[VỐN CP]]</f>
        <v>18556521.566477593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6391393</v>
      </c>
      <c r="F58" s="11">
        <v>5345217.2531820741</v>
      </c>
      <c r="G58" s="12">
        <f>Table52111768152229343741465158916[[#This Row],[LỢI NHUẬN RÒNG]]+Table52111768152229343741465158916[[#This Row],[VỐN CP]]</f>
        <v>14845217.253182074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4893780.3</v>
      </c>
      <c r="F59" s="11">
        <v>2686333.5212972448</v>
      </c>
      <c r="G59" s="12">
        <f>Table52111768152229343741465158916[[#This Row],[LỢI NHUẬN RÒNG]]+Table52111768152229343741465158916[[#This Row],[VỐN CP]]</f>
        <v>22636333.521297246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4078150.25</v>
      </c>
      <c r="F60" s="11">
        <v>2238611.2677477039</v>
      </c>
      <c r="G60" s="12">
        <f>Table52111768152229343741465158916[[#This Row],[LỢI NHUẬN RÒNG]]+Table52111768152229343741465158916[[#This Row],[VỐN CP]]</f>
        <v>18863611.267747704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4078150.25</v>
      </c>
      <c r="F61" s="11">
        <v>2238611.2677477039</v>
      </c>
      <c r="G61" s="12">
        <f>Table52111768152229343741465158916[[#This Row],[LỢI NHUẬN RÒNG]]+Table52111768152229343741465158916[[#This Row],[VỐN CP]]</f>
        <v>18863611.267747704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3262520.2</v>
      </c>
      <c r="F62" s="11">
        <v>1790889.0141981631</v>
      </c>
      <c r="G62" s="12">
        <f>Table52111768152229343741465158916[[#This Row],[LỢI NHUẬN RÒNG]]+Table52111768152229343741465158916[[#This Row],[VỐN CP]]</f>
        <v>15090889.014198164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365920.25</v>
      </c>
      <c r="F63" s="11">
        <v>-240928.4053221643</v>
      </c>
      <c r="G63" s="12">
        <f>Table52111768152229343741465158916[[#This Row],[LỢI NHUẬN RÒNG]]+Table52111768152229343741465158916[[#This Row],[VỐN CP]]</f>
        <v>7259071.5946778357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365920.25</v>
      </c>
      <c r="F64" s="11">
        <v>-240928.4053221643</v>
      </c>
      <c r="G64" s="12">
        <f>Table52111768152229343741465158916[[#This Row],[LỢI NHUẬN RÒNG]]+Table52111768152229343741465158916[[#This Row],[VỐN CP]]</f>
        <v>7259071.5946778357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731840.5</v>
      </c>
      <c r="F65" s="11">
        <v>-481856.81064432859</v>
      </c>
      <c r="G65" s="12">
        <f>Table52111768152229343741465158916[[#This Row],[LỢI NHUẬN RÒNG]]+Table52111768152229343741465158916[[#This Row],[VỐN CP]]</f>
        <v>14518143.189355671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5870866.25</v>
      </c>
      <c r="F66" s="11">
        <v>3591795.5030322708</v>
      </c>
      <c r="G66" s="12">
        <f>Table52111768152229343741465158916[[#This Row],[LỢI NHUẬN RÒNG]]+Table52111768152229343741465158916[[#This Row],[VỐN CP]]</f>
        <v>13591795.503032271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5870866.25</v>
      </c>
      <c r="F67" s="11">
        <v>3591795.5030322708</v>
      </c>
      <c r="G67" s="12">
        <f>Table52111768152229343741465158916[[#This Row],[LỢI NHUẬN RÒNG]]+Table52111768152229343741465158916[[#This Row],[VỐN CP]]</f>
        <v>13591795.503032271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11741732.5</v>
      </c>
      <c r="F68" s="11">
        <v>7183591.0060645416</v>
      </c>
      <c r="G68" s="12">
        <f>Table52111768152229343741465158916[[#This Row],[LỢI NHUẬN RÒNG]]+Table52111768152229343741465158916[[#This Row],[VỐN CP]]</f>
        <v>27183591.006064542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-97160</v>
      </c>
      <c r="F69" s="11">
        <v>-1589659.782623207</v>
      </c>
      <c r="G69" s="12">
        <f>Table52111768152229343741465158916[[#This Row],[LỢI NHUẬN RÒNG]]+Table52111768152229343741465158916[[#This Row],[VỐN CP]]</f>
        <v>9260340.2173767928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-97160</v>
      </c>
      <c r="F70" s="11">
        <v>-1589659.782623207</v>
      </c>
      <c r="G70" s="12">
        <f>Table52111768152229343741465158916[[#This Row],[LỢI NHUẬN RÒNG]]+Table52111768152229343741465158916[[#This Row],[VỐN CP]]</f>
        <v>9260340.2173767928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-55520</v>
      </c>
      <c r="F71" s="11">
        <v>-908377.01864183252</v>
      </c>
      <c r="G71" s="12">
        <f>Table52111768152229343741465158916[[#This Row],[LỢI NHUẬN RÒNG]]+Table52111768152229343741465158916[[#This Row],[VỐN CP]]</f>
        <v>5291622.9813581677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-27760</v>
      </c>
      <c r="F72" s="11">
        <v>-454188.50932091626</v>
      </c>
      <c r="G72" s="12">
        <f>Table52111768152229343741465158916[[#This Row],[LỢI NHUẬN RÒNG]]+Table52111768152229343741465158916[[#This Row],[VỐN CP]]</f>
        <v>2645811.4906790839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4538273.2</v>
      </c>
      <c r="F73" s="11">
        <v>3342744.1904514027</v>
      </c>
      <c r="G73" s="12">
        <f>Table52111768152229343741465158916[[#This Row],[LỢI NHUẬN RÒNG]]+Table52111768152229343741465158916[[#This Row],[VỐN CP]]</f>
        <v>8142744.1904514022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4538273.2</v>
      </c>
      <c r="F74" s="11">
        <v>3342744.1904514027</v>
      </c>
      <c r="G74" s="12">
        <f>Table52111768152229343741465158916[[#This Row],[LỢI NHUẬN RÒNG]]+Table52111768152229343741465158916[[#This Row],[VỐN CP]]</f>
        <v>8142744.1904514022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11345683</v>
      </c>
      <c r="F75" s="11">
        <v>8356860.4761285074</v>
      </c>
      <c r="G75" s="12">
        <f>Table52111768152229343741465158916[[#This Row],[LỢI NHUẬN RÒNG]]+Table52111768152229343741465158916[[#This Row],[VỐN CP]]</f>
        <v>20356860.476128507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2269136.6</v>
      </c>
      <c r="F76" s="11">
        <v>1671372.0952257013</v>
      </c>
      <c r="G76" s="12">
        <f>Table52111768152229343741465158916[[#This Row],[LỢI NHUẬN RÒNG]]+Table52111768152229343741465158916[[#This Row],[VỐN CP]]</f>
        <v>4071372.0952257011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4623971.8666666653</v>
      </c>
      <c r="F77" s="11">
        <v>2949582.2691024006</v>
      </c>
      <c r="G77" s="12">
        <f>Table52111768152229343741465158916[[#This Row],[LỢI NHUẬN RÒNG]]+Table52111768152229343741465158916[[#This Row],[VỐN CP]]</f>
        <v>14949582.2691024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4623971.8666666653</v>
      </c>
      <c r="F78" s="11">
        <v>2949582.2691024006</v>
      </c>
      <c r="G78" s="12">
        <f>Table52111768152229343741465158916[[#This Row],[LỢI NHUẬN RÒNG]]+Table52111768152229343741465158916[[#This Row],[VỐN CP]]</f>
        <v>14949582.2691024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11559929.666666664</v>
      </c>
      <c r="F79" s="11">
        <v>7373955.6727560023</v>
      </c>
      <c r="G79" s="12">
        <f>Table52111768152229343741465158916[[#This Row],[LỢI NHUẬN RÒNG]]+Table52111768152229343741465158916[[#This Row],[VỐN CP]]</f>
        <v>37373955.672756001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2311985.9333333327</v>
      </c>
      <c r="F80" s="11">
        <v>1474791.1345512003</v>
      </c>
      <c r="G80" s="12">
        <f>Table52111768152229343741465158916[[#This Row],[LỢI NHUẬN RÒNG]]+Table52111768152229343741465158916[[#This Row],[VỐN CP]]</f>
        <v>7474791.1345512001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3565103.5</v>
      </c>
      <c r="F81" s="11">
        <v>2547770.9381045233</v>
      </c>
      <c r="G81" s="12">
        <f>Table52111768152229343741465158916[[#This Row],[LỢI NHUẬN RÒNG]]+Table52111768152229343741465158916[[#This Row],[VỐN CP]]</f>
        <v>10737770.938104523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3565103.5</v>
      </c>
      <c r="F82" s="11">
        <v>2547770.9381045233</v>
      </c>
      <c r="G82" s="12">
        <f>Table52111768152229343741465158916[[#This Row],[LỢI NHUẬN RÒNG]]+Table52111768152229343741465158916[[#This Row],[VỐN CP]]</f>
        <v>10737770.938104523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3055803</v>
      </c>
      <c r="F83" s="11">
        <v>2183803.6612324486</v>
      </c>
      <c r="G83" s="12">
        <f>Table52111768152229343741465158916[[#This Row],[LỢI NHUẬN RÒNG]]+Table52111768152229343741465158916[[#This Row],[VỐN CP]]</f>
        <v>9203803.6612324491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4849359.3</v>
      </c>
      <c r="F84" s="11">
        <v>3927937.4178969953</v>
      </c>
      <c r="G84" s="12">
        <f>Table52111768152229343741465158916[[#This Row],[LỢI NHUẬN RÒNG]]+Table52111768152229343741465158916[[#This Row],[VỐN CP]]</f>
        <v>11427937.417896995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4849359.3</v>
      </c>
      <c r="F85" s="11">
        <v>3927937.4178969953</v>
      </c>
      <c r="G85" s="12">
        <f>Table52111768152229343741465158916[[#This Row],[LỢI NHUẬN RÒNG]]+Table52111768152229343741465158916[[#This Row],[VỐN CP]]</f>
        <v>11427937.417896995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2424679.65</v>
      </c>
      <c r="F86" s="11">
        <v>1963968.7089484977</v>
      </c>
      <c r="G86" s="12">
        <f>Table52111768152229343741465158916[[#This Row],[LỢI NHUẬN RÒNG]]+Table52111768152229343741465158916[[#This Row],[VỐN CP]]</f>
        <v>5713968.7089484977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4041132.75</v>
      </c>
      <c r="F87" s="11">
        <v>3273281.1815808294</v>
      </c>
      <c r="G87" s="12">
        <f>Table52111768152229343741465158916[[#This Row],[LỢI NHUẬN RÒNG]]+Table52111768152229343741465158916[[#This Row],[VỐN CP]]</f>
        <v>9523281.1815808304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33000000</v>
      </c>
      <c r="E88" s="11">
        <v>11849488.800000001</v>
      </c>
      <c r="F88" s="11">
        <v>5321376.4018825116</v>
      </c>
      <c r="G88" s="12">
        <f>Table52111768152229343741465158916[[#This Row],[LỢI NHUẬN RÒNG]]+Table52111768152229343741465158916[[#This Row],[VỐN CP]]</f>
        <v>38321376.401882514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27500000</v>
      </c>
      <c r="E89" s="11">
        <v>9874574</v>
      </c>
      <c r="F89" s="11">
        <v>4434480.3349020928</v>
      </c>
      <c r="G89" s="12"/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16500000</v>
      </c>
      <c r="E90" s="11">
        <v>5924744.4000000004</v>
      </c>
      <c r="F90" s="11">
        <v>2660688.2009412558</v>
      </c>
      <c r="G90" s="12">
        <f>Table52111768152229343741465158916[[#This Row],[LỢI NHUẬN RÒNG]]+Table52111768152229343741465158916[[#This Row],[VỐN CP]]</f>
        <v>19160688.200941257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22000000</v>
      </c>
      <c r="E91" s="11">
        <v>7899659.2000000002</v>
      </c>
      <c r="F91" s="11">
        <v>3547584.2679216741</v>
      </c>
      <c r="G91" s="12">
        <f>Table52111768152229343741465158916[[#This Row],[LỢI NHUẬN RÒNG]]+Table52111768152229343741465158916[[#This Row],[VỐN CP]]</f>
        <v>25547584.267921675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11000000</v>
      </c>
      <c r="E92" s="11">
        <v>3949829.6</v>
      </c>
      <c r="F92" s="11">
        <v>1773792.133960837</v>
      </c>
      <c r="G92" s="12">
        <f>Table52111768152229343741465158916[[#This Row],[LỢI NHUẬN RÒNG]]+Table52111768152229343741465158916[[#This Row],[VỐN CP]]</f>
        <v>12773792.133960837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-1387007.75</v>
      </c>
      <c r="F93" s="11">
        <v>-2307284.6093993764</v>
      </c>
      <c r="G93" s="12">
        <f>Table52111768152229343741465158916[[#This Row],[LỢI NHUẬN RÒNG]]+Table52111768152229343741465158916[[#This Row],[VỐN CP]]</f>
        <v>10192715.390600624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-1387007.75</v>
      </c>
      <c r="F94" s="11">
        <v>-2307284.6093993764</v>
      </c>
      <c r="G94" s="12">
        <f>Table52111768152229343741465158916[[#This Row],[LỢI NHUẬN RÒNG]]+Table52111768152229343741465158916[[#This Row],[VỐN CP]]</f>
        <v>10192715.390600624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-554803.1</v>
      </c>
      <c r="F95" s="11">
        <v>-922913.8437597506</v>
      </c>
      <c r="G95" s="12">
        <f>Table52111768152229343741465158916[[#This Row],[LỢI NHUẬN RÒNG]]+Table52111768152229343741465158916[[#This Row],[VỐN CP]]</f>
        <v>4077086.1562402495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-2219212.4</v>
      </c>
      <c r="F96" s="11">
        <v>-3691655.3750390024</v>
      </c>
      <c r="G96" s="12">
        <f>Table52111768152229343741465158916[[#This Row],[LỢI NHUẬN RÒNG]]+Table52111768152229343741465158916[[#This Row],[VỐN CP]]</f>
        <v>16308344.624960998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14400000</v>
      </c>
      <c r="E97" s="11">
        <v>-4236217.75</v>
      </c>
      <c r="F97" s="11">
        <v>-5319763.0666926689</v>
      </c>
      <c r="G97" s="12">
        <f>Table52111768152229343741465158916[[#This Row],[LỢI NHUẬN RÒNG]]+Table52111768152229343741465158916[[#This Row],[VỐN CP]]</f>
        <v>9080236.9333073311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5760000</v>
      </c>
      <c r="E98" s="11">
        <v>-1694487.1</v>
      </c>
      <c r="F98" s="11">
        <v>-2127905.2266770676</v>
      </c>
      <c r="G98" s="12">
        <f>Table52111768152229343741465158916[[#This Row],[LỢI NHUẬN RÒNG]]+Table52111768152229343741465158916[[#This Row],[VỐN CP]]</f>
        <v>3632094.7733229324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14400000</v>
      </c>
      <c r="E99" s="11">
        <v>-4236217.75</v>
      </c>
      <c r="F99" s="11">
        <v>-5319763.0666926689</v>
      </c>
      <c r="G99" s="12">
        <f>Table52111768152229343741465158916[[#This Row],[LỢI NHUẬN RÒNG]]+Table52111768152229343741465158916[[#This Row],[VỐN CP]]</f>
        <v>9080236.9333073311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11520000</v>
      </c>
      <c r="E100" s="11">
        <v>-3388974.2</v>
      </c>
      <c r="F100" s="11">
        <v>-4255810.4533541352</v>
      </c>
      <c r="G100" s="12">
        <f>Table52111768152229343741465158916[[#This Row],[LỢI NHUẬN RÒNG]]+Table52111768152229343741465158916[[#This Row],[VỐN CP]]</f>
        <v>7264189.5466458648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11520000</v>
      </c>
      <c r="E101" s="11">
        <v>-3388974.2</v>
      </c>
      <c r="F101" s="11">
        <v>-4255810.4533541352</v>
      </c>
      <c r="G101" s="12">
        <f>Table52111768152229343741465158916[[#This Row],[LỢI NHUẬN RÒNG]]+Table52111768152229343741465158916[[#This Row],[VỐN CP]]</f>
        <v>7264189.5466458648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4452694.25</v>
      </c>
      <c r="F102" s="11">
        <v>2496406.7774943113</v>
      </c>
      <c r="G102" s="12">
        <f>Table52111768152229343741465158916[[#This Row],[LỢI NHUẬN RÒNG]]+Table52111768152229343741465158916[[#This Row],[VỐN CP]]</f>
        <v>19896406.777494311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4452694.25</v>
      </c>
      <c r="F103" s="11">
        <v>2496406.7774943113</v>
      </c>
      <c r="G103" s="12">
        <f>Table52111768152229343741465158916[[#This Row],[LỢI NHUẬN RÒNG]]+Table52111768152229343741465158916[[#This Row],[VỐN CP]]</f>
        <v>19896406.777494311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3562155.4</v>
      </c>
      <c r="F104" s="11">
        <v>1997125.4219954491</v>
      </c>
      <c r="G104" s="12">
        <f>Table52111768152229343741465158916[[#This Row],[LỢI NHUẬN RÒNG]]+Table52111768152229343741465158916[[#This Row],[VỐN CP]]</f>
        <v>15917125.42199545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3562155.4</v>
      </c>
      <c r="F105" s="11">
        <v>1997125.4219954491</v>
      </c>
      <c r="G105" s="12">
        <f>Table52111768152229343741465158916[[#This Row],[LỢI NHUẬN RÒNG]]+Table52111768152229343741465158916[[#This Row],[VỐN CP]]</f>
        <v>15917125.42199545</v>
      </c>
    </row>
    <row r="106" spans="1:7" ht="15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1781077.7</v>
      </c>
      <c r="F106" s="11">
        <v>998562.71099772456</v>
      </c>
      <c r="G106" s="12">
        <f>Table52111768152229343741465158916[[#This Row],[LỢI NHUẬN RÒNG]]+Table52111768152229343741465158916[[#This Row],[VỐN CP]]</f>
        <v>7958562.7109977249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8852036.9000000004</v>
      </c>
      <c r="F107" s="11">
        <v>6561781.5749425506</v>
      </c>
      <c r="G107" s="12">
        <f>Table52111768152229343741465158916[[#This Row],[LỢI NHUẬN RÒNG]]+Table52111768152229343741465158916[[#This Row],[VỐN CP]]</f>
        <v>34561781.574942552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8852036.9000000004</v>
      </c>
      <c r="F108" s="11">
        <v>6561781.5749425506</v>
      </c>
      <c r="G108" s="12">
        <f>Table52111768152229343741465158916[[#This Row],[LỢI NHUẬN RÒNG]]+Table52111768152229343741465158916[[#This Row],[VỐN CP]]</f>
        <v>34561781.574942552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5058306.8</v>
      </c>
      <c r="F109" s="11">
        <v>3749589.4713957431</v>
      </c>
      <c r="G109" s="12">
        <f>Table52111768152229343741465158916[[#This Row],[LỢI NHUẬN RÒNG]]+Table52111768152229343741465158916[[#This Row],[VỐN CP]]</f>
        <v>19749589.471395742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2529153.4</v>
      </c>
      <c r="F110" s="11">
        <v>1874794.7356978715</v>
      </c>
      <c r="G110" s="12">
        <f>Table52111768152229343741465158916[[#This Row],[LỢI NHUẬN RÒNG]]+Table52111768152229343741465158916[[#This Row],[VỐN CP]]</f>
        <v>9874794.7356978711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2708176.5</v>
      </c>
      <c r="F111" s="11">
        <v>2012120.8006941141</v>
      </c>
      <c r="G111" s="12">
        <f>Table52111768152229343741465158916[[#This Row],[LỢI NHUẬN RÒNG]]+Table52111768152229343741465158916[[#This Row],[VỐN CP]]</f>
        <v>7412120.8006941136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2708176.5</v>
      </c>
      <c r="F112" s="11">
        <v>2012120.8006941141</v>
      </c>
      <c r="G112" s="12">
        <f>Table52111768152229343741465158916[[#This Row],[LỢI NHUẬN RÒNG]]+Table52111768152229343741465158916[[#This Row],[VỐN CP]]</f>
        <v>7412120.8006941136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1805451</v>
      </c>
      <c r="F113" s="11">
        <v>1341413.8671294092</v>
      </c>
      <c r="G113" s="12">
        <f>Table52111768152229343741465158916[[#This Row],[LỢI NHUẬN RÒNG]]+Table52111768152229343741465158916[[#This Row],[VỐN CP]]</f>
        <v>4941413.8671294097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1805451</v>
      </c>
      <c r="F114" s="11">
        <v>1341413.8671294092</v>
      </c>
      <c r="G114" s="12">
        <f>Table52111768152229343741465158916[[#This Row],[LỢI NHUẬN RÒNG]]+Table52111768152229343741465158916[[#This Row],[VỐN CP]]</f>
        <v>4941413.8671294097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4014697.8</v>
      </c>
      <c r="F115" s="11">
        <v>2876861.724918663</v>
      </c>
      <c r="G115" s="12">
        <f>Table52111768152229343741465158916[[#This Row],[LỢI NHUẬN RÒNG]]+Table52111768152229343741465158916[[#This Row],[VỐN CP]]</f>
        <v>13976861.724918664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4014697.8</v>
      </c>
      <c r="F116" s="11">
        <v>2876861.724918663</v>
      </c>
      <c r="G116" s="12">
        <f>Table52111768152229343741465158916[[#This Row],[LỢI NHUẬN RÒNG]]+Table52111768152229343741465158916[[#This Row],[VỐN CP]]</f>
        <v>13976861.724918664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2676465.2000000002</v>
      </c>
      <c r="F117" s="11">
        <v>1917907.8166124418</v>
      </c>
      <c r="G117" s="12">
        <f>Table52111768152229343741465158916[[#This Row],[LỢI NHUẬN RÒNG]]+Table52111768152229343741465158916[[#This Row],[VỐN CP]]</f>
        <v>9317907.8166124411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2676465.2000000002</v>
      </c>
      <c r="F118" s="11">
        <v>1917907.8166124418</v>
      </c>
      <c r="G118" s="12">
        <f>Table52111768152229343741465158916[[#This Row],[LỢI NHUẬN RÒNG]]+Table52111768152229343741465158916[[#This Row],[VỐN CP]]</f>
        <v>9317907.8166124411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4790664.5</v>
      </c>
      <c r="F119" s="11">
        <v>3839206.387819197</v>
      </c>
      <c r="G119" s="12">
        <f>Table52111768152229343741465158916[[#This Row],[LỢI NHUẬN RÒNG]]+Table52111768152229343741465158916[[#This Row],[VỐN CP]]</f>
        <v>8839206.387819197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4790664.5</v>
      </c>
      <c r="F120" s="11">
        <v>3839206.387819197</v>
      </c>
      <c r="G120" s="12">
        <f>Table52111768152229343741465158916[[#This Row],[LỢI NHUẬN RÒNG]]+Table52111768152229343741465158916[[#This Row],[VỐN CP]]</f>
        <v>8839206.387819197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5748797.4000000004</v>
      </c>
      <c r="F121" s="11">
        <v>4607047.6653830362</v>
      </c>
      <c r="G121" s="12">
        <f>Table52111768152229343741465158916[[#This Row],[LỢI NHUẬN RÒNG]]+Table52111768152229343741465158916[[#This Row],[VỐN CP]]</f>
        <v>10607047.665383037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1916265.8</v>
      </c>
      <c r="F122" s="11">
        <v>1535682.5551276789</v>
      </c>
      <c r="G122" s="12">
        <f>Table52111768152229343741465158916[[#This Row],[LỢI NHUẬN RÒNG]]+Table52111768152229343741465158916[[#This Row],[VỐN CP]]</f>
        <v>3535682.5551276789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1916265.8</v>
      </c>
      <c r="F123" s="11">
        <v>1535682.5551276789</v>
      </c>
      <c r="G123" s="12">
        <f>Table52111768152229343741465158916[[#This Row],[LỢI NHUẬN RÒNG]]+Table52111768152229343741465158916[[#This Row],[VỐN CP]]</f>
        <v>3535682.5551276789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3265750.2</v>
      </c>
      <c r="F124" s="11">
        <v>2289386.3228773968</v>
      </c>
      <c r="G124" s="12">
        <f>Table52111768152229343741465158916[[#This Row],[LỢI NHUẬN RÒNG]]+Table52111768152229343741465158916[[#This Row],[VỐN CP]]</f>
        <v>7329386.3228773968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3265750.2</v>
      </c>
      <c r="F125" s="11">
        <v>2289386.3228773968</v>
      </c>
      <c r="G125" s="12">
        <f>Table52111768152229343741465158916[[#This Row],[LỢI NHUẬN RÒNG]]+Table52111768152229343741465158916[[#This Row],[VỐN CP]]</f>
        <v>7329386.3228773968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2177166.7999999998</v>
      </c>
      <c r="F126" s="11">
        <v>1526257.5485849315</v>
      </c>
      <c r="G126" s="12">
        <f>Table52111768152229343741465158916[[#This Row],[LỢI NHUẬN RÒNG]]+Table52111768152229343741465158916[[#This Row],[VỐN CP]]</f>
        <v>4886257.5485849315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2177166.7999999998</v>
      </c>
      <c r="F127" s="11">
        <v>1526257.5485849315</v>
      </c>
      <c r="G127" s="12">
        <f>Table52111768152229343741465158916[[#This Row],[LỢI NHUẬN RÒNG]]+Table52111768152229343741465158916[[#This Row],[VỐN CP]]</f>
        <v>4886257.5485849315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6719772.1500000004</v>
      </c>
      <c r="F128" s="11">
        <v>4840124.6959437467</v>
      </c>
      <c r="G128" s="12">
        <f>Table52111768152229343741465158916[[#This Row],[LỢI NHUẬN RÒNG]]+Table52111768152229343741465158916[[#This Row],[VỐN CP]]</f>
        <v>20590124.695943747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6719772.1500000004</v>
      </c>
      <c r="F129" s="11">
        <v>4840124.6959437467</v>
      </c>
      <c r="G129" s="12">
        <f>Table52111768152229343741465158916[[#This Row],[LỢI NHUẬN RÒNG]]+Table52111768152229343741465158916[[#This Row],[VỐN CP]]</f>
        <v>20590124.695943747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3839869.8</v>
      </c>
      <c r="F130" s="11">
        <v>2765785.5405392838</v>
      </c>
      <c r="G130" s="12">
        <f>Table52111768152229343741465158916[[#This Row],[LỢI NHUẬN RÒNG]]+Table52111768152229343741465158916[[#This Row],[VỐN CP]]</f>
        <v>11765785.540539283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1919934.9</v>
      </c>
      <c r="F131" s="11">
        <v>1382892.7702696419</v>
      </c>
      <c r="G131" s="12">
        <f>Table52111768152229343741465158916[[#This Row],[LỢI NHUẬN RÒNG]]+Table52111768152229343741465158916[[#This Row],[VỐN CP]]</f>
        <v>5882892.7702696417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2466666.666666667</v>
      </c>
      <c r="E132" s="11">
        <v>308356.23333333322</v>
      </c>
      <c r="F132" s="11">
        <v>78066.98929506875</v>
      </c>
      <c r="G132" s="12">
        <f>Table52111768152229343741465158916[[#This Row],[LỢI NHUẬN RÒNG]]+Table52111768152229343741465158916[[#This Row],[VỐN CP]]</f>
        <v>2544733.6559617356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3700000.0000000005</v>
      </c>
      <c r="E133" s="11">
        <v>462534.34999999986</v>
      </c>
      <c r="F133" s="11">
        <v>117100.48394260314</v>
      </c>
      <c r="G133" s="12">
        <f>Table52111768152229343741465158916[[#This Row],[LỢI NHUẬN RÒNG]]+Table52111768152229343741465158916[[#This Row],[VỐN CP]]</f>
        <v>3817100.4839426037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4933333.333333334</v>
      </c>
      <c r="E134" s="11">
        <v>616712.46666666644</v>
      </c>
      <c r="F134" s="11">
        <v>156133.9785901375</v>
      </c>
      <c r="G134" s="12">
        <f>Table52111768152229343741465158916[[#This Row],[LỢI NHUẬN RÒNG]]+Table52111768152229343741465158916[[#This Row],[VỐN CP]]</f>
        <v>5089467.3119234713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4933333.333333334</v>
      </c>
      <c r="E135" s="11">
        <v>616712.46666666644</v>
      </c>
      <c r="F135" s="11">
        <v>156133.9785901375</v>
      </c>
      <c r="G135" s="12">
        <f>Table52111768152229343741465158916[[#This Row],[LỢI NHUẬN RÒNG]]+Table52111768152229343741465158916[[#This Row],[VỐN CP]]</f>
        <v>5089467.3119234713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4933333.333333334</v>
      </c>
      <c r="E136" s="11">
        <v>616712.46666666644</v>
      </c>
      <c r="F136" s="11">
        <v>156133.9785901375</v>
      </c>
      <c r="G136" s="12">
        <f>Table52111768152229343741465158916[[#This Row],[LỢI NHUẬN RÒNG]]+Table52111768152229343741465158916[[#This Row],[VỐN CP]]</f>
        <v>5089467.3119234713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3700000.0000000005</v>
      </c>
      <c r="E137" s="11">
        <v>462534.34999999986</v>
      </c>
      <c r="F137" s="11">
        <v>117100.48394260314</v>
      </c>
      <c r="G137" s="12">
        <f>Table52111768152229343741465158916[[#This Row],[LỢI NHUẬN RÒNG]]+Table52111768152229343741465158916[[#This Row],[VỐN CP]]</f>
        <v>3817100.4839426037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10073.933333334327</v>
      </c>
      <c r="F138" s="11">
        <v>-641895.78977798822</v>
      </c>
      <c r="G138" s="12">
        <f>Table52111768152229343741465158916[[#This Row],[LỢI NHUẬN RÒNG]]+Table52111768152229343741465158916[[#This Row],[VỐN CP]]</f>
        <v>6024770.8768886775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550916.80000000005</v>
      </c>
      <c r="F139" s="11">
        <v>-378404.77453954221</v>
      </c>
      <c r="G139" s="12">
        <f>Table52111768152229343741465158916[[#This Row],[LỢI NHUẬN RÒNG]]+Table52111768152229343741465158916[[#This Row],[VỐN CP]]</f>
        <v>5121595.2254604576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2031898.6</v>
      </c>
      <c r="F140" s="11">
        <v>1111415.5651414231</v>
      </c>
      <c r="G140" s="12">
        <f>Table52111768152229343741465158916[[#This Row],[LỢI NHUẬN RÒNG]]+Table52111768152229343741465158916[[#This Row],[VỐN CP]]</f>
        <v>7573915.5651414227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3331857</v>
      </c>
      <c r="F141" s="11">
        <v>2216261.3098021792</v>
      </c>
      <c r="G141" s="12">
        <f>Table52111768152229343741465158916[[#This Row],[LỢI NHUẬN RÒNG]]+Table52111768152229343741465158916[[#This Row],[VỐN CP]]</f>
        <v>10436261.309802178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3331857</v>
      </c>
      <c r="F142" s="11">
        <v>2216261.3098021792</v>
      </c>
      <c r="G142" s="12">
        <f>Table52111768152229343741465158916[[#This Row],[LỢI NHUẬN RÒNG]]+Table52111768152229343741465158916[[#This Row],[VỐN CP]]</f>
        <v>10436261.309802178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4442476</v>
      </c>
      <c r="F143" s="11">
        <v>2955015.0797362388</v>
      </c>
      <c r="G143" s="12">
        <f>Table52111768152229343741465158916[[#This Row],[LỢI NHUẬN RÒNG]]+Table52111768152229343741465158916[[#This Row],[VỐN CP]]</f>
        <v>13915015.079736238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1702911.9</v>
      </c>
      <c r="F144" s="11">
        <v>172584.88896836044</v>
      </c>
      <c r="G144" s="12">
        <f>Table52111768152229343741465158916[[#This Row],[LỢI NHUẬN RÒNG]]+Table52111768152229343741465158916[[#This Row],[VỐN CP]]</f>
        <v>11272584.88896836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1986730.55</v>
      </c>
      <c r="F145" s="11">
        <v>201349.03712975382</v>
      </c>
      <c r="G145" s="12">
        <f>Table52111768152229343741465158916[[#This Row],[LỢI NHUẬN RÒNG]]+Table52111768152229343741465158916[[#This Row],[VỐN CP]]</f>
        <v>13151349.037129754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1986730.55</v>
      </c>
      <c r="F146" s="11">
        <v>201349.03712975382</v>
      </c>
      <c r="G146" s="12">
        <f>Table52111768152229343741465158916[[#This Row],[LỢI NHUẬN RÒNG]]+Table52111768152229343741465158916[[#This Row],[VỐN CP]]</f>
        <v>13151349.037129754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339616.4</v>
      </c>
      <c r="F147" s="11">
        <v>-1205019.8533541337</v>
      </c>
      <c r="G147" s="12">
        <f>Table52111768152229343741465158916[[#This Row],[LỢI NHUẬN RÒNG]]+Table52111768152229343741465158916[[#This Row],[VỐN CP]]</f>
        <v>8128313.4799791984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169808.2</v>
      </c>
      <c r="F148" s="11">
        <v>-602509.92667706683</v>
      </c>
      <c r="G148" s="12">
        <f>Table52111768152229343741465158916[[#This Row],[LỢI NHUẬN RÒNG]]+Table52111768152229343741465158916[[#This Row],[VỐN CP]]</f>
        <v>4064156.7399895992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169808.2</v>
      </c>
      <c r="F149" s="11">
        <v>-602509.92667706683</v>
      </c>
      <c r="G149" s="12">
        <f>Table52111768152229343741465158916[[#This Row],[LỢI NHUẬN RÒNG]]+Table52111768152229343741465158916[[#This Row],[VỐN CP]]</f>
        <v>4064156.7399895992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169808.2</v>
      </c>
      <c r="F150" s="11">
        <v>-602509.92667706683</v>
      </c>
      <c r="G150" s="12">
        <f>Table52111768152229343741465158916[[#This Row],[LỢI NHUẬN RÒNG]]+Table52111768152229343741465158916[[#This Row],[VỐN CP]]</f>
        <v>4064156.7399895992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2701170.6</v>
      </c>
      <c r="F151" s="11">
        <v>2167136.0070399819</v>
      </c>
      <c r="G151" s="12">
        <f>Table52111768152229343741465158916[[#This Row],[LỢI NHUẬN RÒNG]]+Table52111768152229343741465158916[[#This Row],[VỐN CP]]</f>
        <v>8827136.0070399828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2701170.6</v>
      </c>
      <c r="F152" s="11">
        <v>2167136.0070399819</v>
      </c>
      <c r="G152" s="12">
        <f>Table52111768152229343741465158916[[#This Row],[LỢI NHUẬN RÒNG]]+Table52111768152229343741465158916[[#This Row],[VỐN CP]]</f>
        <v>8827136.0070399828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2701170.6</v>
      </c>
      <c r="F153" s="11">
        <v>2167136.0070399819</v>
      </c>
      <c r="G153" s="12">
        <f>Table52111768152229343741465158916[[#This Row],[LỢI NHUẬN RÒNG]]+Table52111768152229343741465158916[[#This Row],[VỐN CP]]</f>
        <v>8827136.0070399828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5402341.2000000002</v>
      </c>
      <c r="F154" s="21">
        <v>4334272.0140799638</v>
      </c>
      <c r="G154" s="12">
        <f>Table52111768152229343741465158916[[#This Row],[LỢI NHUẬN RÒNG]]+Table52111768152229343741465158916[[#This Row],[VỐN CP]]</f>
        <v>17654272.014079966</v>
      </c>
    </row>
    <row r="155" spans="1:8" x14ac:dyDescent="0.3">
      <c r="A155" s="20"/>
      <c r="B155" s="21"/>
      <c r="C155" s="21"/>
      <c r="D155" s="21">
        <f>SUBTOTAL(109,Table52111768152229343741465158916[VỐN CP])</f>
        <v>17560000</v>
      </c>
      <c r="E155" s="21">
        <f>SUBTOTAL(109,Table52111768152229343741465158916[LỢI NHUẬN GỘP])</f>
        <v>4946809.6000000006</v>
      </c>
      <c r="F155" s="21">
        <f>SUBTOTAL(109,Table52111768152229343741465158916[LỢI NHUẬN RÒNG])</f>
        <v>2648469.1461579003</v>
      </c>
      <c r="G155" s="21">
        <f>SUBTOTAL(109,Table52111768152229343741465158916[TỔNG NHẬN])</f>
        <v>20208469.146157898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EAD4-A849-4F00-B2C8-4B61C55D63FF}">
  <sheetPr codeName="Sheet4"/>
  <dimension ref="A1:O161"/>
  <sheetViews>
    <sheetView topLeftCell="A3" zoomScale="121" zoomScaleNormal="121" workbookViewId="0">
      <selection activeCell="F20" sqref="F20:F106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134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21095833.333333332</v>
      </c>
      <c r="M3" s="37">
        <f>SUMIF('Tháng 2 nhà T   '!$B$4:$B$154,K3,'Tháng 2 nhà T   '!$E$4:$E$154)</f>
        <v>3296597.2666666675</v>
      </c>
      <c r="N3" s="37">
        <f>SUMIF('Tháng 2 nhà T   '!$B$4:$B$154,K3,'Tháng 2 nhà T   '!$F$4:$F$154)</f>
        <v>302008.17993915116</v>
      </c>
      <c r="O3" s="38">
        <f>SUMIF('Tháng 2 nhà T   '!$B$4:$B$154,K3,'Tháng 2 nhà T   '!$G$4:$G$154)</f>
        <v>21397841.513272483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3867807.3</v>
      </c>
      <c r="F4" s="11">
        <v>2179906.8992278241</v>
      </c>
      <c r="G4" s="12">
        <f>Table521117681522293437414651589[[#This Row],[LỢI NHUẬN RÒNG]]+Table521117681522293437414651589[[#This Row],[VỐN CP]]</f>
        <v>15379906.899227824</v>
      </c>
      <c r="K4" s="36" t="s">
        <v>87</v>
      </c>
      <c r="L4" s="11">
        <f t="shared" si="0"/>
        <v>81893333.333333328</v>
      </c>
      <c r="M4" s="37">
        <f>SUMIF('Tháng 2 nhà T   '!$B$4:$B$154,K4,'Tháng 2 nhà T   '!$E$4:$E$154)</f>
        <v>19091323.099999998</v>
      </c>
      <c r="N4" s="37">
        <f>SUMIF('Tháng 2 nhà T   '!$B$4:$B$154,K4,'Tháng 2 nhà T   '!$F$4:$F$154)</f>
        <v>8175394.136030037</v>
      </c>
      <c r="O4" s="38">
        <f>SUMIF('Tháng 2 nhà T   '!$B$4:$B$154,K4,'Tháng 2 nhà T   '!$G$4:$G$154)</f>
        <v>90068727.469363362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3867807.3</v>
      </c>
      <c r="F5" s="11">
        <v>2179906.8992278241</v>
      </c>
      <c r="G5" s="12">
        <f>Table521117681522293437414651589[[#This Row],[LỢI NHUẬN RÒNG]]+Table521117681522293437414651589[[#This Row],[VỐN CP]]</f>
        <v>15379906.899227824</v>
      </c>
      <c r="I5" s="11"/>
      <c r="K5" s="36" t="s">
        <v>9</v>
      </c>
      <c r="L5" s="11">
        <f t="shared" si="0"/>
        <v>411664166.66666669</v>
      </c>
      <c r="M5" s="37">
        <f>SUMIF('Tháng 2 nhà T   '!$B$4:$B$154,K5,'Tháng 2 nhà T   '!$E$4:$E$154)</f>
        <v>111271102.66666666</v>
      </c>
      <c r="N5" s="37">
        <f>SUMIF('Tháng 2 nhà T   '!$B$4:$B$154,K5,'Tháng 2 nhà T   '!$F$4:$F$154)</f>
        <v>48313062.236975044</v>
      </c>
      <c r="O5" s="38">
        <f>SUMIF('Tháng 2 nhà T   '!$B$4:$B$154,K5,'Tháng 2 nhà T   '!$G$4:$G$154)</f>
        <v>459977228.9036417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1289269.1000000001</v>
      </c>
      <c r="F6" s="11">
        <v>726635.63307594135</v>
      </c>
      <c r="G6" s="12">
        <f>Table521117681522293437414651589[[#This Row],[LỢI NHUẬN RÒNG]]+Table521117681522293437414651589[[#This Row],[VỐN CP]]</f>
        <v>5126635.6330759414</v>
      </c>
      <c r="K6" s="36" t="s">
        <v>88</v>
      </c>
      <c r="L6" s="11">
        <f t="shared" si="0"/>
        <v>10693333.333333334</v>
      </c>
      <c r="M6" s="37">
        <f>SUMIF('Tháng 2 nhà T   '!$B$4:$B$154,K6,'Tháng 2 nhà T   '!$E$4:$E$154)</f>
        <v>15215.666666666424</v>
      </c>
      <c r="N6" s="37">
        <f>SUMIF('Tháng 2 nhà T   '!$B$4:$B$154,K6,'Tháng 2 nhà T   '!$F$4:$F$154)</f>
        <v>-1196273.2202360071</v>
      </c>
      <c r="O6" s="38">
        <f>SUMIF('Tháng 2 nhà T   '!$B$4:$B$154,K6,'Tháng 2 nhà T   '!$G$4:$G$154)</f>
        <v>9497060.1130973268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2578538.2000000002</v>
      </c>
      <c r="F7" s="11">
        <v>1453271.2661518827</v>
      </c>
      <c r="G7" s="12">
        <f>Table521117681522293437414651589[[#This Row],[LỢI NHUẬN RÒNG]]+Table521117681522293437414651589[[#This Row],[VỐN CP]]</f>
        <v>10253271.266151883</v>
      </c>
      <c r="K7" s="36" t="s">
        <v>89</v>
      </c>
      <c r="L7" s="11">
        <f t="shared" si="0"/>
        <v>6666666.666666666</v>
      </c>
      <c r="M7" s="37">
        <f>SUMIF('Tháng 2 nhà T   '!$B$4:$B$154,K7,'Tháng 2 nhà T   '!$E$4:$E$154)</f>
        <v>257309.63333333432</v>
      </c>
      <c r="N7" s="37">
        <f>SUMIF('Tháng 2 nhà T   '!$B$4:$B$154,K7,'Tháng 2 nhà T   '!$F$4:$F$154)</f>
        <v>-526885.540478991</v>
      </c>
      <c r="O7" s="38">
        <f>SUMIF('Tháng 2 nhà T   '!$B$4:$B$154,K7,'Tháng 2 nhà T   '!$G$4:$G$154)</f>
        <v>6139781.1261876747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1289269.1000000001</v>
      </c>
      <c r="F8" s="11">
        <v>726635.63307594135</v>
      </c>
      <c r="G8" s="12">
        <f>Table521117681522293437414651589[[#This Row],[LỢI NHUẬN RÒNG]]+Table521117681522293437414651589[[#This Row],[VỐN CP]]</f>
        <v>5126635.6330759414</v>
      </c>
      <c r="K8" s="36" t="s">
        <v>19</v>
      </c>
      <c r="L8" s="11">
        <f t="shared" si="0"/>
        <v>413860000</v>
      </c>
      <c r="M8" s="37">
        <f>SUMIF('Tháng 2 nhà T   '!$B$4:$B$154,K8,'Tháng 2 nhà T   '!$E$4:$E$154)</f>
        <v>111594777.58333333</v>
      </c>
      <c r="N8" s="37">
        <f>SUMIF('Tháng 2 nhà T   '!$B$4:$B$154,K8,'Tháng 2 nhà T   '!$F$4:$F$154)</f>
        <v>48243009.416698486</v>
      </c>
      <c r="O8" s="38">
        <f>SUMIF('Tháng 2 nhà T   '!$B$4:$B$154,K8,'Tháng 2 nhà T   '!$G$4:$G$154)</f>
        <v>429577530.10786921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385964.45000000147</v>
      </c>
      <c r="F9" s="11">
        <v>-790328.31071848643</v>
      </c>
      <c r="G9" s="12">
        <f>Table521117681522293437414651589[[#This Row],[LỢI NHUẬN RÒNG]]+Table521117681522293437414651589[[#This Row],[VỐN CP]]</f>
        <v>9209671.6892815139</v>
      </c>
      <c r="K9" s="36" t="s">
        <v>21</v>
      </c>
      <c r="L9" s="11">
        <f t="shared" si="0"/>
        <v>68785000</v>
      </c>
      <c r="M9" s="37">
        <f>SUMIF('Tháng 2 nhà T   '!$B$4:$B$154,K9,'Tháng 2 nhà T   '!$E$4:$E$154)</f>
        <v>23833538.149999999</v>
      </c>
      <c r="N9" s="37">
        <f>SUMIF('Tháng 2 nhà T   '!$B$4:$B$154,K9,'Tháng 2 nhà T   '!$F$4:$F$154)</f>
        <v>12666249.28865977</v>
      </c>
      <c r="O9" s="38">
        <f>SUMIF('Tháng 2 nhà T   '!$B$4:$B$154,K9,'Tháng 2 nhà T   '!$G$4:$G$154)</f>
        <v>81451249.288659781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257309.63333333432</v>
      </c>
      <c r="F10" s="11">
        <v>-526885.540478991</v>
      </c>
      <c r="G10" s="12">
        <f>Table521117681522293437414651589[[#This Row],[LỢI NHUẬN RÒNG]]+Table521117681522293437414651589[[#This Row],[VỐN CP]]</f>
        <v>6139781.1261876747</v>
      </c>
      <c r="K10" s="36" t="s">
        <v>23</v>
      </c>
      <c r="L10" s="11">
        <f t="shared" si="0"/>
        <v>16000000</v>
      </c>
      <c r="M10" s="37">
        <f>SUMIF('Tháng 2 nhà T   '!$B$4:$B$154,K10,'Tháng 2 nhà T   '!$E$4:$E$154)</f>
        <v>4000954.7</v>
      </c>
      <c r="N10" s="37">
        <f>SUMIF('Tháng 2 nhà T   '!$B$4:$B$154,K10,'Tháng 2 nhà T   '!$F$4:$F$154)</f>
        <v>1211547.1046870053</v>
      </c>
      <c r="O10" s="38">
        <f>SUMIF('Tháng 2 nhà T   '!$B$4:$B$154,K10,'Tháng 2 nhà T   '!$G$4:$G$154)</f>
        <v>17211547.104687005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385964.45000000147</v>
      </c>
      <c r="F11" s="11">
        <v>-790328.31071848643</v>
      </c>
      <c r="G11" s="12">
        <f>Table521117681522293437414651589[[#This Row],[LỢI NHUẬN RÒNG]]+Table521117681522293437414651589[[#This Row],[VỐN CP]]</f>
        <v>9209671.6892815139</v>
      </c>
      <c r="J11" s="11"/>
      <c r="K11" s="36" t="s">
        <v>27</v>
      </c>
      <c r="L11" s="11">
        <f t="shared" si="0"/>
        <v>327348333.33333331</v>
      </c>
      <c r="M11" s="37">
        <f>SUMIF('Tháng 2 nhà T   '!$B$4:$B$154,K11,'Tháng 2 nhà T   '!$E$4:$E$154)</f>
        <v>92620923.899999991</v>
      </c>
      <c r="N11" s="37">
        <f>SUMIF('Tháng 2 nhà T   '!$B$4:$B$154,K11,'Tháng 2 nhà T   '!$F$4:$F$154)</f>
        <v>41522856.831049778</v>
      </c>
      <c r="O11" s="38">
        <f>SUMIF(Table521117681522293437414651589[CỔ ĐÔNG],K11,Table521117681522293437414651589[TỔNG NHẬN])</f>
        <v>368871190.16438311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257309.63333333432</v>
      </c>
      <c r="F12" s="11">
        <v>-526885.540478991</v>
      </c>
      <c r="G12" s="12">
        <f>Table521117681522293437414651589[[#This Row],[LỢI NHUẬN RÒNG]]+Table521117681522293437414651589[[#This Row],[VỐN CP]]</f>
        <v>6139781.1261876747</v>
      </c>
      <c r="K12" s="36" t="s">
        <v>31</v>
      </c>
      <c r="L12" s="11">
        <f t="shared" si="0"/>
        <v>44946666.666666664</v>
      </c>
      <c r="M12" s="37">
        <f>SUMIF('Tháng 2 nhà T   '!$B$4:$B$154,K12,'Tháng 2 nhà T   '!$E$4:$E$154)</f>
        <v>8198456.333333334</v>
      </c>
      <c r="N12" s="37">
        <f>SUMIF('Tháng 2 nhà T   '!$B$4:$B$154,K12,'Tháng 2 nhà T   '!$F$4:$F$154)</f>
        <v>2309606.7939673904</v>
      </c>
      <c r="O12" s="38">
        <f>SUMIF('Tháng 2 nhà T   '!$B$4:$B$154,K12,'Tháng 2 nhà T   '!$G$4:$G$154)</f>
        <v>47256273.46063406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257309.63333333432</v>
      </c>
      <c r="F13" s="11">
        <v>-526885.540478991</v>
      </c>
      <c r="G13" s="12">
        <f>Table521117681522293437414651589[[#This Row],[LỢI NHUẬN RÒNG]]+Table521117681522293437414651589[[#This Row],[VỐN CP]]</f>
        <v>6139781.1261876747</v>
      </c>
      <c r="K13" s="36" t="s">
        <v>91</v>
      </c>
      <c r="L13" s="11">
        <f t="shared" si="0"/>
        <v>8400000</v>
      </c>
      <c r="M13" s="37">
        <f>SUMIF('Tháng 2 nhà T   '!$B$4:$B$154,K13,'Tháng 2 nhà T   '!$E$4:$E$154)</f>
        <v>4187536.4333333327</v>
      </c>
      <c r="N13" s="37">
        <f>SUMIF('Tháng 2 nhà T   '!$B$4:$B$154,K13,'Tháng 2 nhà T   '!$F$4:$F$154)</f>
        <v>2483078.7742298292</v>
      </c>
      <c r="O13" s="38">
        <f>SUMIF('Tháng 2 nhà T   '!$B$4:$B$154,K13,'Tháng 2 nhà T   '!$G$4:$G$154)</f>
        <v>10883078.774229828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257309.63333333432</v>
      </c>
      <c r="F14" s="11">
        <v>-526885.540478991</v>
      </c>
      <c r="G14" s="12">
        <f>Table521117681522293437414651589[[#This Row],[LỢI NHUẬN RÒNG]]+Table521117681522293437414651589[[#This Row],[VỐN CP]]</f>
        <v>6139781.1261876747</v>
      </c>
      <c r="K14" s="36" t="s">
        <v>33</v>
      </c>
      <c r="L14" s="11">
        <f t="shared" si="0"/>
        <v>17560000</v>
      </c>
      <c r="M14" s="37">
        <f>SUMIF('Tháng 2 nhà T   '!$B$4:$B$154,K14,'Tháng 2 nhà T   '!$E$4:$E$154)</f>
        <v>2976088.55</v>
      </c>
      <c r="N14" s="37">
        <f>SUMIF('Tháng 2 nhà T   '!$B$4:$B$154,K14,'Tháng 2 nhà T   '!$F$4:$F$154)</f>
        <v>405830.75126027828</v>
      </c>
      <c r="O14" s="38">
        <f>SUMIF('Tháng 2 nhà T   '!$B$4:$B$154,K14,'Tháng 2 nhà T   '!$G$4:$G$154)</f>
        <v>17965830.751260281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514619.26666666864</v>
      </c>
      <c r="F15" s="11">
        <v>-1053771.080957982</v>
      </c>
      <c r="G15" s="12">
        <f>Table521117681522293437414651589[[#This Row],[LỢI NHUẬN RÒNG]]+Table521117681522293437414651589[[#This Row],[VỐN CP]]</f>
        <v>12279562.252375349</v>
      </c>
      <c r="K15" s="25" t="s">
        <v>37</v>
      </c>
      <c r="L15" s="21">
        <f t="shared" si="0"/>
        <v>42353333.333333328</v>
      </c>
      <c r="M15" s="39">
        <f>SUMIF('Tháng 2 nhà T   '!$B$4:$B$154,K15,'Tháng 2 nhà T   '!$E$4:$E$154)</f>
        <v>6838635.5666666692</v>
      </c>
      <c r="N15" s="39">
        <f>SUMIF('Tháng 2 nhà T   '!$B$4:$B$154,K15,'Tháng 2 nhà T   '!$F$4:$F$154)</f>
        <v>1052908.5123153592</v>
      </c>
      <c r="O15" s="40">
        <f>SUMIF('Tháng 2 nhà T   '!$B$4:$B$154,K15,'Tháng 2 nhà T   '!$G$4:$G$154)</f>
        <v>43406241.845648691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-1155073.5</v>
      </c>
      <c r="F16" s="11">
        <v>-1966875.6430705392</v>
      </c>
      <c r="G16" s="12">
        <f>Table521117681522293437414651589[[#This Row],[LỢI NHUẬN RÒNG]]+Table521117681522293437414651589[[#This Row],[VỐN CP]]</f>
        <v>5983124.3569294605</v>
      </c>
      <c r="K16" s="36" t="s">
        <v>25</v>
      </c>
      <c r="L16" s="21">
        <f t="shared" si="0"/>
        <v>2750000</v>
      </c>
      <c r="M16" s="41">
        <f>SUMIF('Tháng 2 nhà T   '!$B$4:$B$154,K16,'Tháng 2 nhà T   '!$E$4:$E$154)</f>
        <v>322600.45</v>
      </c>
      <c r="N16" s="41">
        <f>SUMIF('Tháng 2 nhà T   '!$B$4:$B$154,K16,'Tháng 2 nhà T   '!$F$4:$F$154)</f>
        <v>952.62195871770382</v>
      </c>
      <c r="O16" s="42">
        <f>SUMIF('Tháng 2 nhà T   '!$B$4:$B$154,K16,'Tháng 2 nhà T   '!$G$4:$G$154)</f>
        <v>2750952.6219587177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-1155073.5</v>
      </c>
      <c r="F17" s="11">
        <v>-1966875.6430705392</v>
      </c>
      <c r="G17" s="12">
        <f>Table521117681522293437414651589[[#This Row],[LỢI NHUẬN RÒNG]]+Table521117681522293437414651589[[#This Row],[VỐN CP]]</f>
        <v>5983124.3569294605</v>
      </c>
      <c r="K17" s="25" t="s">
        <v>47</v>
      </c>
      <c r="L17" s="21">
        <f>SUM(L2:L16)</f>
        <v>1474016666.6666667</v>
      </c>
      <c r="M17" s="21">
        <f>SUM(M2:M16)</f>
        <v>388505059.99999994</v>
      </c>
      <c r="N17" s="21">
        <f>SUM(N2:N16)</f>
        <v>164963345.88705587</v>
      </c>
      <c r="O17" s="21">
        <f>SUM(O2:O16)</f>
        <v>1606454533.2448933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-385024.5</v>
      </c>
      <c r="F18" s="11">
        <v>-655625.21435684641</v>
      </c>
      <c r="G18" s="12">
        <f>Table521117681522293437414651589[[#This Row],[LỢI NHUẬN RÒNG]]+Table521117681522293437414651589[[#This Row],[VỐN CP]]</f>
        <v>1994374.7856431536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-770049</v>
      </c>
      <c r="F19" s="11">
        <v>-1311250.4287136928</v>
      </c>
      <c r="G19" s="12">
        <f>Table521117681522293437414651589[[#This Row],[LỢI NHUẬN RÒNG]]+Table521117681522293437414651589[[#This Row],[VỐN CP]]</f>
        <v>3988749.5712863072</v>
      </c>
    </row>
    <row r="20" spans="1:15" ht="15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-385024.5</v>
      </c>
      <c r="F20" s="11">
        <v>-655625.21435684641</v>
      </c>
      <c r="G20" s="12">
        <f>Table521117681522293437414651589[[#This Row],[LỢI NHUẬN RÒNG]]+Table521117681522293437414651589[[#This Row],[VỐN CP]]</f>
        <v>1994374.7856431536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1613002.25</v>
      </c>
      <c r="F21" s="11">
        <v>4763.1097935885191</v>
      </c>
      <c r="G21" s="12">
        <f>Table521117681522293437414651589[[#This Row],[LỢI NHUẬN RÒNG]]+Table521117681522293437414651589[[#This Row],[VỐN CP]]</f>
        <v>13754763.109793589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1613002.25</v>
      </c>
      <c r="F22" s="11">
        <v>4763.1097935885191</v>
      </c>
      <c r="G22" s="12">
        <f>Table521117681522293437414651589[[#This Row],[LỢI NHUẬN RÒNG]]+Table521117681522293437414651589[[#This Row],[VỐN CP]]</f>
        <v>13754763.109793589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322600.45</v>
      </c>
      <c r="F23" s="11">
        <v>952.62195871770382</v>
      </c>
      <c r="G23" s="12">
        <f>Table521117681522293437414651589[[#This Row],[LỢI NHUẬN RÒNG]]+Table521117681522293437414651589[[#This Row],[VỐN CP]]</f>
        <v>2750952.6219587177</v>
      </c>
    </row>
    <row r="24" spans="1:15" ht="15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322600.45</v>
      </c>
      <c r="F24" s="11">
        <v>952.62195871770382</v>
      </c>
      <c r="G24" s="12">
        <f>Table521117681522293437414651589[[#This Row],[LỢI NHUẬN RÒNG]]+Table521117681522293437414651589[[#This Row],[VỐN CP]]</f>
        <v>2750952.6219587177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1290401.8</v>
      </c>
      <c r="F25" s="11">
        <v>3810.4878348708153</v>
      </c>
      <c r="G25" s="12">
        <f>Table521117681522293437414651589[[#This Row],[LỢI NHUẬN RÒNG]]+Table521117681522293437414651589[[#This Row],[VỐN CP]]</f>
        <v>11003810.487834871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645200.9</v>
      </c>
      <c r="F26" s="11">
        <v>1905.2439174354076</v>
      </c>
      <c r="G26" s="12">
        <f>Table521117681522293437414651589[[#This Row],[LỢI NHUẬN RÒNG]]+Table521117681522293437414651589[[#This Row],[VỐN CP]]</f>
        <v>5501905.2439174354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16106020</v>
      </c>
      <c r="F27" s="11">
        <v>7301683.2453452051</v>
      </c>
      <c r="G27" s="12">
        <f>Table521117681522293437414651589[[#This Row],[LỢI NHUẬN RÒNG]]+Table521117681522293437414651589[[#This Row],[VỐN CP]]</f>
        <v>52539183.245345205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18406880</v>
      </c>
      <c r="F28" s="11">
        <v>8344780.8518230915</v>
      </c>
      <c r="G28" s="12">
        <f>Table521117681522293437414651589[[#This Row],[LỢI NHUẬN RÒNG]]+Table521117681522293437414651589[[#This Row],[VỐN CP]]</f>
        <v>60044780.851823092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4601720</v>
      </c>
      <c r="F29" s="11">
        <v>2086195.2129557729</v>
      </c>
      <c r="G29" s="12">
        <f>Table521117681522293437414651589[[#This Row],[LỢI NHUẬN RÒNG]]+Table521117681522293437414651589[[#This Row],[VỐN CP]]</f>
        <v>15011195.212955773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4601720</v>
      </c>
      <c r="F30" s="11">
        <v>2086195.2129557729</v>
      </c>
      <c r="G30" s="12">
        <f>Table521117681522293437414651589[[#This Row],[LỢI NHUẬN RÒNG]]+Table521117681522293437414651589[[#This Row],[VỐN CP]]</f>
        <v>15011195.212955773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2483917.7999999998</v>
      </c>
      <c r="F31" s="11">
        <v>1180283.1944878795</v>
      </c>
      <c r="G31" s="12">
        <f>Table521117681522293437414651589[[#This Row],[LỢI NHUẬN RÒNG]]+Table521117681522293437414651589[[#This Row],[VỐN CP]]</f>
        <v>10280283.194487879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2483917.7999999998</v>
      </c>
      <c r="F32" s="11">
        <v>1180283.1944878795</v>
      </c>
      <c r="G32" s="12">
        <f>Table521117681522293437414651589[[#This Row],[LỢI NHUẬN RÒNG]]+Table521117681522293437414651589[[#This Row],[VỐN CP]]</f>
        <v>10280283.194487879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1419381.6</v>
      </c>
      <c r="F33" s="11">
        <v>674447.53970735963</v>
      </c>
      <c r="G33" s="12">
        <f>Table521117681522293437414651589[[#This Row],[LỢI NHUẬN RÒNG]]+Table521117681522293437414651589[[#This Row],[VỐN CP]]</f>
        <v>5874447.5397073599</v>
      </c>
    </row>
    <row r="34" spans="1:7" ht="15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709690.8</v>
      </c>
      <c r="F34" s="11">
        <v>337223.76985367981</v>
      </c>
      <c r="G34" s="12">
        <f>Table521117681522293437414651589[[#This Row],[LỢI NHUẬN RÒNG]]+Table521117681522293437414651589[[#This Row],[VỐN CP]]</f>
        <v>2937223.7698536799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4133747.8</v>
      </c>
      <c r="F35" s="11">
        <v>2151268.9839615645</v>
      </c>
      <c r="G35" s="12">
        <f>Table521117681522293437414651589[[#This Row],[LỢI NHUẬN RÒNG]]+Table521117681522293437414651589[[#This Row],[VỐN CP]]</f>
        <v>11251268.983961564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4133747.8</v>
      </c>
      <c r="F36" s="11">
        <v>2151268.9839615645</v>
      </c>
      <c r="G36" s="12">
        <f>Table521117681522293437414651589[[#This Row],[LỢI NHUẬN RÒNG]]+Table521117681522293437414651589[[#This Row],[VỐN CP]]</f>
        <v>11251268.983961564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2362141.6</v>
      </c>
      <c r="F37" s="11">
        <v>1229296.5622637509</v>
      </c>
      <c r="G37" s="12">
        <f>Table521117681522293437414651589[[#This Row],[LỢI NHUẬN RÒNG]]+Table521117681522293437414651589[[#This Row],[VỐN CP]]</f>
        <v>6429296.5622637514</v>
      </c>
    </row>
    <row r="38" spans="1:7" ht="15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1181070.8</v>
      </c>
      <c r="F38" s="11">
        <v>614648.28113187547</v>
      </c>
      <c r="G38" s="12">
        <f>Table521117681522293437414651589[[#This Row],[LỢI NHUẬN RÒNG]]+Table521117681522293437414651589[[#This Row],[VỐN CP]]</f>
        <v>3214648.2811318757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1807993.4</v>
      </c>
      <c r="F39" s="11">
        <v>1151835.8737253316</v>
      </c>
      <c r="G39" s="12">
        <f>Table521117681522293437414651589[[#This Row],[LỢI NHUẬN RÒNG]]+Table521117681522293437414651589[[#This Row],[VỐN CP]]</f>
        <v>5951835.8737253314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2711990.1</v>
      </c>
      <c r="F40" s="11">
        <v>1727753.8105879975</v>
      </c>
      <c r="G40" s="12">
        <f>Table521117681522293437414651589[[#This Row],[LỢI NHUẬN RÒNG]]+Table521117681522293437414651589[[#This Row],[VỐN CP]]</f>
        <v>8927753.8105879985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2711990.1</v>
      </c>
      <c r="F41" s="11">
        <v>1727753.8105879975</v>
      </c>
      <c r="G41" s="12">
        <f>Table521117681522293437414651589[[#This Row],[LỢI NHUẬN RÒNG]]+Table521117681522293437414651589[[#This Row],[VỐN CP]]</f>
        <v>8927753.8105879985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1807993.4</v>
      </c>
      <c r="F42" s="11">
        <v>1151835.8737253316</v>
      </c>
      <c r="G42" s="12">
        <f>Table521117681522293437414651589[[#This Row],[LỢI NHUẬN RÒNG]]+Table521117681522293437414651589[[#This Row],[VỐN CP]]</f>
        <v>5951835.8737253314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1679700.6</v>
      </c>
      <c r="F43" s="11">
        <v>807087.9487008244</v>
      </c>
      <c r="G43" s="12">
        <f>Table521117681522293437414651589[[#This Row],[LỢI NHUẬN RÒNG]]+Table521117681522293437414651589[[#This Row],[VỐN CP]]</f>
        <v>4607087.9487008248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2099625.75</v>
      </c>
      <c r="F44" s="11">
        <v>1008859.9358760305</v>
      </c>
      <c r="G44" s="12">
        <f>Table521117681522293437414651589[[#This Row],[LỢI NHUẬN RÒNG]]+Table521117681522293437414651589[[#This Row],[VỐN CP]]</f>
        <v>6008859.9358760305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2099625.75</v>
      </c>
      <c r="F45" s="11">
        <v>1008859.9358760305</v>
      </c>
      <c r="G45" s="12">
        <f>Table521117681522293437414651589[[#This Row],[LỢI NHUẬN RÒNG]]+Table521117681522293437414651589[[#This Row],[VỐN CP]]</f>
        <v>6008859.9358760305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2519550.9</v>
      </c>
      <c r="F46" s="11">
        <v>1210631.9230512367</v>
      </c>
      <c r="G46" s="12">
        <f>Table521117681522293437414651589[[#This Row],[LỢI NHUẬN RÒNG]]+Table521117681522293437414651589[[#This Row],[VỐN CP]]</f>
        <v>6910631.9230512362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1997957</v>
      </c>
      <c r="F47" s="11">
        <v>1279426.7373941899</v>
      </c>
      <c r="G47" s="12">
        <f>Table521117681522293437414651589[[#This Row],[LỢI NHUẬN RÒNG]]+Table521117681522293437414651589[[#This Row],[VỐN CP]]</f>
        <v>6679426.7373941895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2996935.5</v>
      </c>
      <c r="F48" s="11">
        <v>1919140.1060912847</v>
      </c>
      <c r="G48" s="12">
        <f>Table521117681522293437414651589[[#This Row],[LỢI NHUẬN RÒNG]]+Table521117681522293437414651589[[#This Row],[VỐN CP]]</f>
        <v>10019140.106091285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2996935.5</v>
      </c>
      <c r="F49" s="11">
        <v>1919140.1060912847</v>
      </c>
      <c r="G49" s="12">
        <f>Table521117681522293437414651589[[#This Row],[LỢI NHUẬN RÒNG]]+Table521117681522293437414651589[[#This Row],[VỐN CP]]</f>
        <v>10019140.106091285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1997957</v>
      </c>
      <c r="F50" s="11">
        <v>1279426.7373941899</v>
      </c>
      <c r="G50" s="12">
        <f>Table521117681522293437414651589[[#This Row],[LỢI NHUẬN RÒNG]]+Table521117681522293437414651589[[#This Row],[VỐN CP]]</f>
        <v>6679426.7373941895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-190770.6</v>
      </c>
      <c r="F51" s="11">
        <v>-836972.56448132847</v>
      </c>
      <c r="G51" s="12">
        <f>Table521117681522293437414651589[[#This Row],[LỢI NHUẬN RÒNG]]+Table521117681522293437414651589[[#This Row],[VỐN CP]]</f>
        <v>5763027.4355186718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-286155.90000000002</v>
      </c>
      <c r="F52" s="11">
        <v>-1255458.8467219926</v>
      </c>
      <c r="G52" s="12">
        <f>Table521117681522293437414651589[[#This Row],[LỢI NHUẬN RÒNG]]+Table521117681522293437414651589[[#This Row],[VỐN CP]]</f>
        <v>8644541.1532780081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-286155.90000000002</v>
      </c>
      <c r="F53" s="11">
        <v>-1255458.8467219926</v>
      </c>
      <c r="G53" s="12">
        <f>Table521117681522293437414651589[[#This Row],[LỢI NHUẬN RÒNG]]+Table521117681522293437414651589[[#This Row],[VỐN CP]]</f>
        <v>8644541.1532780081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-190770.6</v>
      </c>
      <c r="F54" s="11">
        <v>-836972.56448132847</v>
      </c>
      <c r="G54" s="12">
        <f>Table521117681522293437414651589[[#This Row],[LỢI NHUẬN RÒNG]]+Table521117681522293437414651589[[#This Row],[VỐN CP]]</f>
        <v>5763027.4355186718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8323599.2999999998</v>
      </c>
      <c r="F55" s="11">
        <v>6162890.4880529474</v>
      </c>
      <c r="G55" s="12">
        <f>Table521117681522293437414651589[[#This Row],[LỢI NHUẬN RÒNG]]+Table521117681522293437414651589[[#This Row],[VỐN CP]]</f>
        <v>20412890.488052949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6936332.75</v>
      </c>
      <c r="F56" s="11">
        <v>5135742.0733774565</v>
      </c>
      <c r="G56" s="12">
        <f>Table521117681522293437414651589[[#This Row],[LỢI NHUẬN RÒNG]]+Table521117681522293437414651589[[#This Row],[VỐN CP]]</f>
        <v>17010742.073377457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6936332.75</v>
      </c>
      <c r="F57" s="11">
        <v>5135742.0733774565</v>
      </c>
      <c r="G57" s="12">
        <f>Table521117681522293437414651589[[#This Row],[LỢI NHUẬN RÒNG]]+Table521117681522293437414651589[[#This Row],[VỐN CP]]</f>
        <v>17010742.073377457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5549066.2000000002</v>
      </c>
      <c r="F58" s="11">
        <v>4108593.6587019651</v>
      </c>
      <c r="G58" s="12">
        <f>Table521117681522293437414651589[[#This Row],[LỢI NHUẬN RÒNG]]+Table521117681522293437414651589[[#This Row],[VỐN CP]]</f>
        <v>13608593.658701966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2059085.1</v>
      </c>
      <c r="F59" s="11">
        <v>-305580.01848342863</v>
      </c>
      <c r="G59" s="12">
        <f>Table521117681522293437414651589[[#This Row],[LỢI NHUẬN RÒNG]]+Table521117681522293437414651589[[#This Row],[VỐN CP]]</f>
        <v>19644419.98151657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1715904.25</v>
      </c>
      <c r="F60" s="11">
        <v>-254650.01540285721</v>
      </c>
      <c r="G60" s="12">
        <f>Table521117681522293437414651589[[#This Row],[LỢI NHUẬN RÒNG]]+Table521117681522293437414651589[[#This Row],[VỐN CP]]</f>
        <v>16370349.984597143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1715904.25</v>
      </c>
      <c r="F61" s="11">
        <v>-254650.01540285721</v>
      </c>
      <c r="G61" s="12">
        <f>Table521117681522293437414651589[[#This Row],[LỢI NHUẬN RÒNG]]+Table521117681522293437414651589[[#This Row],[VỐN CP]]</f>
        <v>16370349.984597143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1372723.4</v>
      </c>
      <c r="F62" s="11">
        <v>-203720.01232228577</v>
      </c>
      <c r="G62" s="12">
        <f>Table521117681522293437414651589[[#This Row],[LỢI NHUẬN RÒNG]]+Table521117681522293437414651589[[#This Row],[VỐN CP]]</f>
        <v>13096279.987677714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-35334.25</v>
      </c>
      <c r="F63" s="11">
        <v>-1074916.3690335657</v>
      </c>
      <c r="G63" s="12">
        <f>Table521117681522293437414651589[[#This Row],[LỢI NHUẬN RÒNG]]+Table521117681522293437414651589[[#This Row],[VỐN CP]]</f>
        <v>6425083.6309664343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-35334.25</v>
      </c>
      <c r="F64" s="11">
        <v>-1074916.3690335657</v>
      </c>
      <c r="G64" s="12">
        <f>Table521117681522293437414651589[[#This Row],[LỢI NHUẬN RÒNG]]+Table521117681522293437414651589[[#This Row],[VỐN CP]]</f>
        <v>6425083.6309664343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-70668.5</v>
      </c>
      <c r="F65" s="11">
        <v>-2149832.7380671315</v>
      </c>
      <c r="G65" s="12">
        <f>Table521117681522293437414651589[[#This Row],[LỢI NHUẬN RÒNG]]+Table521117681522293437414651589[[#This Row],[VỐN CP]]</f>
        <v>12850167.261932869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5445627.5</v>
      </c>
      <c r="F66" s="11">
        <v>3341906.9538508449</v>
      </c>
      <c r="G66" s="12">
        <f>Table521117681522293437414651589[[#This Row],[LỢI NHUẬN RÒNG]]+Table521117681522293437414651589[[#This Row],[VỐN CP]]</f>
        <v>13341906.953850845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5445627.5</v>
      </c>
      <c r="F67" s="11">
        <v>3341906.9538508449</v>
      </c>
      <c r="G67" s="12">
        <f>Table521117681522293437414651589[[#This Row],[LỢI NHUẬN RÒNG]]+Table521117681522293437414651589[[#This Row],[VỐN CP]]</f>
        <v>13341906.953850845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10891255</v>
      </c>
      <c r="F68" s="11">
        <v>6683813.9077016897</v>
      </c>
      <c r="G68" s="12">
        <f>Table521117681522293437414651589[[#This Row],[LỢI NHUẬN RÒNG]]+Table521117681522293437414651589[[#This Row],[VỐN CP]]</f>
        <v>26683813.90770169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-130919.25</v>
      </c>
      <c r="F69" s="11">
        <v>-1399246.6126617307</v>
      </c>
      <c r="G69" s="12">
        <f>Table521117681522293437414651589[[#This Row],[LỢI NHUẬN RÒNG]]+Table521117681522293437414651589[[#This Row],[VỐN CP]]</f>
        <v>9450753.3873382695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-130919.25</v>
      </c>
      <c r="F70" s="11">
        <v>-1399246.6126617307</v>
      </c>
      <c r="G70" s="12">
        <f>Table521117681522293437414651589[[#This Row],[LỢI NHUẬN RÒNG]]+Table521117681522293437414651589[[#This Row],[VỐN CP]]</f>
        <v>9450753.3873382695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-74811</v>
      </c>
      <c r="F71" s="11">
        <v>-799569.49294956028</v>
      </c>
      <c r="G71" s="12">
        <f>Table521117681522293437414651589[[#This Row],[LỢI NHUẬN RÒNG]]+Table521117681522293437414651589[[#This Row],[VỐN CP]]</f>
        <v>5400430.5070504397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-37405.5</v>
      </c>
      <c r="F72" s="11">
        <v>-399784.74647478014</v>
      </c>
      <c r="G72" s="12">
        <f>Table521117681522293437414651589[[#This Row],[LỢI NHUẬN RÒNG]]+Table521117681522293437414651589[[#This Row],[VỐN CP]]</f>
        <v>2700215.2535252199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4758348</v>
      </c>
      <c r="F73" s="11">
        <v>2754006.8754010946</v>
      </c>
      <c r="G73" s="12">
        <f>Table521117681522293437414651589[[#This Row],[LỢI NHUẬN RÒNG]]+Table521117681522293437414651589[[#This Row],[VỐN CP]]</f>
        <v>7554006.8754010946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4758348</v>
      </c>
      <c r="F74" s="11">
        <v>2754006.8754010946</v>
      </c>
      <c r="G74" s="12">
        <f>Table521117681522293437414651589[[#This Row],[LỢI NHUẬN RÒNG]]+Table521117681522293437414651589[[#This Row],[VỐN CP]]</f>
        <v>7554006.8754010946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11895870</v>
      </c>
      <c r="F75" s="11">
        <v>6885017.1885027364</v>
      </c>
      <c r="G75" s="12">
        <f>Table521117681522293437414651589[[#This Row],[LỢI NHUẬN RÒNG]]+Table521117681522293437414651589[[#This Row],[VỐN CP]]</f>
        <v>18885017.188502736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2379174</v>
      </c>
      <c r="F76" s="11">
        <v>1377003.4377005473</v>
      </c>
      <c r="G76" s="12">
        <f>Table521117681522293437414651589[[#This Row],[LỢI NHUẬN RÒNG]]+Table521117681522293437414651589[[#This Row],[VỐN CP]]</f>
        <v>3777003.4377005473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3616724.8666666658</v>
      </c>
      <c r="F77" s="11">
        <v>2212150.6730585634</v>
      </c>
      <c r="G77" s="12">
        <f>Table521117681522293437414651589[[#This Row],[LỢI NHUẬN RÒNG]]+Table521117681522293437414651589[[#This Row],[VỐN CP]]</f>
        <v>14212150.673058564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3616724.8666666658</v>
      </c>
      <c r="F78" s="11">
        <v>2212150.6730585634</v>
      </c>
      <c r="G78" s="12">
        <f>Table521117681522293437414651589[[#This Row],[LỢI NHUẬN RÒNG]]+Table521117681522293437414651589[[#This Row],[VỐN CP]]</f>
        <v>14212150.673058564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9041812.1666666642</v>
      </c>
      <c r="F79" s="11">
        <v>5530376.6826464077</v>
      </c>
      <c r="G79" s="12">
        <f>Table521117681522293437414651589[[#This Row],[LỢI NHUẬN RÒNG]]+Table521117681522293437414651589[[#This Row],[VỐN CP]]</f>
        <v>35530376.682646409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1808362.4333333329</v>
      </c>
      <c r="F80" s="11">
        <v>1106075.3365292817</v>
      </c>
      <c r="G80" s="12">
        <f>Table521117681522293437414651589[[#This Row],[LỢI NHUẬN RÒNG]]+Table521117681522293437414651589[[#This Row],[VỐN CP]]</f>
        <v>7106075.3365292819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2787440.95</v>
      </c>
      <c r="F81" s="11">
        <v>1311274.604616785</v>
      </c>
      <c r="G81" s="12">
        <f>Table521117681522293437414651589[[#This Row],[LỢI NHUẬN RÒNG]]+Table521117681522293437414651589[[#This Row],[VỐN CP]]</f>
        <v>9501274.6046167854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2787440.95</v>
      </c>
      <c r="F82" s="11">
        <v>1311274.604616785</v>
      </c>
      <c r="G82" s="12">
        <f>Table521117681522293437414651589[[#This Row],[LỢI NHUẬN RÒNG]]+Table521117681522293437414651589[[#This Row],[VỐN CP]]</f>
        <v>9501274.6046167854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2389235.1</v>
      </c>
      <c r="F83" s="11">
        <v>1123949.6611001014</v>
      </c>
      <c r="G83" s="12">
        <f>Table521117681522293437414651589[[#This Row],[LỢI NHUẬN RÒNG]]+Table521117681522293437414651589[[#This Row],[VỐN CP]]</f>
        <v>8143949.6611001017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4090167.6</v>
      </c>
      <c r="F84" s="11">
        <v>2722564.2693479531</v>
      </c>
      <c r="G84" s="12">
        <f>Table521117681522293437414651589[[#This Row],[LỢI NHUẬN RÒNG]]+Table521117681522293437414651589[[#This Row],[VỐN CP]]</f>
        <v>10222564.269347953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4090167.6</v>
      </c>
      <c r="F85" s="11">
        <v>2722564.2693479531</v>
      </c>
      <c r="G85" s="12">
        <f>Table521117681522293437414651589[[#This Row],[LỢI NHUẬN RÒNG]]+Table521117681522293437414651589[[#This Row],[VỐN CP]]</f>
        <v>10222564.269347953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2045083.8</v>
      </c>
      <c r="F86" s="11">
        <v>1361282.1346739766</v>
      </c>
      <c r="G86" s="12">
        <f>Table521117681522293437414651589[[#This Row],[LỢI NHUẬN RÒNG]]+Table521117681522293437414651589[[#This Row],[VỐN CP]]</f>
        <v>5111282.1346739763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3408473</v>
      </c>
      <c r="F87" s="11">
        <v>2268803.5577899609</v>
      </c>
      <c r="G87" s="12">
        <f>Table521117681522293437414651589[[#This Row],[LỢI NHUẬN RÒNG]]+Table521117681522293437414651589[[#This Row],[VỐN CP]]</f>
        <v>8518803.5577899609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33000000</v>
      </c>
      <c r="E88" s="11">
        <v>12142790.699999999</v>
      </c>
      <c r="F88" s="11">
        <v>6030575.1705951514</v>
      </c>
      <c r="G88" s="12">
        <f>Table521117681522293437414651589[[#This Row],[LỢI NHUẬN RÒNG]]+Table521117681522293437414651589[[#This Row],[VỐN CP]]</f>
        <v>39030575.170595154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27500000</v>
      </c>
      <c r="E89" s="11">
        <v>10118992.25</v>
      </c>
      <c r="F89" s="11">
        <v>5025479.3088292927</v>
      </c>
      <c r="G89" s="12"/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16500000</v>
      </c>
      <c r="E90" s="11">
        <v>6071395.3499999996</v>
      </c>
      <c r="F90" s="11">
        <v>3015287.5852975757</v>
      </c>
      <c r="G90" s="12">
        <f>Table521117681522293437414651589[[#This Row],[LỢI NHUẬN RÒNG]]+Table521117681522293437414651589[[#This Row],[VỐN CP]]</f>
        <v>19515287.585297577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22000000</v>
      </c>
      <c r="E91" s="11">
        <v>8095193.7999999998</v>
      </c>
      <c r="F91" s="11">
        <v>4020383.4470634339</v>
      </c>
      <c r="G91" s="12">
        <f>Table521117681522293437414651589[[#This Row],[LỢI NHUẬN RÒNG]]+Table521117681522293437414651589[[#This Row],[VỐN CP]]</f>
        <v>26020383.447063435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11000000</v>
      </c>
      <c r="E92" s="11">
        <v>4047596.9</v>
      </c>
      <c r="F92" s="11">
        <v>2010191.723531717</v>
      </c>
      <c r="G92" s="12">
        <f>Table521117681522293437414651589[[#This Row],[LỢI NHUẬN RÒNG]]+Table521117681522293437414651589[[#This Row],[VỐN CP]]</f>
        <v>13010191.723531717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2030966.25</v>
      </c>
      <c r="F93" s="11">
        <v>581595.37313656509</v>
      </c>
      <c r="G93" s="12">
        <f>Table521117681522293437414651589[[#This Row],[LỢI NHUẬN RÒNG]]+Table521117681522293437414651589[[#This Row],[VỐN CP]]</f>
        <v>13081595.373136565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2030966.25</v>
      </c>
      <c r="F94" s="11">
        <v>581595.37313656509</v>
      </c>
      <c r="G94" s="12">
        <f>Table521117681522293437414651589[[#This Row],[LỢI NHUẬN RÒNG]]+Table521117681522293437414651589[[#This Row],[VỐN CP]]</f>
        <v>13081595.373136565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812386.5</v>
      </c>
      <c r="F95" s="11">
        <v>232638.14925462604</v>
      </c>
      <c r="G95" s="12">
        <f>Table521117681522293437414651589[[#This Row],[LỢI NHUẬN RÒNG]]+Table521117681522293437414651589[[#This Row],[VỐN CP]]</f>
        <v>5232638.1492546257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3249546</v>
      </c>
      <c r="F96" s="11">
        <v>930552.59701850417</v>
      </c>
      <c r="G96" s="12">
        <f>Table521117681522293437414651589[[#This Row],[LỢI NHUẬN RÒNG]]+Table521117681522293437414651589[[#This Row],[VỐN CP]]</f>
        <v>20930552.597018503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14400000</v>
      </c>
      <c r="E97" s="11">
        <v>-428094.5</v>
      </c>
      <c r="F97" s="11">
        <v>-1910137.4007041191</v>
      </c>
      <c r="G97" s="12">
        <f>Table521117681522293437414651589[[#This Row],[LỢI NHUẬN RÒNG]]+Table521117681522293437414651589[[#This Row],[VỐN CP]]</f>
        <v>12489862.599295881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5760000</v>
      </c>
      <c r="E98" s="11">
        <v>-171237.8</v>
      </c>
      <c r="F98" s="11">
        <v>-764054.96028164774</v>
      </c>
      <c r="G98" s="12">
        <f>Table521117681522293437414651589[[#This Row],[LỢI NHUẬN RÒNG]]+Table521117681522293437414651589[[#This Row],[VỐN CP]]</f>
        <v>4995945.0397183523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14400000</v>
      </c>
      <c r="E99" s="11">
        <v>-428094.5</v>
      </c>
      <c r="F99" s="11">
        <v>-1910137.4007041191</v>
      </c>
      <c r="G99" s="12">
        <f>Table521117681522293437414651589[[#This Row],[LỢI NHUẬN RÒNG]]+Table521117681522293437414651589[[#This Row],[VỐN CP]]</f>
        <v>12489862.599295881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11520000</v>
      </c>
      <c r="E100" s="11">
        <v>-342475.6</v>
      </c>
      <c r="F100" s="11">
        <v>-1528109.9205632955</v>
      </c>
      <c r="G100" s="12">
        <f>Table521117681522293437414651589[[#This Row],[LỢI NHUẬN RÒNG]]+Table521117681522293437414651589[[#This Row],[VỐN CP]]</f>
        <v>9991890.0794367045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11520000</v>
      </c>
      <c r="E101" s="11">
        <v>-342475.6</v>
      </c>
      <c r="F101" s="11">
        <v>-1528109.9205632955</v>
      </c>
      <c r="G101" s="12">
        <f>Table521117681522293437414651589[[#This Row],[LỢI NHUẬN RÒNG]]+Table521117681522293437414651589[[#This Row],[VỐN CP]]</f>
        <v>9991890.0794367045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2869377.5</v>
      </c>
      <c r="F102" s="11">
        <v>271578.2316821292</v>
      </c>
      <c r="G102" s="12">
        <f>Table521117681522293437414651589[[#This Row],[LỢI NHUẬN RÒNG]]+Table521117681522293437414651589[[#This Row],[VỐN CP]]</f>
        <v>17671578.231682129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2869377.5</v>
      </c>
      <c r="F103" s="11">
        <v>271578.2316821292</v>
      </c>
      <c r="G103" s="12">
        <f>Table521117681522293437414651589[[#This Row],[LỢI NHUẬN RÒNG]]+Table521117681522293437414651589[[#This Row],[VỐN CP]]</f>
        <v>17671578.231682129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2295502</v>
      </c>
      <c r="F104" s="11">
        <v>217262.58534570335</v>
      </c>
      <c r="G104" s="12">
        <f>Table521117681522293437414651589[[#This Row],[LỢI NHUẬN RÒNG]]+Table521117681522293437414651589[[#This Row],[VỐN CP]]</f>
        <v>14137262.585345704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2295502</v>
      </c>
      <c r="F105" s="11">
        <v>217262.58534570335</v>
      </c>
      <c r="G105" s="12">
        <f>Table521117681522293437414651589[[#This Row],[LỢI NHUẬN RÒNG]]+Table521117681522293437414651589[[#This Row],[VỐN CP]]</f>
        <v>14137262.585345704</v>
      </c>
    </row>
    <row r="106" spans="1:7" ht="15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1147751</v>
      </c>
      <c r="F106" s="11">
        <v>108631.29267285168</v>
      </c>
      <c r="G106" s="12">
        <f>Table521117681522293437414651589[[#This Row],[LỢI NHUẬN RÒNG]]+Table521117681522293437414651589[[#This Row],[VỐN CP]]</f>
        <v>7068631.2926728521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8412319.3000000007</v>
      </c>
      <c r="F107" s="11">
        <v>5401576.5025419379</v>
      </c>
      <c r="G107" s="12">
        <f>Table521117681522293437414651589[[#This Row],[LỢI NHUẬN RÒNG]]+Table521117681522293437414651589[[#This Row],[VỐN CP]]</f>
        <v>33401576.502541937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8412319.3000000007</v>
      </c>
      <c r="F108" s="11">
        <v>5401576.5025419379</v>
      </c>
      <c r="G108" s="12">
        <f>Table521117681522293437414651589[[#This Row],[LỢI NHUẬN RÒNG]]+Table521117681522293437414651589[[#This Row],[VỐN CP]]</f>
        <v>33401576.502541937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4807039.5999999996</v>
      </c>
      <c r="F109" s="11">
        <v>3086615.1443096786</v>
      </c>
      <c r="G109" s="12">
        <f>Table521117681522293437414651589[[#This Row],[LỢI NHUẬN RÒNG]]+Table521117681522293437414651589[[#This Row],[VỐN CP]]</f>
        <v>19086615.144309677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2403519.7999999998</v>
      </c>
      <c r="F110" s="11">
        <v>1543307.5721548393</v>
      </c>
      <c r="G110" s="12">
        <f>Table521117681522293437414651589[[#This Row],[LỢI NHUẬN RÒNG]]+Table521117681522293437414651589[[#This Row],[VỐN CP]]</f>
        <v>9543307.5721548386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1954521</v>
      </c>
      <c r="F111" s="11">
        <v>725645.91328897025</v>
      </c>
      <c r="G111" s="12">
        <f>Table521117681522293437414651589[[#This Row],[LỢI NHUẬN RÒNG]]+Table521117681522293437414651589[[#This Row],[VỐN CP]]</f>
        <v>6125645.9132889705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1954521</v>
      </c>
      <c r="F112" s="11">
        <v>725645.91328897025</v>
      </c>
      <c r="G112" s="12">
        <f>Table521117681522293437414651589[[#This Row],[LỢI NHUẬN RÒNG]]+Table521117681522293437414651589[[#This Row],[VỐN CP]]</f>
        <v>6125645.9132889705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1303014</v>
      </c>
      <c r="F113" s="11">
        <v>483763.94219264685</v>
      </c>
      <c r="G113" s="12">
        <f>Table521117681522293437414651589[[#This Row],[LỢI NHUẬN RÒNG]]+Table521117681522293437414651589[[#This Row],[VỐN CP]]</f>
        <v>4083763.9421926467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1303014</v>
      </c>
      <c r="F114" s="11">
        <v>483763.94219264685</v>
      </c>
      <c r="G114" s="12">
        <f>Table521117681522293437414651589[[#This Row],[LỢI NHUẬN RÒNG]]+Table521117681522293437414651589[[#This Row],[VỐN CP]]</f>
        <v>4083763.9421926467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2828331.3</v>
      </c>
      <c r="F115" s="11">
        <v>742717.5198595986</v>
      </c>
      <c r="G115" s="12">
        <f>Table521117681522293437414651589[[#This Row],[LỢI NHUẬN RÒNG]]+Table521117681522293437414651589[[#This Row],[VỐN CP]]</f>
        <v>11842717.519859599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2828331.3</v>
      </c>
      <c r="F116" s="11">
        <v>742717.5198595986</v>
      </c>
      <c r="G116" s="12">
        <f>Table521117681522293437414651589[[#This Row],[LỢI NHUẬN RÒNG]]+Table521117681522293437414651589[[#This Row],[VỐN CP]]</f>
        <v>11842717.519859599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1885554.2</v>
      </c>
      <c r="F117" s="11">
        <v>495145.01323973236</v>
      </c>
      <c r="G117" s="12">
        <f>Table521117681522293437414651589[[#This Row],[LỢI NHUẬN RÒNG]]+Table521117681522293437414651589[[#This Row],[VỐN CP]]</f>
        <v>7895145.013239732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1885554.2</v>
      </c>
      <c r="F118" s="11">
        <v>495145.01323973236</v>
      </c>
      <c r="G118" s="12">
        <f>Table521117681522293437414651589[[#This Row],[LỢI NHUẬN RÒNG]]+Table521117681522293437414651589[[#This Row],[VỐN CP]]</f>
        <v>7895145.013239732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4087816.75</v>
      </c>
      <c r="F119" s="11">
        <v>3446468.04215986</v>
      </c>
      <c r="G119" s="12">
        <f>Table521117681522293437414651589[[#This Row],[LỢI NHUẬN RÒNG]]+Table521117681522293437414651589[[#This Row],[VỐN CP]]</f>
        <v>8446468.0421598591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4087816.75</v>
      </c>
      <c r="F120" s="11">
        <v>3446468.04215986</v>
      </c>
      <c r="G120" s="12">
        <f>Table521117681522293437414651589[[#This Row],[LỢI NHUẬN RÒNG]]+Table521117681522293437414651589[[#This Row],[VỐN CP]]</f>
        <v>8446468.0421598591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4905380.0999999996</v>
      </c>
      <c r="F121" s="11">
        <v>4135761.6505918317</v>
      </c>
      <c r="G121" s="12">
        <f>Table521117681522293437414651589[[#This Row],[LỢI NHUẬN RÒNG]]+Table521117681522293437414651589[[#This Row],[VỐN CP]]</f>
        <v>10135761.650591832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1635126.7</v>
      </c>
      <c r="F122" s="11">
        <v>1378587.216863944</v>
      </c>
      <c r="G122" s="12">
        <f>Table521117681522293437414651589[[#This Row],[LỢI NHUẬN RÒNG]]+Table521117681522293437414651589[[#This Row],[VỐN CP]]</f>
        <v>3378587.2168639442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1635126.7</v>
      </c>
      <c r="F123" s="11">
        <v>1378587.216863944</v>
      </c>
      <c r="G123" s="12">
        <f>Table521117681522293437414651589[[#This Row],[LỢI NHUẬN RÒNG]]+Table521117681522293437414651589[[#This Row],[VỐN CP]]</f>
        <v>3378587.2168639442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2017590.6</v>
      </c>
      <c r="F124" s="11">
        <v>1120749.0696408637</v>
      </c>
      <c r="G124" s="12">
        <f>Table521117681522293437414651589[[#This Row],[LỢI NHUẬN RÒNG]]+Table521117681522293437414651589[[#This Row],[VỐN CP]]</f>
        <v>6160749.0696408637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2017590.6</v>
      </c>
      <c r="F125" s="11">
        <v>1120749.0696408637</v>
      </c>
      <c r="G125" s="12">
        <f>Table521117681522293437414651589[[#This Row],[LỢI NHUẬN RÒNG]]+Table521117681522293437414651589[[#This Row],[VỐN CP]]</f>
        <v>6160749.0696408637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1345060.4</v>
      </c>
      <c r="F126" s="11">
        <v>747166.04642724246</v>
      </c>
      <c r="G126" s="12">
        <f>Table521117681522293437414651589[[#This Row],[LỢI NHUẬN RÒNG]]+Table521117681522293437414651589[[#This Row],[VỐN CP]]</f>
        <v>4107166.0464272425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1345060.4</v>
      </c>
      <c r="F127" s="11">
        <v>747166.04642724246</v>
      </c>
      <c r="G127" s="12">
        <f>Table521117681522293437414651589[[#This Row],[LỢI NHUẬN RÒNG]]+Table521117681522293437414651589[[#This Row],[VỐN CP]]</f>
        <v>4107166.0464272425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3443189.05</v>
      </c>
      <c r="F128" s="11">
        <v>861037.00704341498</v>
      </c>
      <c r="G128" s="12">
        <f>Table521117681522293437414651589[[#This Row],[LỢI NHUẬN RÒNG]]+Table521117681522293437414651589[[#This Row],[VỐN CP]]</f>
        <v>16611037.007043416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3443189.05</v>
      </c>
      <c r="F129" s="11">
        <v>861037.00704341498</v>
      </c>
      <c r="G129" s="12">
        <f>Table521117681522293437414651589[[#This Row],[LỢI NHUẬN RÒNG]]+Table521117681522293437414651589[[#This Row],[VỐN CP]]</f>
        <v>16611037.007043416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1967536.6</v>
      </c>
      <c r="F130" s="11">
        <v>492021.14688195137</v>
      </c>
      <c r="G130" s="12">
        <f>Table521117681522293437414651589[[#This Row],[LỢI NHUẬN RÒNG]]+Table521117681522293437414651589[[#This Row],[VỐN CP]]</f>
        <v>9492021.146881951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983768.3</v>
      </c>
      <c r="F131" s="11">
        <v>246010.57344097568</v>
      </c>
      <c r="G131" s="12">
        <f>Table521117681522293437414651589[[#This Row],[LỢI NHUẬN RÒNG]]+Table521117681522293437414651589[[#This Row],[VỐN CP]]</f>
        <v>4746010.5734409755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2466666.666666667</v>
      </c>
      <c r="E132" s="11">
        <v>93226.733333333206</v>
      </c>
      <c r="F132" s="11">
        <v>-216109.12997717969</v>
      </c>
      <c r="G132" s="12">
        <f>Table521117681522293437414651589[[#This Row],[LỢI NHUẬN RÒNG]]+Table521117681522293437414651589[[#This Row],[VỐN CP]]</f>
        <v>2250557.5366894873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3700000.0000000005</v>
      </c>
      <c r="E133" s="11">
        <v>139840.0999999998</v>
      </c>
      <c r="F133" s="11">
        <v>-324163.69496576954</v>
      </c>
      <c r="G133" s="12">
        <f>Table521117681522293437414651589[[#This Row],[LỢI NHUẬN RÒNG]]+Table521117681522293437414651589[[#This Row],[VỐN CP]]</f>
        <v>3375836.3050342309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4933333.333333334</v>
      </c>
      <c r="E134" s="11">
        <v>186453.46666666641</v>
      </c>
      <c r="F134" s="11">
        <v>-432218.25995435938</v>
      </c>
      <c r="G134" s="12">
        <f>Table521117681522293437414651589[[#This Row],[LỢI NHUẬN RÒNG]]+Table521117681522293437414651589[[#This Row],[VỐN CP]]</f>
        <v>4501115.0733789746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4933333.333333334</v>
      </c>
      <c r="E135" s="11">
        <v>186453.46666666641</v>
      </c>
      <c r="F135" s="11">
        <v>-432218.25995435938</v>
      </c>
      <c r="G135" s="12">
        <f>Table521117681522293437414651589[[#This Row],[LỢI NHUẬN RÒNG]]+Table521117681522293437414651589[[#This Row],[VỐN CP]]</f>
        <v>4501115.0733789746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4933333.333333334</v>
      </c>
      <c r="E136" s="11">
        <v>186453.46666666641</v>
      </c>
      <c r="F136" s="11">
        <v>-432218.25995435938</v>
      </c>
      <c r="G136" s="12">
        <f>Table521117681522293437414651589[[#This Row],[LỢI NHUẬN RÒNG]]+Table521117681522293437414651589[[#This Row],[VỐN CP]]</f>
        <v>4501115.0733789746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3700000.0000000005</v>
      </c>
      <c r="E137" s="11">
        <v>139840.0999999998</v>
      </c>
      <c r="F137" s="11">
        <v>-324163.69496576954</v>
      </c>
      <c r="G137" s="12">
        <f>Table521117681522293437414651589[[#This Row],[LỢI NHUẬN RÒNG]]+Table521117681522293437414651589[[#This Row],[VỐN CP]]</f>
        <v>3375836.3050342309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257309.63333333432</v>
      </c>
      <c r="F138" s="11">
        <v>-526885.540478991</v>
      </c>
      <c r="G138" s="12">
        <f>Table521117681522293437414651589[[#This Row],[LỢI NHUẬN RÒNG]]+Table521117681522293437414651589[[#This Row],[VỐN CP]]</f>
        <v>6139781.1261876747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645200.9</v>
      </c>
      <c r="F139" s="11">
        <v>1905.2439174354076</v>
      </c>
      <c r="G139" s="12">
        <f>Table521117681522293437414651589[[#This Row],[LỢI NHUẬN RÒNG]]+Table521117681522293437414651589[[#This Row],[VỐN CP]]</f>
        <v>5501905.2439174354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2300860</v>
      </c>
      <c r="F140" s="11">
        <v>1043097.6064778864</v>
      </c>
      <c r="G140" s="12">
        <f>Table521117681522293437414651589[[#This Row],[LỢI NHUẬN RÒNG]]+Table521117681522293437414651589[[#This Row],[VỐN CP]]</f>
        <v>7505597.6064778864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3646463.4</v>
      </c>
      <c r="F141" s="11">
        <v>2216862.0651411517</v>
      </c>
      <c r="G141" s="12">
        <f>Table521117681522293437414651589[[#This Row],[LỢI NHUẬN RÒNG]]+Table521117681522293437414651589[[#This Row],[VỐN CP]]</f>
        <v>10436862.065141153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3646463.4</v>
      </c>
      <c r="F142" s="11">
        <v>2216862.0651411517</v>
      </c>
      <c r="G142" s="12">
        <f>Table521117681522293437414651589[[#This Row],[LỢI NHUẬN RÒNG]]+Table521117681522293437414651589[[#This Row],[VỐN CP]]</f>
        <v>10436862.065141153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4861951.2</v>
      </c>
      <c r="F143" s="11">
        <v>2955816.086854869</v>
      </c>
      <c r="G143" s="12">
        <f>Table521117681522293437414651589[[#This Row],[LỢI NHUẬN RÒNG]]+Table521117681522293437414651589[[#This Row],[VỐN CP]]</f>
        <v>13915816.086854869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1830054.9</v>
      </c>
      <c r="F144" s="11">
        <v>494835.6018311709</v>
      </c>
      <c r="G144" s="12">
        <f>Table521117681522293437414651589[[#This Row],[LỢI NHUẬN RÒNG]]+Table521117681522293437414651589[[#This Row],[VỐN CP]]</f>
        <v>11594835.601831172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2135064.0499999998</v>
      </c>
      <c r="F145" s="11">
        <v>577308.20213636605</v>
      </c>
      <c r="G145" s="12">
        <f>Table521117681522293437414651589[[#This Row],[LỢI NHUẬN RÒNG]]+Table521117681522293437414651589[[#This Row],[VỐN CP]]</f>
        <v>13527308.202136366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2135064.0499999998</v>
      </c>
      <c r="F146" s="11">
        <v>577308.20213636605</v>
      </c>
      <c r="G146" s="12">
        <f>Table521117681522293437414651589[[#This Row],[LỢI NHUẬN RÒNG]]+Table521117681522293437414651589[[#This Row],[VỐN CP]]</f>
        <v>13527308.202136366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-530299.6</v>
      </c>
      <c r="F147" s="11">
        <v>-1879102.4574273855</v>
      </c>
      <c r="G147" s="12">
        <f>Table521117681522293437414651589[[#This Row],[LỢI NHUẬN RÒNG]]+Table521117681522293437414651589[[#This Row],[VỐN CP]]</f>
        <v>7454230.8759059468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-265149.8</v>
      </c>
      <c r="F148" s="11">
        <v>-939551.22871369275</v>
      </c>
      <c r="G148" s="12">
        <f>Table521117681522293437414651589[[#This Row],[LỢI NHUẬN RÒNG]]+Table521117681522293437414651589[[#This Row],[VỐN CP]]</f>
        <v>3727115.4379529734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-265149.8</v>
      </c>
      <c r="F149" s="11">
        <v>-939551.22871369275</v>
      </c>
      <c r="G149" s="12">
        <f>Table521117681522293437414651589[[#This Row],[LỢI NHUẬN RÒNG]]+Table521117681522293437414651589[[#This Row],[VỐN CP]]</f>
        <v>3727115.4379529734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-265149.8</v>
      </c>
      <c r="F150" s="11">
        <v>-939551.22871369275</v>
      </c>
      <c r="G150" s="12">
        <f>Table521117681522293437414651589[[#This Row],[LỢI NHUẬN RÒNG]]+Table521117681522293437414651589[[#This Row],[VỐN CP]]</f>
        <v>3727115.4379529734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2114003</v>
      </c>
      <c r="F151" s="11">
        <v>1300972.5267177136</v>
      </c>
      <c r="G151" s="12">
        <f>Table521117681522293437414651589[[#This Row],[LỢI NHUẬN RÒNG]]+Table521117681522293437414651589[[#This Row],[VỐN CP]]</f>
        <v>7960972.5267177131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2114003</v>
      </c>
      <c r="F152" s="11">
        <v>1300972.5267177136</v>
      </c>
      <c r="G152" s="12">
        <f>Table521117681522293437414651589[[#This Row],[LỢI NHUẬN RÒNG]]+Table521117681522293437414651589[[#This Row],[VỐN CP]]</f>
        <v>7960972.5267177131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2114003</v>
      </c>
      <c r="F153" s="11">
        <v>1300972.5267177136</v>
      </c>
      <c r="G153" s="12">
        <f>Table521117681522293437414651589[[#This Row],[LỢI NHUẬN RÒNG]]+Table521117681522293437414651589[[#This Row],[VỐN CP]]</f>
        <v>7960972.5267177131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4228006</v>
      </c>
      <c r="F154" s="21">
        <v>2601945.0534354271</v>
      </c>
      <c r="G154" s="12">
        <f>Table521117681522293437414651589[[#This Row],[LỢI NHUẬN RÒNG]]+Table521117681522293437414651589[[#This Row],[VỐN CP]]</f>
        <v>15921945.053435426</v>
      </c>
    </row>
    <row r="155" spans="1:8" x14ac:dyDescent="0.3">
      <c r="A155" s="20"/>
      <c r="B155" s="21"/>
      <c r="C155" s="21"/>
      <c r="D155" s="21">
        <f>SUBTOTAL(109,Table521117681522293437414651589[VỐN CP])</f>
        <v>17560000</v>
      </c>
      <c r="E155" s="21">
        <f>SUBTOTAL(109,Table521117681522293437414651589[LỢI NHUẬN GỘP])</f>
        <v>2976088.55</v>
      </c>
      <c r="F155" s="21">
        <f>SUBTOTAL(109,Table521117681522293437414651589[LỢI NHUẬN RÒNG])</f>
        <v>405830.75126027828</v>
      </c>
      <c r="G155" s="21">
        <f>SUBTOTAL(109,Table521117681522293437414651589[TỔNG NHẬN])</f>
        <v>17965830.751260281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E189-8C90-432C-94C4-302E3C6F3281}">
  <sheetPr codeName="Sheet5"/>
  <dimension ref="A1:O433"/>
  <sheetViews>
    <sheetView topLeftCell="A107" workbookViewId="0">
      <selection activeCell="F76" sqref="F76:F363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133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2699876.9</v>
      </c>
      <c r="F3" s="11">
        <v>1498794.8450951672</v>
      </c>
      <c r="G3" s="12">
        <f>D3+Table8414194101324273239434853567[[#This Row],[LỢI NHUẬN RÒNG]]</f>
        <v>9898794.8450951669</v>
      </c>
      <c r="K3" s="13" t="s">
        <v>10</v>
      </c>
      <c r="L3" s="14">
        <f>SUMIF(Table8414194101324273239434853567[CỔ ĐÔNG],K3,Table8414194101324273239434853567[VỐN CP])</f>
        <v>48688333.333333336</v>
      </c>
      <c r="M3" s="14">
        <f>SUMIF(Table8414194101324273239434853567[CỔ ĐÔNG],K3,Table8414194101324273239434853567[LỢI NHUẬN GỘP])</f>
        <v>12343075.833333332</v>
      </c>
      <c r="N3" s="14">
        <f>SUMIF(Table8414194101324273239434853567[CỔ ĐÔNG],K3,Table8414194101324273239434853567[LỢI NHUẬN RÒNG])</f>
        <v>4971476.2874755291</v>
      </c>
      <c r="O3" s="15">
        <f>SUMIF(Table8414194101324273239434853567[CỔ ĐÔNG],K3,Table8414194101324273239434853567[TỔNG NHẬN])</f>
        <v>53659809.620808855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17266666.666666668</v>
      </c>
      <c r="E4" s="11">
        <v>1762619.4833333325</v>
      </c>
      <c r="F4" s="11">
        <v>-605414.04481907934</v>
      </c>
      <c r="G4" s="12">
        <f>D4+Table8414194101324273239434853567[[#This Row],[LỢI NHUẬN RÒNG]]</f>
        <v>16661252.621847589</v>
      </c>
      <c r="K4" s="13" t="s">
        <v>9</v>
      </c>
      <c r="L4" s="14">
        <f>SUMIF(Table8414194101324273239434853567[CỔ ĐÔNG],K4,Table8414194101324273239434853567[VỐN CP])</f>
        <v>374646666.66666669</v>
      </c>
      <c r="M4" s="14">
        <f>SUMIF(Table8414194101324273239434853567[CỔ ĐÔNG],K4,Table8414194101324273239434853567[LỢI NHUẬN GỘP])</f>
        <v>95972356.457499996</v>
      </c>
      <c r="N4" s="14">
        <f>SUMIF(Table8414194101324273239434853567[CỔ ĐÔNG],K4,Table8414194101324273239434853567[LỢI NHUẬN RÒNG])</f>
        <v>41362761.414201811</v>
      </c>
      <c r="O4" s="15">
        <f>SUMIF(Table8414194101324273239434853567[CỔ ĐÔNG],Table9515205111425283340444954578[[#This Row],[CỔ ĐÔNG]],Table8414194101324273239434853567[TỔNG NHẬN])</f>
        <v>416167480.08086854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12600000</v>
      </c>
      <c r="E5" s="11">
        <v>3784934.7</v>
      </c>
      <c r="F5" s="11">
        <v>2039698.8987619823</v>
      </c>
      <c r="G5" s="12">
        <f>D5+Table8414194101324273239434853567[[#This Row],[LỢI NHUẬN RÒNG]]</f>
        <v>14639698.898761982</v>
      </c>
      <c r="K5" s="13" t="s">
        <v>13</v>
      </c>
      <c r="L5" s="14">
        <f>SUMIF(Table8414194101324273239434853567[CỔ ĐÔNG],K5,Table8414194101324273239434853567[VỐN CP])</f>
        <v>63601666.666666672</v>
      </c>
      <c r="M5" s="14">
        <f>SUMIF(Table8414194101324273239434853567[CỔ ĐÔNG],K5,Table8414194101324273239434853567[LỢI NHUẬN GỘP])</f>
        <v>16795114.040000003</v>
      </c>
      <c r="N5" s="14">
        <f>SUMIF(Table8414194101324273239434853567[CỔ ĐÔNG],K5,Table8414194101324273239434853567[LỢI NHUẬN RÒNG])</f>
        <v>7362491.731004931</v>
      </c>
      <c r="O5" s="15">
        <f>SUMIF(Table8414194101324273239434853567[CỔ ĐÔNG],Table9515205111425283340444954578[[#This Row],[CỔ ĐÔNG]],Table8414194101324273239434853567[TỔNG NHẬN])</f>
        <v>71016842.39767158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15900000</v>
      </c>
      <c r="E6" s="11">
        <v>5038017.5999999996</v>
      </c>
      <c r="F6" s="11">
        <v>2494556.8777433755</v>
      </c>
      <c r="G6" s="12">
        <f>D6+Table8414194101324273239434853567[[#This Row],[LỢI NHUẬN RÒNG]]</f>
        <v>18394556.877743375</v>
      </c>
      <c r="K6" s="13" t="s">
        <v>15</v>
      </c>
      <c r="L6" s="14">
        <f>SUMIF(Table8414194101324273239434853567[CỔ ĐÔNG],K6,Table8414194101324273239434853567[VỐN CP])</f>
        <v>28546666.666666668</v>
      </c>
      <c r="M6" s="14">
        <f>SUMIF(Table8414194101324273239434853567[CỔ ĐÔNG],K6,Table8414194101324273239434853567[LỢI NHUẬN GỘP])</f>
        <v>9653865.633333331</v>
      </c>
      <c r="N6" s="14">
        <f>SUMIF(Table8414194101324273239434853567[CỔ ĐÔNG],K6,Table8414194101324273239434853567[LỢI NHUẬN RÒNG])</f>
        <v>4913519.2661948819</v>
      </c>
      <c r="O6" s="15">
        <f>SUMIF(Table8414194101324273239434853567[CỔ ĐÔNG],K6,Table8414194101324273239434853567[TỔNG NHẬN])</f>
        <v>33460185.932861544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930425.6</v>
      </c>
      <c r="F7" s="11">
        <v>-1678541.0091392933</v>
      </c>
      <c r="G7" s="12">
        <f>D7+Table8414194101324273239434853567[[#This Row],[LỢI NHUẬN RÒNG]]</f>
        <v>16321458.990860706</v>
      </c>
      <c r="I7" s="11"/>
      <c r="K7" s="13" t="s">
        <v>17</v>
      </c>
      <c r="L7" s="14">
        <f>SUMIF(Table8414194101324273239434853567[CỔ ĐÔNG],K7,Table8414194101324273239434853567[VỐN CP])</f>
        <v>6795000</v>
      </c>
      <c r="M7" s="14">
        <f>SUMIF(Table8414194101324273239434853567[CỔ ĐÔNG],K7,Table8414194101324273239434853567[LỢI NHUẬN GỘP])</f>
        <v>3212108.5</v>
      </c>
      <c r="N7" s="14">
        <f>SUMIF(Table8414194101324273239434853567[CỔ ĐÔNG],K7,Table8414194101324273239434853567[LỢI NHUẬN RÒNG])</f>
        <v>2038490.7746744177</v>
      </c>
      <c r="O7" s="15">
        <f>SUMIF(Table8414194101324273239434853567[CỔ ĐÔNG],Table9515205111425283340444954578[[#This Row],[CỔ ĐÔNG]],Table8414194101324273239434853567[TỔNG NHẬN])</f>
        <v>8833490.7746744193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8250000</v>
      </c>
      <c r="E8" s="11">
        <v>2363969.0041666664</v>
      </c>
      <c r="F8" s="11">
        <v>1272745.6415943</v>
      </c>
      <c r="G8" s="12">
        <f>D8+Table8414194101324273239434853567[[#This Row],[LỢI NHUẬN RÒNG]]</f>
        <v>9522745.6415943</v>
      </c>
      <c r="K8" s="13" t="s">
        <v>19</v>
      </c>
      <c r="L8" s="14">
        <f>SUMIF(Table8414194101324273239434853567[CỔ ĐÔNG],K8,Table8414194101324273239434853567[VỐN CP])</f>
        <v>391493333.33333337</v>
      </c>
      <c r="M8" s="14">
        <f>SUMIF(Table8414194101324273239434853567[CỔ ĐÔNG],K8,Table8414194101324273239434853567[LỢI NHUẬN GỘP])</f>
        <v>89266655.075000018</v>
      </c>
      <c r="N8" s="14">
        <f>SUMIF(Table8414194101324273239434853567[CỔ ĐÔNG],K8,Table8414194101324273239434853567[LỢI NHUẬN RÒNG])</f>
        <v>32589123.155977983</v>
      </c>
      <c r="O8" s="15">
        <f>SUMIF(Table8414194101324273239434853567[CỔ ĐÔNG],Table9515205111425283340444954578[[#This Row],[CỔ ĐÔNG]],Table8414194101324273239434853567[TỔNG NHẬN])</f>
        <v>424240508.4893114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1802932.7666666657</v>
      </c>
      <c r="F9" s="11">
        <v>415580.62797759846</v>
      </c>
      <c r="G9" s="12">
        <f>D9+Table8414194101324273239434853567[[#This Row],[LỢI NHUẬN RÒNG]]</f>
        <v>9415580.6279775985</v>
      </c>
      <c r="K9" s="13" t="s">
        <v>21</v>
      </c>
      <c r="L9" s="14">
        <f>SUMIF(Table8414194101324273239434853567[CỔ ĐÔNG],K9,Table8414194101324273239434853567[VỐN CP])</f>
        <v>345348333.33333337</v>
      </c>
      <c r="M9" s="14">
        <f>SUMIF(Table8414194101324273239434853567[CỔ ĐÔNG],K9,Table8414194101324273239434853567[LỢI NHUẬN GỘP])</f>
        <v>86936490.479166672</v>
      </c>
      <c r="N9" s="14">
        <f>SUMIF(Table8414194101324273239434853567[CỔ ĐÔNG],K9,Table8414194101324273239434853567[LỢI NHUẬN RÒNG])</f>
        <v>35594396.402546421</v>
      </c>
      <c r="O9" s="15">
        <f>SUMIF(Table8414194101324273239434853567[CỔ ĐÔNG],Table9515205111425283340444954578[[#This Row],[CỔ ĐÔNG]],Table8414194101324273239434853567[TỔNG NHẬN])</f>
        <v>380995413.73587966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1227602</v>
      </c>
      <c r="F10" s="11">
        <v>174906.7851787135</v>
      </c>
      <c r="G10" s="12">
        <f>D10+Table8414194101324273239434853567[[#This Row],[LỢI NHUẬN RÒNG]]</f>
        <v>5674906.7851787135</v>
      </c>
      <c r="I10" s="11"/>
      <c r="K10" s="13" t="s">
        <v>23</v>
      </c>
      <c r="L10" s="14">
        <f>SUMIF(Table8414194101324273239434853567[CỔ ĐÔNG],K10,Table8414194101324273239434853567[VỐN CP])</f>
        <v>35435000</v>
      </c>
      <c r="M10" s="14">
        <f>SUMIF(Table8414194101324273239434853567[CỔ ĐÔNG],K10,Table8414194101324273239434853567[LỢI NHUẬN GỘP])</f>
        <v>6631403.416666667</v>
      </c>
      <c r="N10" s="14">
        <f>SUMIF(Table8414194101324273239434853567[CỔ ĐÔNG],K10,Table8414194101324273239434853567[LỢI NHUẬN RÒNG])</f>
        <v>1547774.793525927</v>
      </c>
      <c r="O10" s="15">
        <f>SUMIF(Table8414194101324273239434853567[CỔ ĐÔNG],Table9515205111425283340444954578[[#This Row],[CỔ ĐÔNG]],Table8414194101324273239434853567[TỔNG NHẬN])</f>
        <v>36982774.793525927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4201309.2</v>
      </c>
      <c r="F11" s="11">
        <v>2689105.8068049788</v>
      </c>
      <c r="G11" s="12">
        <f>D11+Table8414194101324273239434853567[[#This Row],[LỢI NHUẬN RÒNG]]</f>
        <v>17469105.806804977</v>
      </c>
      <c r="K11" s="13" t="s">
        <v>25</v>
      </c>
      <c r="L11" s="14">
        <f>SUMIF(Table8414194101324273239434853567[CỔ ĐÔNG],K11,Table8414194101324273239434853567[VỐN CP])</f>
        <v>96351666.666666672</v>
      </c>
      <c r="M11" s="14">
        <f>SUMIF(Table8414194101324273239434853567[CỔ ĐÔNG],K11,Table8414194101324273239434853567[LỢI NHUẬN GỘP])</f>
        <v>24411978.973333336</v>
      </c>
      <c r="N11" s="14">
        <f>SUMIF(Table8414194101324273239434853567[CỔ ĐÔNG],K11,Table8414194101324273239434853567[LỢI NHUẬN RÒNG])</f>
        <v>10375193.14883901</v>
      </c>
      <c r="O11" s="15">
        <f>SUMIF(Table8414194101324273239434853567[CỔ ĐÔNG],Table9515205111425283340444954578[[#This Row],[CỔ ĐÔNG]],Table8414194101324273239434853567[TỔNG NHẬN])</f>
        <v>106726859.81550567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3093795.6</v>
      </c>
      <c r="F12" s="11">
        <v>771188.36652714689</v>
      </c>
      <c r="G12" s="12">
        <f>D12+Table8414194101324273239434853567[[#This Row],[LỢI NHUẬN RÒNG]]</f>
        <v>14601188.366527148</v>
      </c>
      <c r="K12" s="13" t="s">
        <v>27</v>
      </c>
      <c r="L12" s="14">
        <f>SUMIF(Table8414194101324273239434853567[CỔ ĐÔNG],K12,Table8414194101324273239434853567[VỐN CP])</f>
        <v>78370000</v>
      </c>
      <c r="M12" s="14">
        <f>SUMIF(Table8414194101324273239434853567[CỔ ĐÔNG],K12,Table8414194101324273239434853567[LỢI NHUẬN GỘP])</f>
        <v>19524251.074999999</v>
      </c>
      <c r="N12" s="14">
        <f>SUMIF(Table8414194101324273239434853567[CỔ ĐÔNG],K12,Table8414194101324273239434853567[LỢI NHUẬN RÒNG])</f>
        <v>8471387.5519066732</v>
      </c>
      <c r="O12" s="15">
        <f>SUMIF(Table8414194101324273239434853567[CỔ ĐÔNG],Table9515205111425283340444954578[[#This Row],[CỔ ĐÔNG]],Table8414194101324273239434853567[TỔNG NHẬN])</f>
        <v>86841387.551906675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SUMIF(Table8414194101324273239434853567[CỔ ĐÔNG],K13,Table8414194101324273239434853567[VỐN CP])</f>
        <v>38973333.333333328</v>
      </c>
      <c r="M13" s="14">
        <f>SUMIF(Table8414194101324273239434853567[CỔ ĐÔNG],K13,Table8414194101324273239434853567[LỢI NHUẬN GỘP])</f>
        <v>11530686.4</v>
      </c>
      <c r="N13" s="14">
        <f>SUMIF(Table8414194101324273239434853567[CỔ ĐÔNG],K13,Table8414194101324273239434853567[LỢI NHUẬN RÒNG])</f>
        <v>5122350.751218548</v>
      </c>
      <c r="O13" s="15">
        <f>SUMIF(Table8414194101324273239434853567[CỔ ĐÔNG],Table9515205111425283340444954578[[#This Row],[CỔ ĐÔNG]],Table8414194101324273239434853567[TỔNG NHẬN])</f>
        <v>44095684.084551878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20400000</v>
      </c>
      <c r="E14" s="11">
        <v>3285574.8</v>
      </c>
      <c r="F14" s="11">
        <v>636517.79825863242</v>
      </c>
      <c r="G14" s="12">
        <f>D14+Table8414194101324273239434853567[[#This Row],[LỢI NHUẬN RÒNG]]</f>
        <v>21036517.798258632</v>
      </c>
      <c r="K14" s="13" t="s">
        <v>31</v>
      </c>
      <c r="L14" s="14">
        <f>SUMIF(Table8414194101324273239434853567[CỔ ĐÔNG],K14,Table8414194101324273239434853567[VỐN CP])</f>
        <v>145263333.33333334</v>
      </c>
      <c r="M14" s="14">
        <f>SUMIF(Table8414194101324273239434853567[CỔ ĐÔNG],K14,Table8414194101324273239434853567[LỢI NHUẬN GỘP])</f>
        <v>33778326.066666663</v>
      </c>
      <c r="N14" s="14">
        <f>SUMIF(Table8414194101324273239434853567[CỔ ĐÔNG],K14,Table8414194101324273239434853567[LỢI NHUẬN RÒNG])</f>
        <v>12196580.137628103</v>
      </c>
      <c r="O14" s="15">
        <f>SUMIF(Table8414194101324273239434853567[CỔ ĐÔNG],Table9515205111425283340444954578[[#This Row],[CỔ ĐÔNG]],Table8414194101324273239434853567[TỔNG NHẬN])</f>
        <v>157512597.47096142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1622441.1</v>
      </c>
      <c r="F15" s="11">
        <v>544765.41207866371</v>
      </c>
      <c r="G15" s="12">
        <f>D15+Table8414194101324273239434853567[[#This Row],[LỢI NHUẬN RÒNG]]</f>
        <v>9694765.4120786637</v>
      </c>
      <c r="K15" s="13" t="s">
        <v>33</v>
      </c>
      <c r="L15" s="14">
        <f>SUMIF(Table8414194101324273239434853567[CỔ ĐÔNG],K15,Table8414194101324273239434853567[VỐN CP])</f>
        <v>62258333.333333336</v>
      </c>
      <c r="M15" s="14">
        <f>SUMIF(Table8414194101324273239434853567[CỔ ĐÔNG],K15,Table8414194101324273239434853567[LỢI NHUẬN GỘP])</f>
        <v>16888310.983333331</v>
      </c>
      <c r="N15" s="14">
        <f>SUMIF(Table8414194101324273239434853567[CỔ ĐÔNG],K15,Table8414194101324273239434853567[LỢI NHUẬN RÒNG])</f>
        <v>8112495.3298516227</v>
      </c>
      <c r="O15" s="15">
        <f>SUMIF(Table8414194101324273239434853567[CỔ ĐÔNG],Table9515205111425283340444954578[[#This Row],[CỔ ĐÔNG]],Table8414194101324273239434853567[TỔNG NHẬN])</f>
        <v>70370828.663184956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2607176.7999999998</v>
      </c>
      <c r="F16" s="11">
        <v>1756929.0693404421</v>
      </c>
      <c r="G16" s="12">
        <f>D16+Table8414194101324273239434853567[[#This Row],[LỢI NHUẬN RÒNG]]</f>
        <v>7916929.0693404423</v>
      </c>
      <c r="K16" s="13" t="s">
        <v>35</v>
      </c>
      <c r="L16" s="14">
        <f>SUMIF(Table8414194101324273239434853567[CỔ ĐÔNG],K16,Table8414194101324273239434853567[VỐN CP])</f>
        <v>52721666.666666672</v>
      </c>
      <c r="M16" s="14">
        <f>SUMIF(Table8414194101324273239434853567[CỔ ĐÔNG],K16,Table8414194101324273239434853567[LỢI NHUẬN GỘP])</f>
        <v>13695473.883333337</v>
      </c>
      <c r="N16" s="14">
        <f>SUMIF(Table8414194101324273239434853567[CỔ ĐÔNG],K16,Table8414194101324273239434853567[LỢI NHUẬN RÒNG])</f>
        <v>5973345.5218914729</v>
      </c>
      <c r="O16" s="15">
        <f>SUMIF(Table8414194101324273239434853567[CỔ ĐÔNG],Table9515205111425283340444954578[[#This Row],[CỔ ĐÔNG]],Table8414194101324273239434853567[TỔNG NHẬN])</f>
        <v>58695012.188558131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39795</v>
      </c>
      <c r="F17" s="11">
        <v>-873457.86896894278</v>
      </c>
      <c r="G17" s="12">
        <f>D17+Table8414194101324273239434853567[[#This Row],[LỢI NHUẬN RÒNG]]</f>
        <v>8126542.1310310569</v>
      </c>
      <c r="K17" s="16" t="s">
        <v>37</v>
      </c>
      <c r="L17" s="17">
        <f>SUMIF(Table8414194101324273239434853567[CỔ ĐÔNG],K17,Table8414194101324273239434853567[VỐN CP])</f>
        <v>162455000</v>
      </c>
      <c r="M17" s="17">
        <f>SUMIF(Table8414194101324273239434853567[CỔ ĐÔNG],K17,Table8414194101324273239434853567[LỢI NHUẬN GỘP])</f>
        <v>45970807.116666667</v>
      </c>
      <c r="N17" s="17">
        <f>SUMIF(Table8414194101324273239434853567[CỔ ĐÔNG],K17,Table8414194101324273239434853567[LỢI NHUẬN RÒNG])</f>
        <v>20718484.717839494</v>
      </c>
      <c r="O17" s="15">
        <f>SUMIF(Table8414194101324273239434853567[CỔ ĐÔNG],Table9515205111425283340444954578[[#This Row],[CỔ ĐÔNG]],Table8414194101324273239434853567[TỔNG NHẬN])</f>
        <v>183226168.71783945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2738351.2666666661</v>
      </c>
      <c r="F18" s="11">
        <v>2068943.181630969</v>
      </c>
      <c r="G18" s="12">
        <f>D18+Table8414194101324273239434853567[[#This Row],[LỢI NHUẬN RÒNG]]</f>
        <v>7068943.181630969</v>
      </c>
      <c r="K18" s="13" t="s">
        <v>39</v>
      </c>
      <c r="L18" s="17">
        <f>SUMIF(Table8414194101324273239434853567[CỔ ĐÔNG],K18,Table8414194101324273239434853567[VỐN CP])</f>
        <v>1583333.3333333335</v>
      </c>
      <c r="M18" s="17">
        <f>SUMIF(Table8414194101324273239434853567[CỔ ĐÔNG],K18,Table8414194101324273239434853567[LỢI NHUẬN GỘP])</f>
        <v>600199.46666666644</v>
      </c>
      <c r="N18" s="17">
        <f>SUMIF(Table8414194101324273239434853567[CỔ ĐÔNG],K18,Table8414194101324273239434853567[LỢI NHUẬN RÒNG])</f>
        <v>386246.54982063471</v>
      </c>
      <c r="O18" s="15">
        <f>SUMIF(Table8414194101324273239434853567[CỔ ĐÔNG],Table9515205111425283340444954578[[#This Row],[CỔ ĐÔNG]],Table8414194101324273239434853567[TỔNG NHẬN])</f>
        <v>1969579.8831539683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1123431</v>
      </c>
      <c r="F19" s="11">
        <v>751442.90737138805</v>
      </c>
      <c r="G19" s="12">
        <f>D19+Table8414194101324273239434853567[[#This Row],[LỢI NHUẬN RÒNG]]</f>
        <v>1851442.907371388</v>
      </c>
      <c r="I19" s="11"/>
      <c r="K19" s="13" t="s">
        <v>41</v>
      </c>
      <c r="L19" s="17">
        <f>SUMIF(Table8414194101324273239434853567[CỔ ĐÔNG],K19,Table8414194101324273239434853567[VỐN CP])</f>
        <v>2533333.3333333335</v>
      </c>
      <c r="M19" s="17">
        <f>SUMIF(Table8414194101324273239434853567[CỔ ĐÔNG],K19,Table8414194101324273239434853567[LỢI NHUẬN GỘP])</f>
        <v>994823.31666666642</v>
      </c>
      <c r="N19" s="17">
        <f>SUMIF(Table8414194101324273239434853567[CỔ ĐÔNG],K19,Table8414194101324273239434853567[LỢI NHUẬN RÒNG])</f>
        <v>593994.88632273918</v>
      </c>
      <c r="O19" s="15">
        <f>SUMIF(Table8414194101324273239434853567[CỔ ĐÔNG],Table9515205111425283340444954578[[#This Row],[CỔ ĐÔNG]],Table8414194101324273239434853567[TỔNG NHẬN])</f>
        <v>3127328.2196560726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771393.4</v>
      </c>
      <c r="F20" s="11">
        <v>428227.09859861917</v>
      </c>
      <c r="G20" s="12">
        <f>D20+Table8414194101324273239434853567[[#This Row],[LỢI NHUẬN RÒNG]]</f>
        <v>2828227.098598619</v>
      </c>
      <c r="K20" s="13" t="s">
        <v>42</v>
      </c>
      <c r="L20" s="17">
        <f>SUMIF(Table8414194101324273239434853567[CỔ ĐÔNG],K20,Table8414194101324273239434853567[VỐN CP])</f>
        <v>2083333.3333333335</v>
      </c>
      <c r="M20" s="17">
        <f>SUMIF(Table8414194101324273239434853567[CỔ ĐÔNG],K20,Table8414194101324273239434853567[LỢI NHUẬN GỘP])</f>
        <v>795517.26666666637</v>
      </c>
      <c r="N20" s="17">
        <f>SUMIF(Table8414194101324273239434853567[CỔ ĐÔNG],K20,Table8414194101324273239434853567[LỢI NHUẬN RÒNG])</f>
        <v>456663.99264221149</v>
      </c>
      <c r="O20" s="15">
        <f>SUMIF(Table8414194101324273239434853567[CỔ ĐÔNG],Table9515205111425283340444954578[[#This Row],[CỔ ĐÔNG]],Table8414194101324273239434853567[TỔNG NHẬN])</f>
        <v>2539997.3259755452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4933333.333333334</v>
      </c>
      <c r="E21" s="11">
        <v>503605.56666666642</v>
      </c>
      <c r="F21" s="11">
        <v>-172975.44137687981</v>
      </c>
      <c r="G21" s="12">
        <f>D21+Table8414194101324273239434853567[[#This Row],[LỢI NHUẬN RÒNG]]</f>
        <v>4760357.8919564541</v>
      </c>
      <c r="K21" s="13" t="s">
        <v>43</v>
      </c>
      <c r="L21" s="17">
        <f>SUMIF(Table8414194101324273239434853567[CỔ ĐÔNG],K21,Table8414194101324273239434853567[VỐN CP])</f>
        <v>89468333.333333343</v>
      </c>
      <c r="M21" s="17">
        <f>SUMIF(Table8414194101324273239434853567[CỔ ĐÔNG],K21,Table8414194101324273239434853567[LỢI NHUẬN GỘP])</f>
        <v>21052435.266666666</v>
      </c>
      <c r="N21" s="17">
        <f>SUMIF(Table8414194101324273239434853567[CỔ ĐÔNG],K21,Table8414194101324273239434853567[LỢI NHUẬN RÒNG])</f>
        <v>8619294.9082431812</v>
      </c>
      <c r="O21" s="15">
        <f>SUMIF(Table8414194101324273239434853567[CỔ ĐÔNG],Table9515205111425283340444954578[[#This Row],[CỔ ĐÔNG]],Table8414194101324273239434853567[TỔNG NHẬN])</f>
        <v>98087628.241576508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4200000</v>
      </c>
      <c r="E22" s="18">
        <v>1261644.8999999999</v>
      </c>
      <c r="F22" s="18">
        <v>679899.63292066078</v>
      </c>
      <c r="G22" s="12">
        <f>D22+Table8414194101324273239434853567[[#This Row],[LỢI NHUẬN RÒNG]]</f>
        <v>4879899.632920661</v>
      </c>
      <c r="K22" s="13" t="s">
        <v>44</v>
      </c>
      <c r="L22" s="17">
        <f>SUMIF(Table8414194101324273239434853567[CỔ ĐÔNG],K22,Table8414194101324273239434853567[VỐN CP])</f>
        <v>4700000</v>
      </c>
      <c r="M22" s="17">
        <f>SUMIF(Table8414194101324273239434853567[CỔ ĐÔNG],K22,Table8414194101324273239434853567[LỢI NHUẬN GỘP])</f>
        <v>1711388.0333333332</v>
      </c>
      <c r="N22" s="17">
        <f>SUMIF(Table8414194101324273239434853567[CỔ ĐÔNG],K22,Table8414194101324273239434853567[LỢI NHUẬN RÒNG])</f>
        <v>777886.40496497822</v>
      </c>
      <c r="O22" s="15">
        <f>SUMIF(Table8414194101324273239434853567[CỔ ĐÔNG],Table9515205111425283340444954578[[#This Row],[CỔ ĐÔNG]],Table8414194101324273239434853567[TỔNG NHẬN])</f>
        <v>5477886.4049649788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5300000</v>
      </c>
      <c r="E23" s="11">
        <v>1679339.2</v>
      </c>
      <c r="F23" s="11">
        <v>831518.95924779179</v>
      </c>
      <c r="G23" s="12">
        <f>D23+Table8414194101324273239434853567[[#This Row],[LỢI NHUẬN RÒNG]]</f>
        <v>6131518.9592477921</v>
      </c>
      <c r="K23" s="13" t="s">
        <v>45</v>
      </c>
      <c r="L23" s="17">
        <f>SUMIF(Table8414194101324273239434853567[CỔ ĐÔNG],K23,Table8414194101324273239434853567[VỐN CP])</f>
        <v>13700000</v>
      </c>
      <c r="M23" s="17">
        <f>SUMIF(Table8414194101324273239434853567[CỔ ĐÔNG],K23,Table8414194101324273239434853567[LỢI NHUẬN GỘP])</f>
        <v>3627918.4</v>
      </c>
      <c r="N23" s="17">
        <f>SUMIF(Table8414194101324273239434853567[CỔ ĐÔNG],K23,Table8414194101324273239434853567[LỢI NHUẬN RÒNG])</f>
        <v>1344874.9434791578</v>
      </c>
      <c r="O23" s="15">
        <f>SUMIF(Table8414194101324273239434853567[CỔ ĐÔNG],Table9515205111425283340444954578[[#This Row],[CỔ ĐÔNG]],Table8414194101324273239434853567[TỔNG NHẬN])</f>
        <v>15044874.943479158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2699876.9</v>
      </c>
      <c r="F24" s="11">
        <v>1498794.8450951672</v>
      </c>
      <c r="G24" s="12">
        <f>D24+Table8414194101324273239434853567[[#This Row],[LỢI NHUẬN RÒNG]]</f>
        <v>9898794.8450951669</v>
      </c>
      <c r="K24" s="13" t="s">
        <v>46</v>
      </c>
      <c r="L24" s="17">
        <f>SUMIF(Table8414194101324273239434853567[CỔ ĐÔNG],K24,Table8414194101324273239434853567[VỐN CP])</f>
        <v>13350000</v>
      </c>
      <c r="M24" s="17">
        <f>SUMIF(Table8414194101324273239434853567[CỔ ĐÔNG],K24,Table8414194101324273239434853567[LỢI NHUẬN GỘP])</f>
        <v>3435156.4</v>
      </c>
      <c r="N24" s="17">
        <f>SUMIF(Table8414194101324273239434853567[CỔ ĐÔNG],K24,Table8414194101324273239434853567[LỢI NHUẬN RÒNG])</f>
        <v>1668172.8720568586</v>
      </c>
      <c r="O24" s="15">
        <f>SUMIF(Table8414194101324273239434853567[CỔ ĐÔNG],Table9515205111425283340444954578[[#This Row],[CỔ ĐÔNG]],Table8414194101324273239434853567[TỔNG NHẬN])</f>
        <v>15018172.872056859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17266666.666666668</v>
      </c>
      <c r="E25" s="11">
        <v>1762619.4833333325</v>
      </c>
      <c r="F25" s="11">
        <v>-605414.04481907934</v>
      </c>
      <c r="G25" s="12">
        <f>D25+Table8414194101324273239434853567[[#This Row],[LỢI NHUẬN RÒNG]]</f>
        <v>16661252.621847589</v>
      </c>
      <c r="K25" s="13" t="s">
        <v>47</v>
      </c>
      <c r="L25" s="14">
        <f>SUM(L2:L24)</f>
        <v>2058366666.6666663</v>
      </c>
      <c r="M25" s="14">
        <f>SUM(M2:M24)</f>
        <v>518828342.08333331</v>
      </c>
      <c r="N25" s="14">
        <f>SUM(N2:N24)</f>
        <v>215197005.54230663</v>
      </c>
      <c r="O25" s="14">
        <f>SUM(O2:O24)</f>
        <v>2274090512.2089729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12600000</v>
      </c>
      <c r="E26" s="11">
        <v>3784934.7</v>
      </c>
      <c r="F26" s="11">
        <v>2039698.8987619823</v>
      </c>
      <c r="G26" s="12">
        <f>D26+Table8414194101324273239434853567[[#This Row],[LỢI NHUẬN RÒNG]]</f>
        <v>14639698.898761982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15900000</v>
      </c>
      <c r="E27" s="11">
        <v>5038017.5999999996</v>
      </c>
      <c r="F27" s="11">
        <v>2494556.8777433755</v>
      </c>
      <c r="G27" s="12">
        <f>D27+Table8414194101324273239434853567[[#This Row],[LỢI NHUẬN RÒNG]]</f>
        <v>18394556.877743375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930425.6</v>
      </c>
      <c r="F28" s="11">
        <v>-1678541.0091392933</v>
      </c>
      <c r="G28" s="12">
        <f>D28+Table8414194101324273239434853567[[#This Row],[LỢI NHUẬN RÒNG]]</f>
        <v>16321458.990860706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9900000</v>
      </c>
      <c r="E29" s="11">
        <v>2836762.8050000002</v>
      </c>
      <c r="F29" s="11">
        <v>1527294.7699131602</v>
      </c>
      <c r="G29" s="12">
        <f>D29+Table8414194101324273239434853567[[#This Row],[LỢI NHUẬN RÒNG]]</f>
        <v>11427294.769913159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2163519.3199999989</v>
      </c>
      <c r="F30" s="11">
        <v>498696.75357311813</v>
      </c>
      <c r="G30" s="12">
        <f>D30+Table8414194101324273239434853567[[#This Row],[LỢI NHUẬN RÒNG]]</f>
        <v>11298696.753573118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982081.6</v>
      </c>
      <c r="F31" s="11">
        <v>139925.42814297081</v>
      </c>
      <c r="G31" s="12">
        <f>D31+Table8414194101324273239434853567[[#This Row],[LỢI NHUẬN RÒNG]]</f>
        <v>4539925.4281429704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5251636.5</v>
      </c>
      <c r="F32" s="11">
        <v>3361382.2585062236</v>
      </c>
      <c r="G32" s="12">
        <f>D32+Table8414194101324273239434853567[[#This Row],[LỢI NHUẬN RÒNG]]</f>
        <v>21836382.258506224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4125060.8</v>
      </c>
      <c r="F33" s="11">
        <v>1028251.1553695292</v>
      </c>
      <c r="G33" s="12">
        <f>D33+Table8414194101324273239434853567[[#This Row],[LỢI NHUẬN RÒNG]]</f>
        <v>19468251.155369528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25500000</v>
      </c>
      <c r="E35" s="11">
        <v>4106968.5</v>
      </c>
      <c r="F35" s="11">
        <v>795647.24782329053</v>
      </c>
      <c r="G35" s="12">
        <f>D35+Table8414194101324273239434853567[[#This Row],[LỢI NHUẬN RÒNG]]</f>
        <v>26295647.247823291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2163254.7999999998</v>
      </c>
      <c r="F36" s="11">
        <v>726353.88277155161</v>
      </c>
      <c r="G36" s="12">
        <f>D36+Table8414194101324273239434853567[[#This Row],[LỢI NHUẬN RÒNG]]</f>
        <v>12926353.882771552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1303588.3999999999</v>
      </c>
      <c r="F37" s="11">
        <v>878464.53467022104</v>
      </c>
      <c r="G37" s="12">
        <f>D37+Table8414194101324273239434853567[[#This Row],[LỢI NHUẬN RÒNG]]</f>
        <v>3958464.5346702212</v>
      </c>
      <c r="L37" s="11">
        <f>N25+'Tháng 1 nhà T  '!N17</f>
        <v>492465664.99203289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39795</v>
      </c>
      <c r="F38" s="11">
        <v>-873457.86896894278</v>
      </c>
      <c r="G38" s="12">
        <f>D38+Table8414194101324273239434853567[[#This Row],[LỢI NHUẬN RÒNG]]</f>
        <v>8126542.1310310569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2738351.2666666661</v>
      </c>
      <c r="F39" s="11">
        <v>2068943.181630969</v>
      </c>
      <c r="G39" s="12">
        <f>D39+Table8414194101324273239434853567[[#This Row],[LỢI NHUẬN RÒNG]]</f>
        <v>7068943.181630969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1123431</v>
      </c>
      <c r="F40" s="11">
        <v>751442.90737138805</v>
      </c>
      <c r="G40" s="12">
        <f>D40+Table8414194101324273239434853567[[#This Row],[LỢI NHUẬN RÒNG]]</f>
        <v>1851442.907371388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1542786.8</v>
      </c>
      <c r="F41" s="11">
        <v>856454.19719723833</v>
      </c>
      <c r="G41" s="12">
        <f>D41+Table8414194101324273239434853567[[#This Row],[LỢI NHUẬN RÒNG]]</f>
        <v>5656454.197197238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4933333.333333334</v>
      </c>
      <c r="E42" s="11">
        <v>503605.56666666642</v>
      </c>
      <c r="F42" s="11">
        <v>-172975.44137687981</v>
      </c>
      <c r="G42" s="12">
        <f>D42+Table8414194101324273239434853567[[#This Row],[LỢI NHUẬN RÒNG]]</f>
        <v>4760357.8919564541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5300000</v>
      </c>
      <c r="E43" s="11">
        <v>1679339.2</v>
      </c>
      <c r="F43" s="11">
        <v>831518.95924779179</v>
      </c>
      <c r="G43" s="12">
        <f>D43+Table8414194101324273239434853567[[#This Row],[LỢI NHUẬN RÒNG]]</f>
        <v>6131518.9592477921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465212.8</v>
      </c>
      <c r="F44" s="11">
        <v>-839270.50456964667</v>
      </c>
      <c r="G44" s="12">
        <f>D44+Table8414194101324273239434853567[[#This Row],[LỢI NHUẬN RÒNG]]</f>
        <v>8160729.4954303531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4950000</v>
      </c>
      <c r="E45" s="11">
        <v>1418381.4025000001</v>
      </c>
      <c r="F45" s="11">
        <v>763647.38495658012</v>
      </c>
      <c r="G45" s="12">
        <f>D45+Table8414194101324273239434853567[[#This Row],[LỢI NHUẬN RÒNG]]</f>
        <v>5713647.3849565797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1081759.6599999995</v>
      </c>
      <c r="F46" s="11">
        <v>249348.37678655906</v>
      </c>
      <c r="G46" s="12">
        <f>D46+Table8414194101324273239434853567[[#This Row],[LỢI NHUẬN RÒNG]]</f>
        <v>5649348.3767865589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736561.2</v>
      </c>
      <c r="F47" s="11">
        <v>104944.0711072281</v>
      </c>
      <c r="G47" s="12">
        <f>D47+Table8414194101324273239434853567[[#This Row],[LỢI NHUẬN RÒNG]]</f>
        <v>3404944.0711072283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3150981.9</v>
      </c>
      <c r="F48" s="11">
        <v>2016829.3551037342</v>
      </c>
      <c r="G48" s="12">
        <f>D48+Table8414194101324273239434853567[[#This Row],[LỢI NHUẬN RÒNG]]</f>
        <v>13101829.355103735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3093795.6</v>
      </c>
      <c r="F49" s="11">
        <v>771188.36652714689</v>
      </c>
      <c r="G49" s="12">
        <f>D49+Table8414194101324273239434853567[[#This Row],[LỢI NHUẬN RÒNG]]</f>
        <v>14601188.366527148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3244882.2</v>
      </c>
      <c r="F51" s="11">
        <v>1089530.8241573274</v>
      </c>
      <c r="G51" s="12">
        <f>D51+Table8414194101324273239434853567[[#This Row],[LỢI NHUẬN RÒNG]]</f>
        <v>19389530.824157327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2607176.7999999998</v>
      </c>
      <c r="F52" s="11">
        <v>1756929.0693404421</v>
      </c>
      <c r="G52" s="12">
        <f>D52+Table8414194101324273239434853567[[#This Row],[LỢI NHUẬN RÒNG]]</f>
        <v>7916929.0693404423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59692.5</v>
      </c>
      <c r="F53" s="11">
        <v>-1310186.8034534142</v>
      </c>
      <c r="G53" s="12">
        <f>D53+Table8414194101324273239434853567[[#This Row],[LỢI NHUẬN RÒNG]]</f>
        <v>12189813.196546586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4107526.8999999994</v>
      </c>
      <c r="F54" s="11">
        <v>3103414.7724464536</v>
      </c>
      <c r="G54" s="12">
        <f>D54+Table8414194101324273239434853567[[#This Row],[LỢI NHUẬN RÒNG]]</f>
        <v>10603414.772446454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3370293</v>
      </c>
      <c r="F55" s="11">
        <v>2254328.7221141639</v>
      </c>
      <c r="G55" s="12">
        <f>D55+Table8414194101324273239434853567[[#This Row],[LỢI NHUẬN RÒNG]]</f>
        <v>5554328.7221141644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4200000</v>
      </c>
      <c r="E56" s="18">
        <v>1261644.8999999999</v>
      </c>
      <c r="F56" s="18">
        <v>679899.63292066078</v>
      </c>
      <c r="G56" s="12">
        <f>D56+Table8414194101324273239434853567[[#This Row],[LỢI NHUẬN RÒNG]]</f>
        <v>4879899.632920661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1303588.3999999999</v>
      </c>
      <c r="F57" s="11">
        <v>878464.53467022104</v>
      </c>
      <c r="G57" s="12">
        <f>D57+Table8414194101324273239434853567[[#This Row],[LỢI NHUẬN RÒNG]]</f>
        <v>3958464.5346702212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9948.75</v>
      </c>
      <c r="F58" s="11">
        <v>-218364.4672422357</v>
      </c>
      <c r="G58" s="12">
        <f>D58+Table8414194101324273239434853567[[#This Row],[LỢI NHUẬN RÒNG]]</f>
        <v>2031635.5327577642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4200000</v>
      </c>
      <c r="E59" s="11">
        <v>1261644.8999999999</v>
      </c>
      <c r="F59" s="11">
        <v>679899.63292066078</v>
      </c>
      <c r="G59" s="12">
        <f>D59+Table8414194101324273239434853567[[#This Row],[LỢI NHUẬN RÒNG]]</f>
        <v>4879899.632920661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1369175.6333333331</v>
      </c>
      <c r="F60" s="11">
        <v>1034471.5908154845</v>
      </c>
      <c r="G60" s="12">
        <f>D60+Table8414194101324273239434853567[[#This Row],[LỢI NHUẬN RÒNG]]</f>
        <v>3534471.5908154845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9900000</v>
      </c>
      <c r="E61" s="11">
        <v>2836762.8050000002</v>
      </c>
      <c r="F61" s="11">
        <v>1527294.7699131602</v>
      </c>
      <c r="G61" s="12">
        <f>D61+Table8414194101324273239434853567[[#This Row],[LỢI NHUẬN RÒNG]]</f>
        <v>11427294.769913159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2163519.3199999989</v>
      </c>
      <c r="F62" s="11">
        <v>498696.75357311813</v>
      </c>
      <c r="G62" s="12">
        <f>D62+Table8414194101324273239434853567[[#This Row],[LỢI NHUẬN RÒNG]]</f>
        <v>11298696.753573118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1473122.4</v>
      </c>
      <c r="F63" s="11">
        <v>209888.14221445619</v>
      </c>
      <c r="G63" s="12">
        <f>D63+Table8414194101324273239434853567[[#This Row],[LỢI NHUẬN RÒNG]]</f>
        <v>6809888.1422144566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6301963.7999999998</v>
      </c>
      <c r="F64" s="11">
        <v>4033658.7102074684</v>
      </c>
      <c r="G64" s="12">
        <f>D64+Table8414194101324273239434853567[[#This Row],[LỢI NHUẬN RÒNG]]</f>
        <v>26203658.71020747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2246862</v>
      </c>
      <c r="F66" s="11">
        <v>1502885.8147427761</v>
      </c>
      <c r="G66" s="12">
        <f>D66+Table8414194101324273239434853567[[#This Row],[LỢI NHUẬN RÒNG]]</f>
        <v>3702885.8147427761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4933333.333333334</v>
      </c>
      <c r="E67" s="18">
        <v>503605.56666666642</v>
      </c>
      <c r="F67" s="18">
        <v>-172975.44137687981</v>
      </c>
      <c r="G67" s="12">
        <f>D67+Table8414194101324273239434853567[[#This Row],[LỢI NHUẬN RÒNG]]</f>
        <v>4760357.8919564541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4200000</v>
      </c>
      <c r="E68" s="11">
        <v>1261644.8999999999</v>
      </c>
      <c r="F68" s="11">
        <v>679899.63292066078</v>
      </c>
      <c r="G68" s="12">
        <f>D68+Table8414194101324273239434853567[[#This Row],[LỢI NHUẬN RÒNG]]</f>
        <v>4879899.632920661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5300000</v>
      </c>
      <c r="E69" s="11">
        <v>1679339.2</v>
      </c>
      <c r="F69" s="11">
        <v>831518.95924779179</v>
      </c>
      <c r="G69" s="12">
        <f>D69+Table8414194101324273239434853567[[#This Row],[LỢI NHUẬN RÒNG]]</f>
        <v>6131518.9592477921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5100000</v>
      </c>
      <c r="E70" s="11">
        <v>821393.7</v>
      </c>
      <c r="F70" s="11">
        <v>159129.44956465811</v>
      </c>
      <c r="G70" s="12">
        <f>D70+Table8414194101324273239434853567[[#This Row],[LỢI NHUẬN RÒNG]]</f>
        <v>5259129.4495646581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1081627.3999999999</v>
      </c>
      <c r="F71" s="11">
        <v>363176.9413857758</v>
      </c>
      <c r="G71" s="12">
        <f>D71+Table8414194101324273239434853567[[#This Row],[LỢI NHUẬN RÒNG]]</f>
        <v>6463176.9413857758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1303588.3999999999</v>
      </c>
      <c r="F72" s="11">
        <v>878464.53467022104</v>
      </c>
      <c r="G72" s="12">
        <f>D72+Table8414194101324273239434853567[[#This Row],[LỢI NHUẬN RÒNG]]</f>
        <v>3958464.5346702212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19897.5</v>
      </c>
      <c r="F73" s="11">
        <v>-436728.93448447139</v>
      </c>
      <c r="G73" s="12">
        <f>D73+Table8414194101324273239434853567[[#This Row],[LỢI NHUẬN RÒNG]]</f>
        <v>4063271.0655155284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1369175.6333333331</v>
      </c>
      <c r="F74" s="11">
        <v>1034471.5908154845</v>
      </c>
      <c r="G74" s="12">
        <f>D74+Table8414194101324273239434853567[[#This Row],[LỢI NHUẬN RÒNG]]</f>
        <v>3534471.5908154845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2246862</v>
      </c>
      <c r="F75" s="11">
        <v>1502885.8147427761</v>
      </c>
      <c r="G75" s="12">
        <f>D75+Table8414194101324273239434853567[[#This Row],[LỢI NHUẬN RÒNG]]</f>
        <v>3702885.8147427761</v>
      </c>
    </row>
    <row r="76" spans="1:7" ht="15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491040.8</v>
      </c>
      <c r="F76" s="11">
        <v>69962.714071485403</v>
      </c>
      <c r="G76" s="12">
        <f>D76+Table8414194101324273239434853567[[#This Row],[LỢI NHUẬN RÒNG]]</f>
        <v>2269962.7140714852</v>
      </c>
    </row>
    <row r="77" spans="1:7" ht="15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2100654.6</v>
      </c>
      <c r="F77" s="11">
        <v>1344552.9034024894</v>
      </c>
      <c r="G77" s="12">
        <f>D77+Table8414194101324273239434853567[[#This Row],[LỢI NHUẬN RÒNG]]</f>
        <v>8734552.9034024887</v>
      </c>
    </row>
    <row r="78" spans="1:7" ht="15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1081627.3999999999</v>
      </c>
      <c r="F79" s="11">
        <v>363176.9413857758</v>
      </c>
      <c r="G79" s="12">
        <f>D79+Table8414194101324273239434853567[[#This Row],[LỢI NHUẬN RÒNG]]</f>
        <v>6463176.9413857758</v>
      </c>
    </row>
    <row r="80" spans="1:7" ht="15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1303588.3999999999</v>
      </c>
      <c r="F80" s="11">
        <v>878464.53467022104</v>
      </c>
      <c r="G80" s="12">
        <f>D80+Table8414194101324273239434853567[[#This Row],[LỢI NHUẬN RÒNG]]</f>
        <v>3958464.5346702212</v>
      </c>
    </row>
    <row r="81" spans="1:7" ht="15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29846.25</v>
      </c>
      <c r="F81" s="11">
        <v>-655093.40172670712</v>
      </c>
      <c r="G81" s="12">
        <f>D81+Table8414194101324273239434853567[[#This Row],[LỢI NHUẬN RÒNG]]</f>
        <v>6094906.5982732931</v>
      </c>
    </row>
    <row r="82" spans="1:7" ht="15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1369175.6333333331</v>
      </c>
      <c r="F82" s="11">
        <v>1034471.5908154845</v>
      </c>
      <c r="G82" s="12">
        <f>D82+Table8414194101324273239434853567[[#This Row],[LỢI NHUẬN RÒNG]]</f>
        <v>3534471.5908154845</v>
      </c>
    </row>
    <row r="83" spans="1:7" ht="15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1123431</v>
      </c>
      <c r="F83" s="11">
        <v>751442.90737138805</v>
      </c>
      <c r="G83" s="12">
        <f>D83+Table8414194101324273239434853567[[#This Row],[LỢI NHUẬN RÒNG]]</f>
        <v>1851442.907371388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5300000</v>
      </c>
      <c r="E84" s="11">
        <v>1679339.2</v>
      </c>
      <c r="F84" s="11">
        <v>831518.95924779179</v>
      </c>
      <c r="G84" s="12">
        <f>D84+Table8414194101324273239434853567[[#This Row],[LỢI NHUẬN RÒNG]]</f>
        <v>6131518.9592477921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1622441.1</v>
      </c>
      <c r="F85" s="11">
        <v>544765.41207866371</v>
      </c>
      <c r="G85" s="12">
        <f>D85+Table8414194101324273239434853567[[#This Row],[LỢI NHUẬN RÒNG]]</f>
        <v>9694765.4120786637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1303588.3999999999</v>
      </c>
      <c r="F86" s="21">
        <v>878464.53467022104</v>
      </c>
      <c r="G86" s="12">
        <f>D86+Table8414194101324273239434853567[[#This Row],[LỢI NHUẬN RÒNG]]</f>
        <v>3958464.5346702212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3778788</v>
      </c>
      <c r="F87" s="21">
        <v>457736.04920018313</v>
      </c>
      <c r="G87" s="12">
        <f>D87+Table8414194101324273239434853567[[#This Row],[LỢI NHUẬN RÒNG]]</f>
        <v>24457736.049200185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2834091</v>
      </c>
      <c r="F88" s="21">
        <v>343302.03690013738</v>
      </c>
      <c r="G88" s="12">
        <f>D88+Table8414194101324273239434853567[[#This Row],[LỢI NHUẬN RÒNG]]</f>
        <v>18343302.036900137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472348.5</v>
      </c>
      <c r="F89" s="21">
        <v>57217.006150022891</v>
      </c>
      <c r="G89" s="12">
        <f>D89+Table8414194101324273239434853567[[#This Row],[LỢI NHUẬN RÒNG]]</f>
        <v>3057217.0061500231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944697</v>
      </c>
      <c r="F90" s="21">
        <v>114434.01230004578</v>
      </c>
      <c r="G90" s="12">
        <f>D90+Table8414194101324273239434853567[[#This Row],[LỢI NHUẬN RÒNG]]</f>
        <v>6114434.0123000462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472348.5</v>
      </c>
      <c r="F91" s="21">
        <v>57217.006150022891</v>
      </c>
      <c r="G91" s="12">
        <f>D91+Table8414194101324273239434853567[[#This Row],[LỢI NHUẬN RÒNG]]</f>
        <v>3057217.0061500231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472348.5</v>
      </c>
      <c r="F92" s="21">
        <v>57217.006150022891</v>
      </c>
      <c r="G92" s="12">
        <f>D92+Table8414194101324273239434853567[[#This Row],[LỢI NHUẬN RÒNG]]</f>
        <v>3057217.0061500231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472348.5</v>
      </c>
      <c r="F93" s="21">
        <v>57217.006150022891</v>
      </c>
      <c r="G93" s="12">
        <f>D93+Table8414194101324273239434853567[[#This Row],[LỢI NHUẬN RÒNG]]</f>
        <v>3057217.0061500231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148442.93333333358</v>
      </c>
      <c r="F94" s="21">
        <v>-69915.290100965649</v>
      </c>
      <c r="G94" s="12">
        <f>D94+Table8414194101324273239434853567[[#This Row],[LỢI NHUẬN RÒNG]]</f>
        <v>1580084.7098990344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890657.60000000149</v>
      </c>
      <c r="F95" s="21">
        <v>-419491.74060579389</v>
      </c>
      <c r="G95" s="12">
        <f>D95+Table8414194101324273239434853567[[#This Row],[LỢI NHUẬN RÒNG]]</f>
        <v>9480508.2593942061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148442.93333333358</v>
      </c>
      <c r="F96" s="21">
        <v>-69915.290100965649</v>
      </c>
      <c r="G96" s="12">
        <f>D96+Table8414194101324273239434853567[[#This Row],[LỢI NHUẬN RÒNG]]</f>
        <v>1580084.7098990344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296885.86666666716</v>
      </c>
      <c r="F97" s="21">
        <v>-139830.5802019313</v>
      </c>
      <c r="G97" s="12">
        <f>D97+Table8414194101324273239434853567[[#This Row],[LỢI NHUẬN RÒNG]]</f>
        <v>3160169.4197980687</v>
      </c>
    </row>
    <row r="98" spans="1:7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148442.93333333358</v>
      </c>
      <c r="F98" s="21">
        <v>-69915.290100965649</v>
      </c>
      <c r="G98" s="12">
        <f>D98+Table8414194101324273239434853567[[#This Row],[LỢI NHUẬN RÒNG]]</f>
        <v>1580084.7098990344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890657.60000000149</v>
      </c>
      <c r="F99" s="21">
        <v>-419491.74060579389</v>
      </c>
      <c r="G99" s="12">
        <f>D99+Table8414194101324273239434853567[[#This Row],[LỢI NHUẬN RÒNG]]</f>
        <v>9480508.2593942061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148442.93333333358</v>
      </c>
      <c r="F100" s="21">
        <v>-69915.290100965649</v>
      </c>
      <c r="G100" s="12">
        <f>D100+Table8414194101324273239434853567[[#This Row],[LỢI NHUẬN RÒNG]]</f>
        <v>1580084.7098990344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148442.93333333358</v>
      </c>
      <c r="F101" s="21">
        <v>-69915.290100965649</v>
      </c>
      <c r="G101" s="12">
        <f>D101+Table8414194101324273239434853567[[#This Row],[LỢI NHUẬN RÒNG]]</f>
        <v>1580084.7098990344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148442.93333333358</v>
      </c>
      <c r="F102" s="21">
        <v>-69915.290100965649</v>
      </c>
      <c r="G102" s="12">
        <f>D102+Table8414194101324273239434853567[[#This Row],[LỢI NHUẬN RÒNG]]</f>
        <v>1580084.7098990344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-28014.583333333208</v>
      </c>
      <c r="F103" s="21">
        <v>-304655.77730236651</v>
      </c>
      <c r="G103" s="12">
        <f>D103+Table8414194101324273239434853567[[#This Row],[LỢI NHUẬN RÒNG]]</f>
        <v>1620344.2226976336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-168087.49999999924</v>
      </c>
      <c r="F104" s="21">
        <v>-1827934.6638141989</v>
      </c>
      <c r="G104" s="12">
        <f>D104+Table8414194101324273239434853567[[#This Row],[LỢI NHUẬN RÒNG]]</f>
        <v>9722065.3361858018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-28014.583333333208</v>
      </c>
      <c r="F105" s="21">
        <v>-304655.77730236651</v>
      </c>
      <c r="G105" s="12">
        <f>D105+Table8414194101324273239434853567[[#This Row],[LỢI NHUẬN RÒNG]]</f>
        <v>1620344.2226976336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-56029.166666666417</v>
      </c>
      <c r="F106" s="21">
        <v>-609311.55460473301</v>
      </c>
      <c r="G106" s="12">
        <f>D106+Table8414194101324273239434853567[[#This Row],[LỢI NHUẬN RÒNG]]</f>
        <v>3240688.4453952671</v>
      </c>
    </row>
    <row r="107" spans="1:7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-28014.583333333208</v>
      </c>
      <c r="F107" s="21">
        <v>-304655.77730236651</v>
      </c>
      <c r="G107" s="12">
        <f>D107+Table8414194101324273239434853567[[#This Row],[LỢI NHUẬN RÒNG]]</f>
        <v>1620344.2226976336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-168087.49999999924</v>
      </c>
      <c r="F108" s="21">
        <v>-1827934.6638141989</v>
      </c>
      <c r="G108" s="12">
        <f>D108+Table8414194101324273239434853567[[#This Row],[LỢI NHUẬN RÒNG]]</f>
        <v>9722065.3361858018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-28014.583333333208</v>
      </c>
      <c r="F109" s="21">
        <v>-304655.77730236651</v>
      </c>
      <c r="G109" s="12">
        <f>D109+Table8414194101324273239434853567[[#This Row],[LỢI NHUẬN RÒNG]]</f>
        <v>1620344.2226976336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-28014.583333333208</v>
      </c>
      <c r="F110" s="21">
        <v>-304655.77730236651</v>
      </c>
      <c r="G110" s="12">
        <f>D110+Table8414194101324273239434853567[[#This Row],[LỢI NHUẬN RÒNG]]</f>
        <v>1620344.2226976336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-28014.583333333208</v>
      </c>
      <c r="F111" s="21">
        <v>-304655.77730236651</v>
      </c>
      <c r="G111" s="12">
        <f>D111+Table8414194101324273239434853567[[#This Row],[LỢI NHUẬN RÒNG]]</f>
        <v>1620344.2226976336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-2840.8333333333953</v>
      </c>
      <c r="F112" s="21">
        <v>-171788.69542115461</v>
      </c>
      <c r="G112" s="12">
        <f>D112+Table8414194101324273239434853567[[#This Row],[LỢI NHUẬN RÒNG]]</f>
        <v>1028211.3045788454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-17045.000000000371</v>
      </c>
      <c r="F113" s="21">
        <v>-1030732.1725269275</v>
      </c>
      <c r="G113" s="12">
        <f>D113+Table8414194101324273239434853567[[#This Row],[LỢI NHUẬN RÒNG]]</f>
        <v>6169267.8274730723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-2840.8333333333953</v>
      </c>
      <c r="F114" s="21">
        <v>-171788.69542115461</v>
      </c>
      <c r="G114" s="12">
        <f>D114+Table8414194101324273239434853567[[#This Row],[LỢI NHUẬN RÒNG]]</f>
        <v>1028211.3045788454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-5681.6666666667907</v>
      </c>
      <c r="F115" s="11">
        <v>-343577.39084230922</v>
      </c>
      <c r="G115" s="12">
        <f>D115+Table8414194101324273239434853567[[#This Row],[LỢI NHUẬN RÒNG]]</f>
        <v>2056422.6091576908</v>
      </c>
    </row>
    <row r="116" spans="1:7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-2840.8333333333953</v>
      </c>
      <c r="F116" s="11">
        <v>-171788.69542115461</v>
      </c>
      <c r="G116" s="12">
        <f>D116+Table8414194101324273239434853567[[#This Row],[LỢI NHUẬN RÒNG]]</f>
        <v>1028211.3045788454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-17045.000000000371</v>
      </c>
      <c r="F117" s="11">
        <v>-1030732.1725269275</v>
      </c>
      <c r="G117" s="12">
        <f>D117+Table8414194101324273239434853567[[#This Row],[LỢI NHUẬN RÒNG]]</f>
        <v>6169267.8274730723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-2840.8333333333953</v>
      </c>
      <c r="F118" s="11">
        <v>-171788.69542115461</v>
      </c>
      <c r="G118" s="12">
        <f>D118+Table8414194101324273239434853567[[#This Row],[LỢI NHUẬN RÒNG]]</f>
        <v>1028211.3045788454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-2840.8333333333953</v>
      </c>
      <c r="F119" s="11">
        <v>-171788.69542115461</v>
      </c>
      <c r="G119" s="12">
        <f>D119+Table8414194101324273239434853567[[#This Row],[LỢI NHUẬN RÒNG]]</f>
        <v>1028211.3045788454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-2840.8333333333953</v>
      </c>
      <c r="F120" s="21">
        <v>-171788.69542115461</v>
      </c>
      <c r="G120" s="12">
        <f>D120+Table8414194101324273239434853567[[#This Row],[LỢI NHUẬN RÒNG]]</f>
        <v>1028211.3045788454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2970094.75</v>
      </c>
      <c r="F121" s="11">
        <v>1744113.1267982868</v>
      </c>
      <c r="G121" s="12">
        <f>D121+Table8414194101324273239434853567[[#This Row],[LỢI NHUẬN RÒNG]]</f>
        <v>6644113.126798287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848598.5</v>
      </c>
      <c r="F122" s="11">
        <v>498318.03622808197</v>
      </c>
      <c r="G122" s="12">
        <f>D122+Table8414194101324273239434853567[[#This Row],[LỢI NHUẬN RÒNG]]</f>
        <v>1898318.0362280819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848598.5</v>
      </c>
      <c r="F123" s="11">
        <v>498318.03622808197</v>
      </c>
      <c r="G123" s="12">
        <f>D123+Table8414194101324273239434853567[[#This Row],[LỢI NHUẬN RÒNG]]</f>
        <v>1898318.0362280819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848598.5</v>
      </c>
      <c r="F124" s="11">
        <v>498318.03622808197</v>
      </c>
      <c r="G124" s="12">
        <f>D124+Table8414194101324273239434853567[[#This Row],[LỢI NHUẬN RÒNG]]</f>
        <v>1898318.0362280819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424299.25</v>
      </c>
      <c r="F125" s="11">
        <v>249159.01811404098</v>
      </c>
      <c r="G125" s="12">
        <f>D125+Table8414194101324273239434853567[[#This Row],[LỢI NHUẬN RÒNG]]</f>
        <v>949159.01811404095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1697197</v>
      </c>
      <c r="F126" s="11">
        <v>996636.07245616394</v>
      </c>
      <c r="G126" s="12">
        <f>D126+Table8414194101324273239434853567[[#This Row],[LỢI NHUẬN RÒNG]]</f>
        <v>3796636.0724561638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848598.5</v>
      </c>
      <c r="F127" s="21">
        <v>498318.03622808197</v>
      </c>
      <c r="G127" s="12">
        <f>D127+Table8414194101324273239434853567[[#This Row],[LỢI NHUẬN RÒNG]]</f>
        <v>1898318.0362280819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1647451.8</v>
      </c>
      <c r="F128" s="11">
        <v>682681.30200892838</v>
      </c>
      <c r="G128" s="12">
        <f>D128+Table8414194101324273239434853567[[#This Row],[LỢI NHUẬN RÒNG]]</f>
        <v>9342681.3020089287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823725.9</v>
      </c>
      <c r="F129" s="11">
        <v>341340.65100446419</v>
      </c>
      <c r="G129" s="12">
        <f>D129+Table8414194101324273239434853567[[#This Row],[LỢI NHUẬN RÒNG]]</f>
        <v>4671340.6510044644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823725.9</v>
      </c>
      <c r="F130" s="11">
        <v>341340.65100446419</v>
      </c>
      <c r="G130" s="12">
        <f>D130+Table8414194101324273239434853567[[#This Row],[LỢI NHUẬN RÒNG]]</f>
        <v>4671340.6510044644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1647451.8</v>
      </c>
      <c r="F131" s="11">
        <v>682681.30200892838</v>
      </c>
      <c r="G131" s="12">
        <f>D131+Table8414194101324273239434853567[[#This Row],[LỢI NHUẬN RÒNG]]</f>
        <v>9342681.3020089287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411862.95</v>
      </c>
      <c r="F132" s="11">
        <v>170670.3255022321</v>
      </c>
      <c r="G132" s="12">
        <f>D132+Table8414194101324273239434853567[[#This Row],[LỢI NHUẬN RÒNG]]</f>
        <v>2335670.3255022322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823725.9</v>
      </c>
      <c r="F133" s="11">
        <v>341340.65100446419</v>
      </c>
      <c r="G133" s="12">
        <f>D133+Table8414194101324273239434853567[[#This Row],[LỢI NHUẬN RÒNG]]</f>
        <v>4671340.6510044644</v>
      </c>
    </row>
    <row r="134" spans="1:7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411862.95</v>
      </c>
      <c r="F134" s="11">
        <v>170670.3255022321</v>
      </c>
      <c r="G134" s="12">
        <f>D134+Table8414194101324273239434853567[[#This Row],[LỢI NHUẬN RÒNG]]</f>
        <v>2335670.3255022322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411862.95</v>
      </c>
      <c r="F135" s="11">
        <v>170670.3255022321</v>
      </c>
      <c r="G135" s="12">
        <f>D135+Table8414194101324273239434853567[[#This Row],[LỢI NHUẬN RÒNG]]</f>
        <v>2335670.3255022322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1235588.8500000001</v>
      </c>
      <c r="F136" s="11">
        <v>512010.97650669626</v>
      </c>
      <c r="G136" s="12">
        <f>D136+Table8414194101324273239434853567[[#This Row],[LỢI NHUẬN RÒNG]]</f>
        <v>7007010.9765066961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808814.1</v>
      </c>
      <c r="F137" s="11">
        <v>508468.71997530683</v>
      </c>
      <c r="G137" s="12">
        <f>D137+Table8414194101324273239434853567[[#This Row],[LỢI NHUẬN RÒNG]]</f>
        <v>1558468.7199753069</v>
      </c>
    </row>
    <row r="138" spans="1:7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808814.1</v>
      </c>
      <c r="F138" s="11">
        <v>508468.71997530683</v>
      </c>
      <c r="G138" s="12">
        <f>D138+Table8414194101324273239434853567[[#This Row],[LỢI NHUẬN RÒNG]]</f>
        <v>1558468.7199753069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3639663.45</v>
      </c>
      <c r="F139" s="11">
        <v>2288109.2398888809</v>
      </c>
      <c r="G139" s="12">
        <f>D139+Table8414194101324273239434853567[[#This Row],[LỢI NHUẬN RÒNG]]</f>
        <v>7013109.2398888804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808814.1</v>
      </c>
      <c r="F140" s="11">
        <v>508468.71997530683</v>
      </c>
      <c r="G140" s="12">
        <f>D140+Table8414194101324273239434853567[[#This Row],[LỢI NHUẬN RÒNG]]</f>
        <v>1558468.7199753069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1303588.3999999999</v>
      </c>
      <c r="F141" s="21">
        <v>878464.53467022104</v>
      </c>
      <c r="G141" s="12">
        <f>D141+Table8414194101324273239434853567[[#This Row],[LỢI NHUẬN RÒNG]]</f>
        <v>3958464.5346702212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808814.1</v>
      </c>
      <c r="F142" s="21">
        <v>508468.71997530683</v>
      </c>
      <c r="G142" s="12">
        <f>D142+Table8414194101324273239434853567[[#This Row],[LỢI NHUẬN RÒNG]]</f>
        <v>1558468.7199753069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1213221.1499999999</v>
      </c>
      <c r="F143" s="21">
        <v>762703.07996296021</v>
      </c>
      <c r="G143" s="12">
        <f>D143+Table8414194101324273239434853567[[#This Row],[LỢI NHUẬN RÒNG]]</f>
        <v>2337703.0799629604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3359893.3333333326</v>
      </c>
      <c r="F144" s="21">
        <v>2185580.0463064807</v>
      </c>
      <c r="G144" s="12">
        <f>D144+Table8414194101324273239434853567[[#This Row],[LỢI NHUẬN RÒNG]]</f>
        <v>10585580.04630648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2519919.9999999995</v>
      </c>
      <c r="F145" s="21">
        <v>1639185.0347298605</v>
      </c>
      <c r="G145" s="12">
        <f>D145+Table8414194101324273239434853567[[#This Row],[LỢI NHUẬN RÒNG]]</f>
        <v>7939185.0347298607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1679946.6666666663</v>
      </c>
      <c r="F146" s="21">
        <v>1092790.0231532403</v>
      </c>
      <c r="G146" s="12">
        <f>D146+Table8414194101324273239434853567[[#This Row],[LỢI NHUẬN RÒNG]]</f>
        <v>5292790.0231532399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5039839.9999999991</v>
      </c>
      <c r="F147" s="21">
        <v>3278370.069459721</v>
      </c>
      <c r="G147" s="12">
        <f>D147+Table8414194101324273239434853567[[#This Row],[LỢI NHUẬN RÒNG]]</f>
        <v>15878370.069459721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1679946.6666666663</v>
      </c>
      <c r="F148" s="21">
        <v>1092790.0231532403</v>
      </c>
      <c r="G148" s="12">
        <f>D148+Table8414194101324273239434853567[[#This Row],[LỢI NHUẬN RÒNG]]</f>
        <v>5292790.0231532399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2519919.9999999995</v>
      </c>
      <c r="F149" s="21">
        <v>1639185.0347298605</v>
      </c>
      <c r="G149" s="12">
        <f>D149+Table8414194101324273239434853567[[#This Row],[LỢI NHUẬN RÒNG]]</f>
        <v>7939185.0347298607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384040.6</v>
      </c>
      <c r="F150" s="21">
        <v>-51541.439071896675</v>
      </c>
      <c r="G150" s="12">
        <f>D150+Table8414194101324273239434853567[[#This Row],[LỢI NHUẬN RÒNG]]</f>
        <v>2798458.5609281035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384040.6</v>
      </c>
      <c r="F151" s="21">
        <v>-51541.439071896675</v>
      </c>
      <c r="G151" s="12">
        <f>D151+Table8414194101324273239434853567[[#This Row],[LỢI NHUẬN RÒNG]]</f>
        <v>2798458.5609281035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384040.6</v>
      </c>
      <c r="F152" s="21">
        <v>-51541.439071896675</v>
      </c>
      <c r="G152" s="12">
        <f>D152+Table8414194101324273239434853567[[#This Row],[LỢI NHUẬN RÒNG]]</f>
        <v>2798458.5609281035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768081.2</v>
      </c>
      <c r="F153" s="21">
        <v>-103082.87814379335</v>
      </c>
      <c r="G153" s="12">
        <f>D153+Table8414194101324273239434853567[[#This Row],[LỢI NHUẬN RÒNG]]</f>
        <v>5596917.121856207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768081.2</v>
      </c>
      <c r="F154" s="21">
        <v>-103082.87814379335</v>
      </c>
      <c r="G154" s="12">
        <f>D154+Table8414194101324273239434853567[[#This Row],[LỢI NHUẬN RÒNG]]</f>
        <v>5596917.121856207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384040.6</v>
      </c>
      <c r="F155" s="21">
        <v>-51541.439071896675</v>
      </c>
      <c r="G155" s="12">
        <f>D155+Table8414194101324273239434853567[[#This Row],[LỢI NHUẬN RÒNG]]</f>
        <v>2798458.5609281035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384040.6</v>
      </c>
      <c r="F156" s="21">
        <v>-51541.439071896675</v>
      </c>
      <c r="G156" s="12">
        <f>D156+Table8414194101324273239434853567[[#This Row],[LỢI NHUẬN RÒNG]]</f>
        <v>2798458.5609281035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384040.6</v>
      </c>
      <c r="F157" s="21">
        <v>-51541.439071896675</v>
      </c>
      <c r="G157" s="12">
        <f>D157+Table8414194101324273239434853567[[#This Row],[LỢI NHUẬN RÒNG]]</f>
        <v>2798458.5609281035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12000000</v>
      </c>
      <c r="E158" s="21">
        <v>3113573.1600000011</v>
      </c>
      <c r="F158" s="21">
        <v>1875000.2470601678</v>
      </c>
      <c r="G158" s="12">
        <f>D158+Table8414194101324273239434853567[[#This Row],[LỢI NHUẬN RÒNG]]</f>
        <v>13875000.247060169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2000000</v>
      </c>
      <c r="E159" s="21">
        <v>518928.86000000016</v>
      </c>
      <c r="F159" s="21">
        <v>312500.04117669462</v>
      </c>
      <c r="G159" s="12">
        <f>D159+Table8414194101324273239434853567[[#This Row],[LỢI NHUẬN RÒNG]]</f>
        <v>2312500.0411766944</v>
      </c>
      <c r="H159" s="11"/>
    </row>
    <row r="160" spans="1:10" x14ac:dyDescent="0.3">
      <c r="A160" s="23" t="s">
        <v>57</v>
      </c>
      <c r="B160" s="21" t="s">
        <v>33</v>
      </c>
      <c r="C160" s="21">
        <v>5</v>
      </c>
      <c r="D160" s="21">
        <v>2000000</v>
      </c>
      <c r="E160" s="21">
        <v>518928.86000000016</v>
      </c>
      <c r="F160" s="21">
        <v>312500.04117669462</v>
      </c>
      <c r="G160" s="12">
        <f>D160+Table8414194101324273239434853567[[#This Row],[LỢI NHUẬN RÒNG]]</f>
        <v>2312500.0411766944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4000000</v>
      </c>
      <c r="E161" s="21">
        <v>1037857.7200000003</v>
      </c>
      <c r="F161" s="21">
        <v>625000.08235338924</v>
      </c>
      <c r="G161" s="12">
        <f>D161+Table8414194101324273239434853567[[#This Row],[LỢI NHUẬN RÒNG]]</f>
        <v>4625000.0823533889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8000000</v>
      </c>
      <c r="E162" s="21">
        <v>2075715.4400000006</v>
      </c>
      <c r="F162" s="21">
        <v>1250000.1647067785</v>
      </c>
      <c r="G162" s="12">
        <f>D162+Table8414194101324273239434853567[[#This Row],[LỢI NHUẬN RÒNG]]</f>
        <v>9250000.1647067778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2000000</v>
      </c>
      <c r="E163" s="21">
        <v>518928.86000000016</v>
      </c>
      <c r="F163" s="21">
        <v>312500.04117669462</v>
      </c>
      <c r="G163" s="12">
        <f>D163+Table8414194101324273239434853567[[#This Row],[LỢI NHUẬN RÒNG]]</f>
        <v>2312500.0411766944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10000000</v>
      </c>
      <c r="E164" s="21">
        <v>2594644.3000000007</v>
      </c>
      <c r="F164" s="21">
        <v>1562500.2058834732</v>
      </c>
      <c r="G164" s="12">
        <f>D164+Table8414194101324273239434853567[[#This Row],[LỢI NHUẬN RÒNG]]</f>
        <v>11562500.205883473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1875000</v>
      </c>
      <c r="E165" s="21">
        <v>626757.7200000002</v>
      </c>
      <c r="F165" s="21">
        <v>195812.92466187011</v>
      </c>
      <c r="G165" s="12">
        <f>D165+Table8414194101324273239434853567[[#This Row],[LỢI NHUẬN RÒNG]]</f>
        <v>2070812.9246618701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3750000</v>
      </c>
      <c r="E166" s="21">
        <v>1253515.4400000004</v>
      </c>
      <c r="F166" s="21">
        <v>391625.84932374023</v>
      </c>
      <c r="G166" s="12">
        <f>D166+Table8414194101324273239434853567[[#This Row],[LỢI NHUẬN RÒNG]]</f>
        <v>4141625.8493237402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625000</v>
      </c>
      <c r="E167" s="18">
        <v>208919.24000000005</v>
      </c>
      <c r="F167" s="18">
        <v>65270.974887290038</v>
      </c>
      <c r="G167" s="12">
        <f>D167+Table8414194101324273239434853567[[#This Row],[LỢI NHUẬN RÒNG]]</f>
        <v>690270.97488729004</v>
      </c>
      <c r="H167" s="11"/>
    </row>
    <row r="168" spans="1:10" x14ac:dyDescent="0.3">
      <c r="A168" s="23" t="s">
        <v>58</v>
      </c>
      <c r="B168" s="21" t="s">
        <v>33</v>
      </c>
      <c r="C168" s="21">
        <v>5</v>
      </c>
      <c r="D168" s="21">
        <v>625000</v>
      </c>
      <c r="E168" s="21">
        <v>208919.24000000005</v>
      </c>
      <c r="F168" s="21">
        <v>65270.974887290038</v>
      </c>
      <c r="G168" s="12">
        <f>D168+Table8414194101324273239434853567[[#This Row],[LỢI NHUẬN RÒNG]]</f>
        <v>690270.97488729004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1250000</v>
      </c>
      <c r="E169" s="21">
        <v>417838.4800000001</v>
      </c>
      <c r="F169" s="21">
        <v>130541.94977458008</v>
      </c>
      <c r="G169" s="12">
        <f>D169+Table8414194101324273239434853567[[#This Row],[LỢI NHUẬN RÒNG]]</f>
        <v>1380541.9497745801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2500000</v>
      </c>
      <c r="E170" s="21">
        <v>835676.9600000002</v>
      </c>
      <c r="F170" s="21">
        <v>261083.89954916015</v>
      </c>
      <c r="G170" s="12">
        <f>D170+Table8414194101324273239434853567[[#This Row],[LỢI NHUẬN RÒNG]]</f>
        <v>2761083.8995491602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625000</v>
      </c>
      <c r="E171" s="21">
        <v>208919.24000000005</v>
      </c>
      <c r="F171" s="21">
        <v>65270.974887290038</v>
      </c>
      <c r="G171" s="12">
        <f>D171+Table8414194101324273239434853567[[#This Row],[LỢI NHUẬN RÒNG]]</f>
        <v>690270.97488729004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625000</v>
      </c>
      <c r="E172" s="21">
        <v>208919.24000000005</v>
      </c>
      <c r="F172" s="21">
        <v>65270.974887290038</v>
      </c>
      <c r="G172" s="12">
        <f>D172+Table8414194101324273239434853567[[#This Row],[LỢI NHUẬN RÒNG]]</f>
        <v>690270.97488729004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625000</v>
      </c>
      <c r="E173" s="21">
        <v>208919.24000000005</v>
      </c>
      <c r="F173" s="21">
        <v>65270.974887290038</v>
      </c>
      <c r="G173" s="12">
        <f>D173+Table8414194101324273239434853567[[#This Row],[LỢI NHUẬN RÒNG]]</f>
        <v>690270.97488729004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2470885.2000000002</v>
      </c>
      <c r="F174" s="21">
        <v>1433096.1800653308</v>
      </c>
      <c r="G174" s="12">
        <f>D174+Table8414194101324273239434853567[[#This Row],[LỢI NHUẬN RÒNG]]</f>
        <v>8833096.1800653301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617721.30000000005</v>
      </c>
      <c r="F175" s="21">
        <v>358274.0450163327</v>
      </c>
      <c r="G175" s="12">
        <f>D175+Table8414194101324273239434853567[[#This Row],[LỢI NHUẬN RÒNG]]</f>
        <v>2208274.0450163325</v>
      </c>
      <c r="H175" s="11"/>
    </row>
    <row r="176" spans="1:10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1235442.6000000001</v>
      </c>
      <c r="F176" s="21">
        <v>716548.09003266541</v>
      </c>
      <c r="G176" s="12">
        <f>D176+Table8414194101324273239434853567[[#This Row],[LỢI NHUẬN RÒNG]]</f>
        <v>4416548.0900326651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1235442.6000000001</v>
      </c>
      <c r="F177" s="21">
        <v>716548.09003266541</v>
      </c>
      <c r="G177" s="12">
        <f>D177+Table8414194101324273239434853567[[#This Row],[LỢI NHUẬN RÒNG]]</f>
        <v>4416548.0900326651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617721.30000000005</v>
      </c>
      <c r="F178" s="21">
        <v>358274.0450163327</v>
      </c>
      <c r="G178" s="12">
        <f>D178+Table8414194101324273239434853567[[#This Row],[LỢI NHUẬN RÒNG]]</f>
        <v>2208274.0450163325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2470885.2000000002</v>
      </c>
      <c r="F179" s="21">
        <v>1433096.1800653308</v>
      </c>
      <c r="G179" s="12">
        <f>D179+Table8414194101324273239434853567[[#This Row],[LỢI NHUẬN RÒNG]]</f>
        <v>8833096.1800653301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1235442.6000000001</v>
      </c>
      <c r="F180" s="21">
        <v>716548.09003266541</v>
      </c>
      <c r="G180" s="12">
        <f>D180+Table8414194101324273239434853567[[#This Row],[LỢI NHUẬN RÒNG]]</f>
        <v>4416548.0900326651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617721.30000000005</v>
      </c>
      <c r="F181" s="21">
        <v>358274.0450163327</v>
      </c>
      <c r="G181" s="12">
        <f>D181+Table8414194101324273239434853567[[#This Row],[LỢI NHUẬN RÒNG]]</f>
        <v>2208274.0450163325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1853163.9</v>
      </c>
      <c r="F182" s="21">
        <v>1074822.1350489981</v>
      </c>
      <c r="G182" s="12">
        <f>D182+Table8414194101324273239434853567[[#This Row],[LỢI NHUẬN RÒNG]]</f>
        <v>6624822.1350489985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1200398.9333333329</v>
      </c>
      <c r="F183" s="18">
        <v>772493.09964126942</v>
      </c>
      <c r="G183" s="12">
        <f>D183+Table8414194101324273239434853567[[#This Row],[LỢI NHUẬN RÒNG]]</f>
        <v>3939159.7663079365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1800598.3999999994</v>
      </c>
      <c r="F184" s="21">
        <v>1158739.6494619041</v>
      </c>
      <c r="G184" s="12">
        <f>D184+Table8414194101324273239434853567[[#This Row],[LỢI NHUẬN RÒNG]]</f>
        <v>5908739.6494619045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600199.46666666644</v>
      </c>
      <c r="F185" s="21">
        <v>386246.54982063471</v>
      </c>
      <c r="G185" s="12">
        <f>D185+Table8414194101324273239434853567[[#This Row],[LỢI NHUẬN RÒNG]]</f>
        <v>1969579.8831539683</v>
      </c>
      <c r="H185" s="28"/>
    </row>
    <row r="186" spans="1:9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600199.46666666644</v>
      </c>
      <c r="F186" s="21">
        <v>386246.54982063471</v>
      </c>
      <c r="G186" s="12">
        <f>D186+Table8414194101324273239434853567[[#This Row],[LỢI NHUẬN RÒNG]]</f>
        <v>1969579.8831539683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1200398.9333333329</v>
      </c>
      <c r="F187" s="21">
        <v>772493.09964126942</v>
      </c>
      <c r="G187" s="12">
        <f>D187+Table8414194101324273239434853567[[#This Row],[LỢI NHUẬN RÒNG]]</f>
        <v>3939159.7663079365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1200398.9333333329</v>
      </c>
      <c r="F188" s="21">
        <v>772493.09964126942</v>
      </c>
      <c r="G188" s="12">
        <f>D188+Table8414194101324273239434853567[[#This Row],[LỢI NHUẬN RÒNG]]</f>
        <v>3939159.7663079365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1800598.3999999994</v>
      </c>
      <c r="F189" s="21">
        <v>1158739.6494619041</v>
      </c>
      <c r="G189" s="12">
        <f>D189+Table8414194101324273239434853567[[#This Row],[LỢI NHUẬN RÒNG]]</f>
        <v>5908739.6494619045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600199.46666666644</v>
      </c>
      <c r="F190" s="21">
        <v>386246.54982063471</v>
      </c>
      <c r="G190" s="12">
        <f>D190+Table8414194101324273239434853567[[#This Row],[LỢI NHUẬN RÒNG]]</f>
        <v>1969579.8831539683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1200398.9333333329</v>
      </c>
      <c r="F191" s="21">
        <v>772493.09964126942</v>
      </c>
      <c r="G191" s="12">
        <f>D191+Table8414194101324273239434853567[[#This Row],[LỢI NHUẬN RÒNG]]</f>
        <v>3939159.7663079365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600199.46666666644</v>
      </c>
      <c r="F192" s="21">
        <v>386246.54982063471</v>
      </c>
      <c r="G192" s="12">
        <f>D192+Table8414194101324273239434853567[[#This Row],[LỢI NHUẬN RÒNG]]</f>
        <v>1969579.8831539683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600199.46666666644</v>
      </c>
      <c r="F193" s="21">
        <v>386246.54982063471</v>
      </c>
      <c r="G193" s="12">
        <f>D193+Table8414194101324273239434853567[[#This Row],[LỢI NHUẬN RÒNG]]</f>
        <v>1969579.8831539683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600199.46666666644</v>
      </c>
      <c r="F194" s="21">
        <v>386246.54982063471</v>
      </c>
      <c r="G194" s="12">
        <f>D194+Table8414194101324273239434853567[[#This Row],[LỢI NHUẬN RÒNG]]</f>
        <v>1969579.8831539683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585953.4</v>
      </c>
      <c r="F195" s="21">
        <v>211252.32846473047</v>
      </c>
      <c r="G195" s="12">
        <f>D195+Table8414194101324273239434853567[[#This Row],[LỢI NHUẬN RÒNG]]</f>
        <v>1711252.3284647304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585953.4</v>
      </c>
      <c r="F196" s="21">
        <v>211252.32846473047</v>
      </c>
      <c r="G196" s="12">
        <f>D196+Table8414194101324273239434853567[[#This Row],[LỢI NHUẬN RÒNG]]</f>
        <v>1711252.3284647304</v>
      </c>
      <c r="H196" s="28"/>
    </row>
    <row r="197" spans="1:8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195317.8</v>
      </c>
      <c r="F197" s="21">
        <v>70417.442821576813</v>
      </c>
      <c r="G197" s="12">
        <f>D197+Table8414194101324273239434853567[[#This Row],[LỢI NHUẬN RÒNG]]</f>
        <v>570417.44282157684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390635.6</v>
      </c>
      <c r="F198" s="21">
        <v>140834.88564315363</v>
      </c>
      <c r="G198" s="12">
        <f>D198+Table8414194101324273239434853567[[#This Row],[LỢI NHUẬN RÒNG]]</f>
        <v>1140834.8856431537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390635.6</v>
      </c>
      <c r="F199" s="21">
        <v>140834.88564315363</v>
      </c>
      <c r="G199" s="12">
        <f>D199+Table8414194101324273239434853567[[#This Row],[LỢI NHUẬN RÒNG]]</f>
        <v>1140834.8856431537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585953.4</v>
      </c>
      <c r="F200" s="21">
        <v>211252.32846473047</v>
      </c>
      <c r="G200" s="12">
        <f>D200+Table8414194101324273239434853567[[#This Row],[LỢI NHUẬN RÒNG]]</f>
        <v>1711252.3284647304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195317.8</v>
      </c>
      <c r="F201" s="21">
        <v>70417.442821576813</v>
      </c>
      <c r="G201" s="12">
        <f>D201+Table8414194101324273239434853567[[#This Row],[LỢI NHUẬN RÒNG]]</f>
        <v>570417.44282157684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195317.8</v>
      </c>
      <c r="F202" s="21">
        <v>70417.442821576813</v>
      </c>
      <c r="G202" s="12">
        <f>D202+Table8414194101324273239434853567[[#This Row],[LỢI NHUẬN RÒNG]]</f>
        <v>570417.44282157684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195317.8</v>
      </c>
      <c r="F203" s="21">
        <v>70417.442821576813</v>
      </c>
      <c r="G203" s="12">
        <f>D203+Table8414194101324273239434853567[[#This Row],[LỢI NHUẬN RÒNG]]</f>
        <v>570417.44282157684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390635.6</v>
      </c>
      <c r="F204" s="21">
        <v>140834.88564315363</v>
      </c>
      <c r="G204" s="12">
        <f>D204+Table8414194101324273239434853567[[#This Row],[LỢI NHUẬN RÒNG]]</f>
        <v>1140834.8856431537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195317.8</v>
      </c>
      <c r="F205" s="21">
        <v>70417.442821576813</v>
      </c>
      <c r="G205" s="12">
        <f>D205+Table8414194101324273239434853567[[#This Row],[LỢI NHUẬN RÒNG]]</f>
        <v>570417.44282157684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1173385.8999999999</v>
      </c>
      <c r="F206" s="21">
        <v>547630.38476468844</v>
      </c>
      <c r="G206" s="21">
        <f>Table8414194101324273239434853567[[#This Row],[VỐN CP]]+Table8414194101324273239434853567[[#This Row],[LỢI NHUẬN RÒNG]]</f>
        <v>4147630.3847646886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2933464.75</v>
      </c>
      <c r="F207" s="21">
        <v>1369075.9619117212</v>
      </c>
      <c r="G207" s="21">
        <f>Table8414194101324273239434853567[[#This Row],[VỐN CP]]+Table8414194101324273239434853567[[#This Row],[LỢI NHUẬN RÒNG]]</f>
        <v>10369075.961911721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1173385.8999999999</v>
      </c>
      <c r="F208" s="21">
        <v>547630.38476468844</v>
      </c>
      <c r="G208" s="21">
        <f>Table8414194101324273239434853567[[#This Row],[VỐN CP]]+Table8414194101324273239434853567[[#This Row],[LỢI NHUẬN RÒNG]]</f>
        <v>4147630.3847646886</v>
      </c>
      <c r="H208" s="28"/>
    </row>
    <row r="209" spans="1:8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586692.94999999995</v>
      </c>
      <c r="F209" s="21">
        <v>273815.19238234422</v>
      </c>
      <c r="G209" s="21">
        <f>Table8414194101324273239434853567[[#This Row],[VỐN CP]]+Table8414194101324273239434853567[[#This Row],[LỢI NHUẬN RÒNG]]</f>
        <v>2073815.1923823443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586692.94999999995</v>
      </c>
      <c r="F210" s="21">
        <v>273815.19238234422</v>
      </c>
      <c r="G210" s="21">
        <f>Table8414194101324273239434853567[[#This Row],[VỐN CP]]+Table8414194101324273239434853567[[#This Row],[LỢI NHUẬN RÒNG]]</f>
        <v>2073815.1923823443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2346771.7999999998</v>
      </c>
      <c r="F211" s="21">
        <v>1095260.7695293769</v>
      </c>
      <c r="G211" s="21">
        <f>Table8414194101324273239434853567[[#This Row],[VỐN CP]]+Table8414194101324273239434853567[[#This Row],[LỢI NHUẬN RÒNG]]</f>
        <v>8295260.7695293771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1173385.8999999999</v>
      </c>
      <c r="F212" s="21">
        <v>547630.38476468844</v>
      </c>
      <c r="G212" s="21">
        <f>Table8414194101324273239434853567[[#This Row],[VỐN CP]]+Table8414194101324273239434853567[[#This Row],[LỢI NHUẬN RÒNG]]</f>
        <v>4147630.3847646886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586692.94999999995</v>
      </c>
      <c r="F213" s="21">
        <v>273815.19238234422</v>
      </c>
      <c r="G213" s="21">
        <f>Table8414194101324273239434853567[[#This Row],[VỐN CP]]+Table8414194101324273239434853567[[#This Row],[LỢI NHUẬN RÒNG]]</f>
        <v>2073815.1923823443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1173385.8999999999</v>
      </c>
      <c r="F214" s="21">
        <v>547630.38476468844</v>
      </c>
      <c r="G214" s="21">
        <f>Table8414194101324273239434853567[[#This Row],[VỐN CP]]+Table8414194101324273239434853567[[#This Row],[LỢI NHUẬN RÒNG]]</f>
        <v>4147630.3847646886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1128871.2</v>
      </c>
      <c r="F215" s="21">
        <v>457834.09817713796</v>
      </c>
      <c r="G215" s="21">
        <f>Table8414194101324273239434853567[[#This Row],[VỐN CP]]+Table8414194101324273239434853567[[#This Row],[LỢI NHUẬN RÒNG]]</f>
        <v>6657834.0981771378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2257742.4</v>
      </c>
      <c r="F216" s="21">
        <v>915668.19635427592</v>
      </c>
      <c r="G216" s="21">
        <f>Table8414194101324273239434853567[[#This Row],[VỐN CP]]+Table8414194101324273239434853567[[#This Row],[LỢI NHUẬN RÒNG]]</f>
        <v>13315668.196354276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1128871.2</v>
      </c>
      <c r="F217" s="21">
        <v>457834.09817713796</v>
      </c>
      <c r="G217" s="21">
        <f>Table8414194101324273239434853567[[#This Row],[VỐN CP]]+Table8414194101324273239434853567[[#This Row],[LỢI NHUẬN RÒNG]]</f>
        <v>6657834.0981771378</v>
      </c>
      <c r="H217" s="28"/>
    </row>
    <row r="218" spans="1:8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564435.6</v>
      </c>
      <c r="F218" s="21">
        <v>228917.04908856898</v>
      </c>
      <c r="G218" s="21">
        <f>Table8414194101324273239434853567[[#This Row],[VỐN CP]]+Table8414194101324273239434853567[[#This Row],[LỢI NHUẬN RÒNG]]</f>
        <v>3328917.0490885689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564435.6</v>
      </c>
      <c r="F219" s="21">
        <v>228917.04908856898</v>
      </c>
      <c r="G219" s="21">
        <f>Table8414194101324273239434853567[[#This Row],[VỐN CP]]+Table8414194101324273239434853567[[#This Row],[LỢI NHUẬN RÒNG]]</f>
        <v>3328917.0490885689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1128871.2</v>
      </c>
      <c r="F220" s="21">
        <v>457834.09817713796</v>
      </c>
      <c r="G220" s="21">
        <f>Table8414194101324273239434853567[[#This Row],[VỐN CP]]+Table8414194101324273239434853567[[#This Row],[LỢI NHUẬN RÒNG]]</f>
        <v>6657834.0981771378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564435.6</v>
      </c>
      <c r="F221" s="21">
        <v>228917.04908856898</v>
      </c>
      <c r="G221" s="21">
        <f>Table8414194101324273239434853567[[#This Row],[VỐN CP]]+Table8414194101324273239434853567[[#This Row],[LỢI NHUẬN RÒNG]]</f>
        <v>3328917.0490885689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1128871.2</v>
      </c>
      <c r="F222" s="21">
        <v>457834.09817713796</v>
      </c>
      <c r="G222" s="21">
        <f>Table8414194101324273239434853567[[#This Row],[VỐN CP]]+Table8414194101324273239434853567[[#This Row],[LỢI NHUẬN RÒNG]]</f>
        <v>6657834.0981771378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1128871.2</v>
      </c>
      <c r="F223" s="21">
        <v>457834.09817713796</v>
      </c>
      <c r="G223" s="21">
        <f>Table8414194101324273239434853567[[#This Row],[VỐN CP]]+Table8414194101324273239434853567[[#This Row],[LỢI NHUẬN RÒNG]]</f>
        <v>6657834.0981771378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564435.6</v>
      </c>
      <c r="F224" s="21">
        <v>228917.04908856898</v>
      </c>
      <c r="G224" s="21">
        <f>Table8414194101324273239434853567[[#This Row],[VỐN CP]]+Table8414194101324273239434853567[[#This Row],[LỢI NHUẬN RÒNG]]</f>
        <v>3328917.0490885689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1128871.2</v>
      </c>
      <c r="F225" s="21">
        <v>457834.09817713796</v>
      </c>
      <c r="G225" s="21">
        <f>Table8414194101324273239434853567[[#This Row],[VỐN CP]]+Table8414194101324273239434853567[[#This Row],[LỢI NHUẬN RÒNG]]</f>
        <v>6657834.0981771378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1442608.9</v>
      </c>
      <c r="F226" s="21">
        <v>900114.00753646274</v>
      </c>
      <c r="G226" s="21">
        <f>Table8414194101324273239434853567[[#This Row],[VỐN CP]]+Table8414194101324273239434853567[[#This Row],[LỢI NHUẬN RÒNG]]</f>
        <v>4600114.0075364625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2885217.8</v>
      </c>
      <c r="F227" s="21">
        <v>1800228.0150729255</v>
      </c>
      <c r="G227" s="21">
        <f>Table8414194101324273239434853567[[#This Row],[VỐN CP]]+Table8414194101324273239434853567[[#This Row],[LỢI NHUẬN RÒNG]]</f>
        <v>9200228.015072925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1442608.9</v>
      </c>
      <c r="F228" s="21">
        <v>900114.00753646274</v>
      </c>
      <c r="G228" s="21">
        <f>Table8414194101324273239434853567[[#This Row],[VỐN CP]]+Table8414194101324273239434853567[[#This Row],[LỢI NHUẬN RÒNG]]</f>
        <v>4600114.0075364625</v>
      </c>
      <c r="H228" s="28"/>
    </row>
    <row r="229" spans="1:10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721304.45</v>
      </c>
      <c r="F229" s="21">
        <v>450057.00376823137</v>
      </c>
      <c r="G229" s="21">
        <f>Table8414194101324273239434853567[[#This Row],[VỐN CP]]+Table8414194101324273239434853567[[#This Row],[LỢI NHUẬN RÒNG]]</f>
        <v>2300057.0037682313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721304.45</v>
      </c>
      <c r="F230" s="21">
        <v>450057.00376823137</v>
      </c>
      <c r="G230" s="21">
        <f>Table8414194101324273239434853567[[#This Row],[VỐN CP]]+Table8414194101324273239434853567[[#This Row],[LỢI NHUẬN RÒNG]]</f>
        <v>2300057.0037682313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1442608.9</v>
      </c>
      <c r="F231" s="21">
        <v>900114.00753646274</v>
      </c>
      <c r="G231" s="21">
        <f>Table8414194101324273239434853567[[#This Row],[VỐN CP]]+Table8414194101324273239434853567[[#This Row],[LỢI NHUẬN RÒNG]]</f>
        <v>4600114.0075364625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721304.45</v>
      </c>
      <c r="F232" s="21">
        <v>450057.00376823137</v>
      </c>
      <c r="G232" s="21">
        <f>Table8414194101324273239434853567[[#This Row],[VỐN CP]]+Table8414194101324273239434853567[[#This Row],[LỢI NHUẬN RÒNG]]</f>
        <v>2300057.0037682313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1442608.9</v>
      </c>
      <c r="F233" s="21">
        <v>900114.00753646274</v>
      </c>
      <c r="G233" s="21">
        <f>Table8414194101324273239434853567[[#This Row],[VỐN CP]]+Table8414194101324273239434853567[[#This Row],[LỢI NHUẬN RÒNG]]</f>
        <v>4600114.0075364625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721304.45</v>
      </c>
      <c r="F234" s="11">
        <v>450057.00376823137</v>
      </c>
      <c r="G234" s="21">
        <f>Table8414194101324273239434853567[[#This Row],[VỐN CP]]+Table8414194101324273239434853567[[#This Row],[LỢI NHUẬN RÒNG]]</f>
        <v>2300057.0037682313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1442608.9</v>
      </c>
      <c r="F235" s="21">
        <v>900114.00753646274</v>
      </c>
      <c r="G235" s="21">
        <f>Table8414194101324273239434853567[[#This Row],[VỐN CP]]+Table8414194101324273239434853567[[#This Row],[LỢI NHUẬN RÒNG]]</f>
        <v>4600114.0075364625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1442608.9</v>
      </c>
      <c r="F236" s="21">
        <v>900114.00753646274</v>
      </c>
      <c r="G236" s="21">
        <f>Table8414194101324273239434853567[[#This Row],[VỐN CP]]+Table8414194101324273239434853567[[#This Row],[LỢI NHUẬN RÒNG]]</f>
        <v>4600114.0075364625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976184.5</v>
      </c>
      <c r="F237" s="21">
        <v>424092.85542286409</v>
      </c>
      <c r="G237" s="21">
        <f>Table8414194101324273239434853567[[#This Row],[VỐN CP]]+Table8414194101324273239434853567[[#This Row],[LỢI NHUẬN RÒNG]]</f>
        <v>3924092.8554228642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2928553.5</v>
      </c>
      <c r="F238" s="21">
        <v>1272278.5662685924</v>
      </c>
      <c r="G238" s="21">
        <f>Table8414194101324273239434853567[[#This Row],[VỐN CP]]+Table8414194101324273239434853567[[#This Row],[LỢI NHUẬN RÒNG]]</f>
        <v>11772278.566268593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976184.5</v>
      </c>
      <c r="F239" s="21">
        <v>424092.85542286409</v>
      </c>
      <c r="G239" s="21">
        <f>Table8414194101324273239434853567[[#This Row],[VỐN CP]]+Table8414194101324273239434853567[[#This Row],[LỢI NHUẬN RÒNG]]</f>
        <v>3924092.8554228642</v>
      </c>
      <c r="H239" s="28"/>
      <c r="I239" s="11"/>
      <c r="J239" s="11"/>
    </row>
    <row r="240" spans="1:10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488092.25</v>
      </c>
      <c r="F240" s="21">
        <v>212046.42771143204</v>
      </c>
      <c r="G240" s="21">
        <f>Table8414194101324273239434853567[[#This Row],[VỐN CP]]+Table8414194101324273239434853567[[#This Row],[LỢI NHUẬN RÒNG]]</f>
        <v>1962046.4277114321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976184.5</v>
      </c>
      <c r="F241" s="21">
        <v>424092.85542286409</v>
      </c>
      <c r="G241" s="21">
        <f>Table8414194101324273239434853567[[#This Row],[VỐN CP]]+Table8414194101324273239434853567[[#This Row],[LỢI NHUẬN RÒNG]]</f>
        <v>3924092.8554228642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976184.5</v>
      </c>
      <c r="F242" s="21">
        <v>424092.85542286409</v>
      </c>
      <c r="G242" s="21">
        <f>Table8414194101324273239434853567[[#This Row],[VỐN CP]]+Table8414194101324273239434853567[[#This Row],[LỢI NHUẬN RÒNG]]</f>
        <v>3924092.8554228642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976184.5</v>
      </c>
      <c r="F243" s="21">
        <v>424092.85542286409</v>
      </c>
      <c r="G243" s="21">
        <f>Table8414194101324273239434853567[[#This Row],[VỐN CP]]+Table8414194101324273239434853567[[#This Row],[LỢI NHUẬN RÒNG]]</f>
        <v>3924092.8554228642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976184.5</v>
      </c>
      <c r="F244" s="21">
        <v>424092.85542286409</v>
      </c>
      <c r="G244" s="21">
        <f>Table8414194101324273239434853567[[#This Row],[VỐN CP]]+Table8414194101324273239434853567[[#This Row],[LỢI NHUẬN RÒNG]]</f>
        <v>3924092.8554228642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488092.25</v>
      </c>
      <c r="F245" s="21">
        <v>212046.42771143204</v>
      </c>
      <c r="G245" s="21">
        <f>Table8414194101324273239434853567[[#This Row],[VỐN CP]]+Table8414194101324273239434853567[[#This Row],[LỢI NHUẬN RÒNG]]</f>
        <v>1962046.4277114321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938104.9</v>
      </c>
      <c r="F246" s="21">
        <v>204952.85968230665</v>
      </c>
      <c r="G246" s="21">
        <f>Table8414194101324273239434853567[[#This Row],[VỐN CP]]+Table8414194101324273239434853567[[#This Row],[LỢI NHUẬN RÒNG]]</f>
        <v>5204952.8596823066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1876209.8</v>
      </c>
      <c r="F247" s="21">
        <v>409905.71936461329</v>
      </c>
      <c r="G247" s="21">
        <f>Table8414194101324273239434853567[[#This Row],[VỐN CP]]+Table8414194101324273239434853567[[#This Row],[LỢI NHUẬN RÒNG]]</f>
        <v>10409905.719364613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938104.9</v>
      </c>
      <c r="F248" s="21">
        <v>204952.85968230665</v>
      </c>
      <c r="G248" s="21">
        <f>Table8414194101324273239434853567[[#This Row],[VỐN CP]]+Table8414194101324273239434853567[[#This Row],[LỢI NHUẬN RÒNG]]</f>
        <v>5204952.8596823066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469052.45</v>
      </c>
      <c r="F249" s="21">
        <v>102476.42984115332</v>
      </c>
      <c r="G249" s="21">
        <f>Table8414194101324273239434853567[[#This Row],[VỐN CP]]+Table8414194101324273239434853567[[#This Row],[LỢI NHUẬN RÒNG]]</f>
        <v>2602476.4298411533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938104.9</v>
      </c>
      <c r="F250" s="21">
        <v>204952.85968230665</v>
      </c>
      <c r="G250" s="21">
        <f>Table8414194101324273239434853567[[#This Row],[VỐN CP]]+Table8414194101324273239434853567[[#This Row],[LỢI NHUẬN RÒNG]]</f>
        <v>5204952.8596823066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469052.45</v>
      </c>
      <c r="F251" s="21">
        <v>102476.42984115332</v>
      </c>
      <c r="G251" s="21">
        <f>Table8414194101324273239434853567[[#This Row],[VỐN CP]]+Table8414194101324273239434853567[[#This Row],[LỢI NHUẬN RÒNG]]</f>
        <v>2602476.4298411533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938104.9</v>
      </c>
      <c r="F252" s="21">
        <v>204952.85968230665</v>
      </c>
      <c r="G252" s="21">
        <f>Table8414194101324273239434853567[[#This Row],[VỐN CP]]+Table8414194101324273239434853567[[#This Row],[LỢI NHUẬN RÒNG]]</f>
        <v>5204952.8596823066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469052.45</v>
      </c>
      <c r="F253" s="21">
        <v>102476.42984115332</v>
      </c>
      <c r="G253" s="21">
        <f>Table8414194101324273239434853567[[#This Row],[VỐN CP]]+Table8414194101324273239434853567[[#This Row],[LỢI NHUẬN RÒNG]]</f>
        <v>2602476.4298411533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469052.45</v>
      </c>
      <c r="F254" s="21">
        <v>102476.42984115332</v>
      </c>
      <c r="G254" s="21">
        <f>Table8414194101324273239434853567[[#This Row],[VỐN CP]]+Table8414194101324273239434853567[[#This Row],[LỢI NHUẬN RÒNG]]</f>
        <v>2602476.4298411533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938104.9</v>
      </c>
      <c r="F255" s="21">
        <v>204952.85968230665</v>
      </c>
      <c r="G255" s="21">
        <f>Table8414194101324273239434853567[[#This Row],[VỐN CP]]+Table8414194101324273239434853567[[#This Row],[LỢI NHUẬN RÒNG]]</f>
        <v>5204952.8596823066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469052.45</v>
      </c>
      <c r="F256" s="21">
        <v>102476.42984115332</v>
      </c>
      <c r="G256" s="21">
        <f>Table8414194101324273239434853567[[#This Row],[VỐN CP]]+Table8414194101324273239434853567[[#This Row],[LỢI NHUẬN RÒNG]]</f>
        <v>2602476.4298411533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469052.45</v>
      </c>
      <c r="F257" s="21">
        <v>102476.42984115332</v>
      </c>
      <c r="G257" s="21">
        <f>Table8414194101324273239434853567[[#This Row],[VỐN CP]]+Table8414194101324273239434853567[[#This Row],[LỢI NHUẬN RÒNG]]</f>
        <v>2602476.4298411533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789247.7</v>
      </c>
      <c r="F258" s="21">
        <v>415496.67300420889</v>
      </c>
      <c r="G258" s="21">
        <f>Table8414194101324273239434853567[[#This Row],[VỐN CP]]+Table8414194101324273239434853567[[#This Row],[LỢI NHUẬN RÒNG]]</f>
        <v>2315496.6730042091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1578495.4</v>
      </c>
      <c r="F259" s="21">
        <v>830993.34600841778</v>
      </c>
      <c r="G259" s="21">
        <f>Table8414194101324273239434853567[[#This Row],[VỐN CP]]+Table8414194101324273239434853567[[#This Row],[LỢI NHUẬN RÒNG]]</f>
        <v>4630993.3460084181</v>
      </c>
      <c r="H259" s="28"/>
      <c r="I259" s="11"/>
      <c r="J259" s="11"/>
    </row>
    <row r="260" spans="1:10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394623.85</v>
      </c>
      <c r="F260" s="21">
        <v>207748.33650210444</v>
      </c>
      <c r="G260" s="21">
        <f>Table8414194101324273239434853567[[#This Row],[VỐN CP]]+Table8414194101324273239434853567[[#This Row],[LỢI NHUẬN RÒNG]]</f>
        <v>1157748.3365021045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789247.7</v>
      </c>
      <c r="F261" s="21">
        <v>415496.67300420889</v>
      </c>
      <c r="G261" s="21">
        <f>Table8414194101324273239434853567[[#This Row],[VỐN CP]]+Table8414194101324273239434853567[[#This Row],[LỢI NHUẬN RÒNG]]</f>
        <v>2315496.6730042091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1183871.55</v>
      </c>
      <c r="F262" s="21">
        <v>623245.00950631336</v>
      </c>
      <c r="G262" s="21">
        <f>Table8414194101324273239434853567[[#This Row],[VỐN CP]]+Table8414194101324273239434853567[[#This Row],[LỢI NHUẬN RÒNG]]</f>
        <v>3473245.0095063131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789247.7</v>
      </c>
      <c r="F263" s="21">
        <v>415496.67300420889</v>
      </c>
      <c r="G263" s="21">
        <f>Table8414194101324273239434853567[[#This Row],[VỐN CP]]+Table8414194101324273239434853567[[#This Row],[LỢI NHUẬN RÒNG]]</f>
        <v>2315496.6730042091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394623.85</v>
      </c>
      <c r="F264" s="21">
        <v>207748.33650210444</v>
      </c>
      <c r="G264" s="21">
        <f>Table8414194101324273239434853567[[#This Row],[VỐN CP]]+Table8414194101324273239434853567[[#This Row],[LỢI NHUẬN RÒNG]]</f>
        <v>1157748.3365021045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1578495.4</v>
      </c>
      <c r="F265" s="21">
        <v>830993.34600841778</v>
      </c>
      <c r="G265" s="21">
        <f>Table8414194101324273239434853567[[#This Row],[VỐN CP]]+Table8414194101324273239434853567[[#This Row],[LỢI NHUẬN RÒNG]]</f>
        <v>4630993.3460084181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394623.85</v>
      </c>
      <c r="F266" s="21">
        <v>207748.33650210444</v>
      </c>
      <c r="G266" s="21">
        <f>Table8414194101324273239434853567[[#This Row],[VỐN CP]]+Table8414194101324273239434853567[[#This Row],[LỢI NHUẬN RÒNG]]</f>
        <v>1157748.3365021045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1384041.3</v>
      </c>
      <c r="F267" s="21">
        <v>950795.55347929779</v>
      </c>
      <c r="G267" s="21">
        <f>Table8414194101324273239434853567[[#This Row],[VỐN CP]]+Table8414194101324273239434853567[[#This Row],[LỢI NHUẬN RÒNG]]</f>
        <v>2450795.553479298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461347.1</v>
      </c>
      <c r="F268" s="21">
        <v>316931.85115976597</v>
      </c>
      <c r="G268" s="21">
        <f>Table8414194101324273239434853567[[#This Row],[VỐN CP]]+Table8414194101324273239434853567[[#This Row],[LỢI NHUẬN RÒNG]]</f>
        <v>816931.85115976597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922694.2</v>
      </c>
      <c r="F269" s="21">
        <v>633863.70231953193</v>
      </c>
      <c r="G269" s="21">
        <f>Table8414194101324273239434853567[[#This Row],[VỐN CP]]+Table8414194101324273239434853567[[#This Row],[LỢI NHUẬN RÒNG]]</f>
        <v>1633863.7023195319</v>
      </c>
      <c r="H269" s="28"/>
      <c r="I269" s="11"/>
      <c r="J269" s="11"/>
    </row>
    <row r="270" spans="1:10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461347.1</v>
      </c>
      <c r="F270" s="21">
        <v>316931.85115976597</v>
      </c>
      <c r="G270" s="21">
        <f>Table8414194101324273239434853567[[#This Row],[VỐN CP]]+Table8414194101324273239434853567[[#This Row],[LỢI NHUẬN RÒNG]]</f>
        <v>816931.85115976597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461347.1</v>
      </c>
      <c r="F271" s="21">
        <v>316931.85115976597</v>
      </c>
      <c r="G271" s="21">
        <f>Table8414194101324273239434853567[[#This Row],[VỐN CP]]+Table8414194101324273239434853567[[#This Row],[LỢI NHUẬN RÒNG]]</f>
        <v>816931.85115976597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461347.1</v>
      </c>
      <c r="F272" s="21">
        <v>316931.85115976597</v>
      </c>
      <c r="G272" s="21">
        <f>Table8414194101324273239434853567[[#This Row],[VỐN CP]]+Table8414194101324273239434853567[[#This Row],[LỢI NHUẬN RÒNG]]</f>
        <v>816931.85115976597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1384041.3</v>
      </c>
      <c r="F273" s="21">
        <v>950795.55347929779</v>
      </c>
      <c r="G273" s="21">
        <f>Table8414194101324273239434853567[[#This Row],[VỐN CP]]+Table8414194101324273239434853567[[#This Row],[LỢI NHUẬN RÒNG]]</f>
        <v>2450795.553479298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461347.1</v>
      </c>
      <c r="F274" s="21">
        <v>316931.85115976597</v>
      </c>
      <c r="G274" s="21">
        <f>Table8414194101324273239434853567[[#This Row],[VỐN CP]]+Table8414194101324273239434853567[[#This Row],[LỢI NHUẬN RÒNG]]</f>
        <v>816931.85115976597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922694.2</v>
      </c>
      <c r="F275" s="21">
        <v>633863.70231953193</v>
      </c>
      <c r="G275" s="21">
        <f>Table8414194101324273239434853567[[#This Row],[VỐN CP]]+Table8414194101324273239434853567[[#This Row],[LỢI NHUẬN RÒNG]]</f>
        <v>1633863.7023195319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922694.2</v>
      </c>
      <c r="F276" s="21">
        <v>633863.70231953193</v>
      </c>
      <c r="G276" s="21">
        <f>Table8414194101324273239434853567[[#This Row],[VỐN CP]]+Table8414194101324273239434853567[[#This Row],[LỢI NHUẬN RÒNG]]</f>
        <v>1633863.7023195319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461347.1</v>
      </c>
      <c r="F277" s="21">
        <v>316931.85115976597</v>
      </c>
      <c r="G277" s="21">
        <f>Table8414194101324273239434853567[[#This Row],[VỐN CP]]+Table8414194101324273239434853567[[#This Row],[LỢI NHUẬN RÒNG]]</f>
        <v>816931.85115976597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922694.2</v>
      </c>
      <c r="F278" s="21">
        <v>633863.70231953193</v>
      </c>
      <c r="G278" s="21">
        <f>Table8414194101324273239434853567[[#This Row],[VỐN CP]]+Table8414194101324273239434853567[[#This Row],[LỢI NHUẬN RÒNG]]</f>
        <v>1633863.7023195319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1931821.8</v>
      </c>
      <c r="F279" s="21">
        <v>926995.45270437445</v>
      </c>
      <c r="G279" s="21">
        <f>Table8414194101324273239434853567[[#This Row],[VỐN CP]]+Table8414194101324273239434853567[[#This Row],[LỢI NHUẬN RÒNG]]</f>
        <v>8126995.4527043747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965910.9</v>
      </c>
      <c r="F280" s="21">
        <v>463497.72635218722</v>
      </c>
      <c r="G280" s="21">
        <f>Table8414194101324273239434853567[[#This Row],[VỐN CP]]+Table8414194101324273239434853567[[#This Row],[LỢI NHUẬN RÒNG]]</f>
        <v>4063497.7263521873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965910.9</v>
      </c>
      <c r="F281" s="21">
        <v>463497.72635218722</v>
      </c>
      <c r="G281" s="21">
        <f>Table8414194101324273239434853567[[#This Row],[VỐN CP]]+Table8414194101324273239434853567[[#This Row],[LỢI NHUẬN RÒNG]]</f>
        <v>4063497.7263521873</v>
      </c>
      <c r="H281" s="28"/>
      <c r="I281" s="11"/>
      <c r="J281" s="11"/>
    </row>
    <row r="282" spans="1:10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482955.45</v>
      </c>
      <c r="F282" s="21">
        <v>231748.86317609361</v>
      </c>
      <c r="G282" s="21">
        <f>Table8414194101324273239434853567[[#This Row],[VỐN CP]]+Table8414194101324273239434853567[[#This Row],[LỢI NHUẬN RÒNG]]</f>
        <v>2031748.8631760937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482955.45</v>
      </c>
      <c r="F283" s="21">
        <v>231748.86317609361</v>
      </c>
      <c r="G283" s="21">
        <f>Table8414194101324273239434853567[[#This Row],[VỐN CP]]+Table8414194101324273239434853567[[#This Row],[LỢI NHUẬN RÒNG]]</f>
        <v>2031748.8631760937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482955.45</v>
      </c>
      <c r="F284" s="21">
        <v>231748.86317609361</v>
      </c>
      <c r="G284" s="21">
        <f>Table8414194101324273239434853567[[#This Row],[VỐN CP]]+Table8414194101324273239434853567[[#This Row],[LỢI NHUẬN RÒNG]]</f>
        <v>2031748.8631760937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1448866.35</v>
      </c>
      <c r="F285" s="21">
        <v>695246.58952828078</v>
      </c>
      <c r="G285" s="21">
        <f>Table8414194101324273239434853567[[#This Row],[VỐN CP]]+Table8414194101324273239434853567[[#This Row],[LỢI NHUẬN RÒNG]]</f>
        <v>6095246.5895282812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482955.45</v>
      </c>
      <c r="F286" s="21">
        <v>231748.86317609361</v>
      </c>
      <c r="G286" s="21">
        <f>Table8414194101324273239434853567[[#This Row],[VỐN CP]]+Table8414194101324273239434853567[[#This Row],[LỢI NHUẬN RÒNG]]</f>
        <v>2031748.8631760937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1448866.35</v>
      </c>
      <c r="F287" s="21">
        <v>695246.58952828078</v>
      </c>
      <c r="G287" s="21">
        <f>Table8414194101324273239434853567[[#This Row],[VỐN CP]]+Table8414194101324273239434853567[[#This Row],[LỢI NHUẬN RÒNG]]</f>
        <v>6095246.5895282812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965910.9</v>
      </c>
      <c r="F288" s="21">
        <v>463497.72635218722</v>
      </c>
      <c r="G288" s="21">
        <f>Table8414194101324273239434853567[[#This Row],[VỐN CP]]+Table8414194101324273239434853567[[#This Row],[LỢI NHUẬN RÒNG]]</f>
        <v>4063497.7263521873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2227924.6</v>
      </c>
      <c r="F289" s="21">
        <v>1411158.1840275645</v>
      </c>
      <c r="G289" s="21">
        <f>Table8414194101324273239434853567[[#This Row],[VỐN CP]]+Table8414194101324273239434853567[[#This Row],[LỢI NHUẬN RÒNG]]</f>
        <v>6611158.1840275647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1113962.3</v>
      </c>
      <c r="F290" s="21">
        <v>705579.09201378224</v>
      </c>
      <c r="G290" s="21">
        <f>Table8414194101324273239434853567[[#This Row],[VỐN CP]]+Table8414194101324273239434853567[[#This Row],[LỢI NHUẬN RÒNG]]</f>
        <v>3305579.0920137824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1113962.3</v>
      </c>
      <c r="F291" s="21">
        <v>705579.09201378224</v>
      </c>
      <c r="G291" s="21">
        <f>Table8414194101324273239434853567[[#This Row],[VỐN CP]]+Table8414194101324273239434853567[[#This Row],[LỢI NHUẬN RÒNG]]</f>
        <v>3305579.0920137824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2227924.6</v>
      </c>
      <c r="F292" s="21">
        <v>1411158.1840275645</v>
      </c>
      <c r="G292" s="21">
        <f>Table8414194101324273239434853567[[#This Row],[VỐN CP]]+Table8414194101324273239434853567[[#This Row],[LỢI NHUẬN RÒNG]]</f>
        <v>6611158.1840275647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556981.15</v>
      </c>
      <c r="F293" s="21">
        <v>352789.54600689112</v>
      </c>
      <c r="G293" s="21">
        <f>Table8414194101324273239434853567[[#This Row],[VỐN CP]]+Table8414194101324273239434853567[[#This Row],[LỢI NHUẬN RÒNG]]</f>
        <v>1652789.5460068912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556981.15</v>
      </c>
      <c r="F294" s="21">
        <v>352789.54600689112</v>
      </c>
      <c r="G294" s="21">
        <f>Table8414194101324273239434853567[[#This Row],[VỐN CP]]+Table8414194101324273239434853567[[#This Row],[LỢI NHUẬN RÒNG]]</f>
        <v>1652789.5460068912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556981.15</v>
      </c>
      <c r="F295" s="21">
        <v>352789.54600689112</v>
      </c>
      <c r="G295" s="21">
        <f>Table8414194101324273239434853567[[#This Row],[VỐN CP]]+Table8414194101324273239434853567[[#This Row],[LỢI NHUẬN RÒNG]]</f>
        <v>1652789.5460068912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1670943.45</v>
      </c>
      <c r="F296" s="21">
        <v>1058368.6380206733</v>
      </c>
      <c r="G296" s="21">
        <f>Table8414194101324273239434853567[[#This Row],[VỐN CP]]+Table8414194101324273239434853567[[#This Row],[LỢI NHUẬN RÒNG]]</f>
        <v>4958368.6380206738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1113962.3</v>
      </c>
      <c r="F297" s="21">
        <v>705579.09201378224</v>
      </c>
      <c r="G297" s="21">
        <f>Table8414194101324273239434853567[[#This Row],[VỐN CP]]+Table8414194101324273239434853567[[#This Row],[LỢI NHUẬN RÒNG]]</f>
        <v>3305579.0920137824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6207818.5000000028</v>
      </c>
      <c r="F298" s="21">
        <v>4097015.388799815</v>
      </c>
      <c r="G298" s="21">
        <f>Table8414194101324273239434853567[[#This Row],[VỐN CP]]+Table8414194101324273239434853567[[#This Row],[LỢI NHUẬN RÒNG]]</f>
        <v>23537015.388799816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3103909.2500000014</v>
      </c>
      <c r="F299" s="21">
        <v>2048507.6943999075</v>
      </c>
      <c r="G299" s="21">
        <f>Table8414194101324273239434853567[[#This Row],[VỐN CP]]+Table8414194101324273239434853567[[#This Row],[LỢI NHUẬN RÒNG]]</f>
        <v>11768507.694399908</v>
      </c>
      <c r="H299" s="28"/>
      <c r="I299" s="11"/>
      <c r="J299" s="11"/>
    </row>
    <row r="300" spans="1:10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1034636.4166666672</v>
      </c>
      <c r="F300" s="21">
        <v>682835.89813330246</v>
      </c>
      <c r="G300" s="21">
        <f>Table8414194101324273239434853567[[#This Row],[VỐN CP]]+Table8414194101324273239434853567[[#This Row],[LỢI NHUẬN RÒNG]]</f>
        <v>3922835.8981333026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3103909.2500000014</v>
      </c>
      <c r="F301" s="21">
        <v>2048507.6943999075</v>
      </c>
      <c r="G301" s="21">
        <f>Table8414194101324273239434853567[[#This Row],[VỐN CP]]+Table8414194101324273239434853567[[#This Row],[LỢI NHUẬN RÒNG]]</f>
        <v>11768507.694399908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1034636.4166666672</v>
      </c>
      <c r="F302" s="21">
        <v>682835.89813330246</v>
      </c>
      <c r="G302" s="21">
        <f>Table8414194101324273239434853567[[#This Row],[VỐN CP]]+Table8414194101324273239434853567[[#This Row],[LỢI NHUẬN RÒNG]]</f>
        <v>3922835.8981333026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1034636.4166666672</v>
      </c>
      <c r="F303" s="21">
        <v>682835.89813330246</v>
      </c>
      <c r="G303" s="21">
        <f>Table8414194101324273239434853567[[#This Row],[VỐN CP]]+Table8414194101324273239434853567[[#This Row],[LỢI NHUẬN RÒNG]]</f>
        <v>3922835.8981333026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3103909.2500000014</v>
      </c>
      <c r="F304" s="21">
        <v>2048507.6943999075</v>
      </c>
      <c r="G304" s="21">
        <f>Table8414194101324273239434853567[[#This Row],[VỐN CP]]+Table8414194101324273239434853567[[#This Row],[LỢI NHUẬN RÒNG]]</f>
        <v>11768507.694399908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2069272.8333333344</v>
      </c>
      <c r="F305" s="21">
        <v>1365671.7962666049</v>
      </c>
      <c r="G305" s="21">
        <f>Table8414194101324273239434853567[[#This Row],[VỐN CP]]+Table8414194101324273239434853567[[#This Row],[LỢI NHUẬN RÒNG]]</f>
        <v>7845671.7962666051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2011135.5</v>
      </c>
      <c r="F306" s="21">
        <v>277751.82552714052</v>
      </c>
      <c r="G306" s="21">
        <f>Table8414194101324273239434853567[[#This Row],[VỐN CP]]+Table8414194101324273239434853567[[#This Row],[LỢI NHUẬN RÒNG]]</f>
        <v>12277751.825527141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670378.5</v>
      </c>
      <c r="F307" s="21">
        <v>92583.941842380169</v>
      </c>
      <c r="G307" s="21">
        <f>Table8414194101324273239434853567[[#This Row],[VỐN CP]]+Table8414194101324273239434853567[[#This Row],[LỢI NHUẬN RÒNG]]</f>
        <v>4092583.94184238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2681514</v>
      </c>
      <c r="F308" s="21">
        <v>370335.76736952068</v>
      </c>
      <c r="G308" s="21">
        <f>Table8414194101324273239434853567[[#This Row],[VỐN CP]]+Table8414194101324273239434853567[[#This Row],[LỢI NHUẬN RÒNG]]</f>
        <v>16370335.76736952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670378.5</v>
      </c>
      <c r="F309" s="21">
        <v>92583.941842380169</v>
      </c>
      <c r="G309" s="21">
        <f>Table8414194101324273239434853567[[#This Row],[VỐN CP]]+Table8414194101324273239434853567[[#This Row],[LỢI NHUẬN RÒNG]]</f>
        <v>4092583.94184238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670378.5</v>
      </c>
      <c r="F310" s="21">
        <v>92583.941842380169</v>
      </c>
      <c r="G310" s="21">
        <f>Table8414194101324273239434853567[[#This Row],[VỐN CP]]+Table8414194101324273239434853567[[#This Row],[LỢI NHUẬN RÒNG]]</f>
        <v>4092583.94184238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1340757</v>
      </c>
      <c r="F311" s="21">
        <v>185167.88368476034</v>
      </c>
      <c r="G311" s="21">
        <f>Table8414194101324273239434853567[[#This Row],[VỐN CP]]+Table8414194101324273239434853567[[#This Row],[LỢI NHUẬN RÒNG]]</f>
        <v>8185167.88368476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670378.5</v>
      </c>
      <c r="F312" s="21">
        <v>92583.941842380169</v>
      </c>
      <c r="G312" s="21">
        <f>Table8414194101324273239434853567[[#This Row],[VỐN CP]]+Table8414194101324273239434853567[[#This Row],[LỢI NHUẬN RÒNG]]</f>
        <v>4092583.94184238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1340757</v>
      </c>
      <c r="F313" s="21">
        <v>185167.88368476034</v>
      </c>
      <c r="G313" s="21">
        <f>Table8414194101324273239434853567[[#This Row],[VỐN CP]]+Table8414194101324273239434853567[[#This Row],[LỢI NHUẬN RÒNG]]</f>
        <v>8185167.88368476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670378.5</v>
      </c>
      <c r="F314" s="21">
        <v>92583.941842380169</v>
      </c>
      <c r="G314" s="21">
        <f>Table8414194101324273239434853567[[#This Row],[VỐN CP]]+Table8414194101324273239434853567[[#This Row],[LỢI NHUẬN RÒNG]]</f>
        <v>4092583.94184238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2681514</v>
      </c>
      <c r="F315" s="21">
        <v>370335.76736952068</v>
      </c>
      <c r="G315" s="21">
        <f>Table8414194101324273239434853567[[#This Row],[VỐN CP]]+Table8414194101324273239434853567[[#This Row],[LỢI NHUẬN RÒNG]]</f>
        <v>16370335.76736952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3299118</v>
      </c>
      <c r="F316" s="21">
        <v>1954672.5600866699</v>
      </c>
      <c r="G316" s="21">
        <f>Table8414194101324273239434853567[[#This Row],[VỐN CP]]+Table8414194101324273239434853567[[#This Row],[LỢI NHUẬN RÒNG]]</f>
        <v>9949672.5600866694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1099706</v>
      </c>
      <c r="F317" s="21">
        <v>651557.52002888988</v>
      </c>
      <c r="G317" s="21">
        <f>Table8414194101324273239434853567[[#This Row],[VỐN CP]]+Table8414194101324273239434853567[[#This Row],[LỢI NHUẬN RÒNG]]</f>
        <v>3316557.5200288901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2199412</v>
      </c>
      <c r="F318" s="21">
        <v>1303115.0400577798</v>
      </c>
      <c r="G318" s="21">
        <f>Table8414194101324273239434853567[[#This Row],[VỐN CP]]+Table8414194101324273239434853567[[#This Row],[LỢI NHUẬN RÒNG]]</f>
        <v>6633115.0400577802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1099706</v>
      </c>
      <c r="F319" s="21">
        <v>651557.52002888988</v>
      </c>
      <c r="G319" s="21">
        <f>Table8414194101324273239434853567[[#This Row],[VỐN CP]]+Table8414194101324273239434853567[[#This Row],[LỢI NHUẬN RÒNG]]</f>
        <v>3316557.5200288901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1099706</v>
      </c>
      <c r="F320" s="21">
        <v>651557.52002888988</v>
      </c>
      <c r="G320" s="21">
        <f>Table8414194101324273239434853567[[#This Row],[VỐN CP]]+Table8414194101324273239434853567[[#This Row],[LỢI NHUẬN RÒNG]]</f>
        <v>3316557.5200288901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4398824</v>
      </c>
      <c r="F321" s="21">
        <v>2606230.0801155595</v>
      </c>
      <c r="G321" s="21">
        <f>Table8414194101324273239434853567[[#This Row],[VỐN CP]]+Table8414194101324273239434853567[[#This Row],[LỢI NHUẬN RÒNG]]</f>
        <v>13266230.08011556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1099706</v>
      </c>
      <c r="F322" s="21">
        <v>651557.52002888988</v>
      </c>
      <c r="G322" s="21">
        <f>Table8414194101324273239434853567[[#This Row],[VỐN CP]]+Table8414194101324273239434853567[[#This Row],[LỢI NHUẬN RÒNG]]</f>
        <v>3316557.5200288901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1099706</v>
      </c>
      <c r="F323" s="21">
        <v>651557.52002888988</v>
      </c>
      <c r="G323" s="21">
        <f>Table8414194101324273239434853567[[#This Row],[VỐN CP]]+Table8414194101324273239434853567[[#This Row],[LỢI NHUẬN RÒNG]]</f>
        <v>3316557.5200288901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1099706</v>
      </c>
      <c r="F324" s="21">
        <v>651557.52002888988</v>
      </c>
      <c r="G324" s="21">
        <f>Table8414194101324273239434853567[[#This Row],[VỐN CP]]+Table8414194101324273239434853567[[#This Row],[LỢI NHUẬN RÒNG]]</f>
        <v>3316557.5200288901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1099706</v>
      </c>
      <c r="F325" s="21">
        <v>651557.52002888988</v>
      </c>
      <c r="G325" s="21">
        <f>Table8414194101324273239434853567[[#This Row],[VỐN CP]]+Table8414194101324273239434853567[[#This Row],[LỢI NHUẬN RÒNG]]</f>
        <v>3316557.5200288901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1099706</v>
      </c>
      <c r="F326" s="21">
        <v>651557.52002888988</v>
      </c>
      <c r="G326" s="21">
        <f>Table8414194101324273239434853567[[#This Row],[VỐN CP]]+Table8414194101324273239434853567[[#This Row],[LỢI NHUẬN RÒNG]]</f>
        <v>3316557.5200288901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2199412</v>
      </c>
      <c r="F327" s="21">
        <v>1303115.0400577798</v>
      </c>
      <c r="G327" s="21">
        <f>Table8414194101324273239434853567[[#This Row],[VỐN CP]]+Table8414194101324273239434853567[[#This Row],[LỢI NHUẬN RÒNG]]</f>
        <v>6633115.0400577802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1099706</v>
      </c>
      <c r="F328" s="21">
        <v>651557.52002888988</v>
      </c>
      <c r="G328" s="21">
        <f>Table8414194101324273239434853567[[#This Row],[VỐN CP]]+Table8414194101324273239434853567[[#This Row],[LỢI NHUẬN RÒNG]]</f>
        <v>3316557.5200288901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1910207.5333333313</v>
      </c>
      <c r="F329" s="21">
        <v>706536.869855845</v>
      </c>
      <c r="G329" s="21">
        <f>Table8414194101324273239434853567[[#This Row],[VỐN CP]]+Table8414194101324273239434853567[[#This Row],[LỢI NHUẬN RÒNG]]</f>
        <v>11206536.869855845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1910207.5333333313</v>
      </c>
      <c r="F330" s="21">
        <v>706536.869855845</v>
      </c>
      <c r="G330" s="21">
        <f>Table8414194101324273239434853567[[#This Row],[VỐN CP]]+Table8414194101324273239434853567[[#This Row],[LỢI NHUẬN RÒNG]]</f>
        <v>11206536.869855845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2865311.299999997</v>
      </c>
      <c r="F331" s="21">
        <v>1059805.3047837676</v>
      </c>
      <c r="G331" s="21">
        <f>Table8414194101324273239434853567[[#This Row],[VỐN CP]]+Table8414194101324273239434853567[[#This Row],[LỢI NHUẬN RÒNG]]</f>
        <v>16809805.304783769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955103.76666666567</v>
      </c>
      <c r="F332" s="21">
        <v>353268.4349279225</v>
      </c>
      <c r="G332" s="21">
        <f>Table8414194101324273239434853567[[#This Row],[VỐN CP]]+Table8414194101324273239434853567[[#This Row],[LỢI NHUẬN RÒNG]]</f>
        <v>5603268.4349279227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955103.76666666567</v>
      </c>
      <c r="F333" s="21">
        <v>353268.4349279225</v>
      </c>
      <c r="G333" s="21">
        <f>Table8414194101324273239434853567[[#This Row],[VỐN CP]]+Table8414194101324273239434853567[[#This Row],[LỢI NHUẬN RÒNG]]</f>
        <v>5603268.4349279227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1910207.5333333313</v>
      </c>
      <c r="F334" s="21">
        <v>706536.869855845</v>
      </c>
      <c r="G334" s="21">
        <f>Table8414194101324273239434853567[[#This Row],[VỐN CP]]+Table8414194101324273239434853567[[#This Row],[LỢI NHUẬN RÒNG]]</f>
        <v>11206536.869855845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955103.76666666567</v>
      </c>
      <c r="F335" s="21">
        <v>353268.4349279225</v>
      </c>
      <c r="G335" s="21">
        <f>Table8414194101324273239434853567[[#This Row],[VỐN CP]]+Table8414194101324273239434853567[[#This Row],[LỢI NHUẬN RÒNG]]</f>
        <v>5603268.4349279227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3820415.0666666627</v>
      </c>
      <c r="F336" s="21">
        <v>1413073.73971169</v>
      </c>
      <c r="G336" s="21">
        <f>Table8414194101324273239434853567[[#This Row],[VỐN CP]]+Table8414194101324273239434853567[[#This Row],[LỢI NHUẬN RÒNG]]</f>
        <v>22413073.739711691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3820415.0666666627</v>
      </c>
      <c r="F337" s="21">
        <v>1413073.73971169</v>
      </c>
      <c r="G337" s="21">
        <f>Table8414194101324273239434853567[[#This Row],[VỐN CP]]+Table8414194101324273239434853567[[#This Row],[LỢI NHUẬN RÒNG]]</f>
        <v>22413073.739711691</v>
      </c>
      <c r="H337" s="28"/>
      <c r="I337" s="11"/>
      <c r="J337" s="11"/>
    </row>
    <row r="338" spans="1:10" hidden="1" x14ac:dyDescent="0.3">
      <c r="A338" s="23" t="s">
        <v>75</v>
      </c>
      <c r="B338" s="27" t="s">
        <v>9</v>
      </c>
      <c r="C338" s="21">
        <v>10</v>
      </c>
      <c r="D338" s="21">
        <v>1300000</v>
      </c>
      <c r="E338" s="21">
        <v>610277</v>
      </c>
      <c r="F338" s="21">
        <v>121199.86910779923</v>
      </c>
      <c r="G338" s="21">
        <f>Table8414194101324273239434853567[[#This Row],[VỐN CP]]+Table8414194101324273239434853567[[#This Row],[LỢI NHUẬN RÒNG]]</f>
        <v>1421199.8691077991</v>
      </c>
      <c r="H338" s="28"/>
      <c r="I338" s="11"/>
      <c r="J338" s="11"/>
    </row>
    <row r="339" spans="1:10" hidden="1" x14ac:dyDescent="0.3">
      <c r="A339" s="23" t="s">
        <v>75</v>
      </c>
      <c r="B339" s="27" t="s">
        <v>19</v>
      </c>
      <c r="C339" s="21">
        <v>10</v>
      </c>
      <c r="D339" s="21">
        <v>1300000</v>
      </c>
      <c r="E339" s="21">
        <v>610277</v>
      </c>
      <c r="F339" s="21">
        <v>121199.86910779923</v>
      </c>
      <c r="G339" s="21">
        <f>Table8414194101324273239434853567[[#This Row],[VỐN CP]]+Table8414194101324273239434853567[[#This Row],[LỢI NHUẬN RÒNG]]</f>
        <v>1421199.8691077991</v>
      </c>
      <c r="H339" s="28"/>
      <c r="I339" s="11"/>
      <c r="J339" s="11"/>
    </row>
    <row r="340" spans="1:10" hidden="1" x14ac:dyDescent="0.3">
      <c r="A340" s="23" t="s">
        <v>75</v>
      </c>
      <c r="B340" s="27" t="s">
        <v>37</v>
      </c>
      <c r="C340" s="21">
        <v>20</v>
      </c>
      <c r="D340" s="21">
        <v>2600000</v>
      </c>
      <c r="E340" s="21">
        <v>1220554</v>
      </c>
      <c r="F340" s="21">
        <v>242399.73821559845</v>
      </c>
      <c r="G340" s="21">
        <f>Table8414194101324273239434853567[[#This Row],[VỐN CP]]+Table8414194101324273239434853567[[#This Row],[LỢI NHUẬN RÒNG]]</f>
        <v>2842399.7382155983</v>
      </c>
      <c r="H340" s="28"/>
      <c r="I340" s="11"/>
      <c r="J340" s="11"/>
    </row>
    <row r="341" spans="1:10" x14ac:dyDescent="0.3">
      <c r="A341" s="23" t="s">
        <v>75</v>
      </c>
      <c r="B341" s="27" t="s">
        <v>33</v>
      </c>
      <c r="C341" s="21">
        <v>5</v>
      </c>
      <c r="D341" s="21">
        <v>650000</v>
      </c>
      <c r="E341" s="21">
        <v>305138.5</v>
      </c>
      <c r="F341" s="21">
        <v>60599.934553899613</v>
      </c>
      <c r="G341" s="21">
        <f>Table8414194101324273239434853567[[#This Row],[VỐN CP]]+Table8414194101324273239434853567[[#This Row],[LỢI NHUẬN RÒNG]]</f>
        <v>710599.93455389957</v>
      </c>
      <c r="H341" s="28"/>
      <c r="I341" s="11"/>
      <c r="J341" s="11"/>
    </row>
    <row r="342" spans="1:10" hidden="1" x14ac:dyDescent="0.3">
      <c r="A342" s="23" t="s">
        <v>75</v>
      </c>
      <c r="B342" s="27" t="s">
        <v>31</v>
      </c>
      <c r="C342" s="21">
        <v>10</v>
      </c>
      <c r="D342" s="21">
        <v>1300000</v>
      </c>
      <c r="E342" s="21">
        <v>610277</v>
      </c>
      <c r="F342" s="21">
        <v>121199.86910779923</v>
      </c>
      <c r="G342" s="21">
        <f>Table8414194101324273239434853567[[#This Row],[VỐN CP]]+Table8414194101324273239434853567[[#This Row],[LỢI NHUẬN RÒNG]]</f>
        <v>1421199.8691077991</v>
      </c>
      <c r="H342" s="28"/>
      <c r="I342" s="11"/>
      <c r="J342" s="11"/>
    </row>
    <row r="343" spans="1:10" hidden="1" x14ac:dyDescent="0.3">
      <c r="A343" s="23" t="s">
        <v>75</v>
      </c>
      <c r="B343" s="27" t="s">
        <v>15</v>
      </c>
      <c r="C343" s="21">
        <v>5</v>
      </c>
      <c r="D343" s="21">
        <v>650000</v>
      </c>
      <c r="E343" s="21">
        <v>305138.5</v>
      </c>
      <c r="F343" s="21">
        <v>60599.934553899613</v>
      </c>
      <c r="G343" s="21">
        <f>Table8414194101324273239434853567[[#This Row],[VỐN CP]]+Table8414194101324273239434853567[[#This Row],[LỢI NHUẬN RÒNG]]</f>
        <v>710599.93455389957</v>
      </c>
      <c r="H343" s="28"/>
      <c r="I343" s="11"/>
      <c r="J343" s="11"/>
    </row>
    <row r="344" spans="1:10" hidden="1" x14ac:dyDescent="0.3">
      <c r="A344" s="23" t="s">
        <v>75</v>
      </c>
      <c r="B344" s="27" t="s">
        <v>21</v>
      </c>
      <c r="C344" s="21">
        <v>10</v>
      </c>
      <c r="D344" s="21">
        <v>1300000</v>
      </c>
      <c r="E344" s="21">
        <v>610277</v>
      </c>
      <c r="F344" s="21">
        <v>121199.86910779923</v>
      </c>
      <c r="G344" s="21">
        <f>Table8414194101324273239434853567[[#This Row],[VỐN CP]]+Table8414194101324273239434853567[[#This Row],[LỢI NHUẬN RÒNG]]</f>
        <v>1421199.8691077991</v>
      </c>
      <c r="H344" s="28"/>
      <c r="I344" s="11"/>
      <c r="J344" s="11"/>
    </row>
    <row r="345" spans="1:10" hidden="1" x14ac:dyDescent="0.3">
      <c r="A345" s="23" t="s">
        <v>75</v>
      </c>
      <c r="B345" s="27" t="s">
        <v>10</v>
      </c>
      <c r="C345" s="21">
        <v>10</v>
      </c>
      <c r="D345" s="21">
        <v>1300000</v>
      </c>
      <c r="E345" s="21">
        <v>610277</v>
      </c>
      <c r="F345" s="21">
        <v>121199.86910779923</v>
      </c>
      <c r="G345" s="21">
        <f>Table8414194101324273239434853567[[#This Row],[VỐN CP]]+Table8414194101324273239434853567[[#This Row],[LỢI NHUẬN RÒNG]]</f>
        <v>1421199.8691077991</v>
      </c>
      <c r="H345" s="28"/>
      <c r="I345" s="11"/>
      <c r="J345" s="11"/>
    </row>
    <row r="346" spans="1:10" hidden="1" x14ac:dyDescent="0.3">
      <c r="A346" s="23" t="s">
        <v>75</v>
      </c>
      <c r="B346" s="27" t="s">
        <v>29</v>
      </c>
      <c r="C346" s="21">
        <v>5</v>
      </c>
      <c r="D346" s="21">
        <v>650000</v>
      </c>
      <c r="E346" s="21">
        <v>305138.5</v>
      </c>
      <c r="F346" s="21">
        <v>60599.934553899613</v>
      </c>
      <c r="G346" s="21">
        <f>Table8414194101324273239434853567[[#This Row],[VỐN CP]]+Table8414194101324273239434853567[[#This Row],[LỢI NHUẬN RÒNG]]</f>
        <v>710599.93455389957</v>
      </c>
      <c r="H346" s="28"/>
      <c r="I346" s="11"/>
      <c r="J346" s="11"/>
    </row>
    <row r="347" spans="1:10" hidden="1" x14ac:dyDescent="0.3">
      <c r="A347" s="23" t="s">
        <v>75</v>
      </c>
      <c r="B347" s="27" t="s">
        <v>35</v>
      </c>
      <c r="C347" s="21">
        <v>10</v>
      </c>
      <c r="D347" s="21">
        <v>1300000</v>
      </c>
      <c r="E347" s="21">
        <v>610277</v>
      </c>
      <c r="F347" s="21">
        <v>121199.86910779923</v>
      </c>
      <c r="G347" s="21">
        <f>Table8414194101324273239434853567[[#This Row],[VỐN CP]]+Table8414194101324273239434853567[[#This Row],[LỢI NHUẬN RÒNG]]</f>
        <v>1421199.8691077991</v>
      </c>
      <c r="H347" s="28"/>
      <c r="I347" s="11"/>
      <c r="J347" s="11"/>
    </row>
    <row r="348" spans="1:10" hidden="1" x14ac:dyDescent="0.3">
      <c r="A348" s="23" t="s">
        <v>75</v>
      </c>
      <c r="B348" s="27" t="s">
        <v>45</v>
      </c>
      <c r="C348" s="21">
        <v>5</v>
      </c>
      <c r="D348" s="21">
        <v>650000</v>
      </c>
      <c r="E348" s="21">
        <v>305138.5</v>
      </c>
      <c r="F348" s="21">
        <v>60599.934553899613</v>
      </c>
      <c r="G348" s="21">
        <f>Table8414194101324273239434853567[[#This Row],[VỐN CP]]+Table8414194101324273239434853567[[#This Row],[LỢI NHUẬN RÒNG]]</f>
        <v>710599.93455389957</v>
      </c>
      <c r="H348" s="28"/>
      <c r="I348" s="11"/>
      <c r="J348" s="11"/>
    </row>
    <row r="349" spans="1:10" hidden="1" x14ac:dyDescent="0.3">
      <c r="A349" s="23" t="s">
        <v>76</v>
      </c>
      <c r="B349" s="27" t="s">
        <v>9</v>
      </c>
      <c r="C349" s="21">
        <v>20</v>
      </c>
      <c r="D349" s="21">
        <v>5333333.333333334</v>
      </c>
      <c r="E349" s="21">
        <v>644325.86666666646</v>
      </c>
      <c r="F349" s="21">
        <v>-357272.25831959845</v>
      </c>
      <c r="G349" s="21">
        <f>Table8414194101324273239434853567[[#This Row],[VỐN CP]]+Table8414194101324273239434853567[[#This Row],[LỢI NHUẬN RÒNG]]</f>
        <v>4976061.0750137353</v>
      </c>
      <c r="H349" s="28"/>
      <c r="I349" s="11"/>
      <c r="J349" s="11"/>
    </row>
    <row r="350" spans="1:10" hidden="1" x14ac:dyDescent="0.3">
      <c r="A350" s="23" t="s">
        <v>76</v>
      </c>
      <c r="B350" s="27" t="s">
        <v>19</v>
      </c>
      <c r="C350" s="21">
        <v>10</v>
      </c>
      <c r="D350" s="21">
        <v>2666666.666666667</v>
      </c>
      <c r="E350" s="21">
        <v>322162.93333333323</v>
      </c>
      <c r="F350" s="21">
        <v>-178636.12915979922</v>
      </c>
      <c r="G350" s="21">
        <f>Table8414194101324273239434853567[[#This Row],[VỐN CP]]+Table8414194101324273239434853567[[#This Row],[LỢI NHUẬN RÒNG]]</f>
        <v>2488030.5375068677</v>
      </c>
      <c r="H350" s="28"/>
      <c r="I350" s="11"/>
      <c r="J350" s="11"/>
    </row>
    <row r="351" spans="1:10" hidden="1" x14ac:dyDescent="0.3">
      <c r="A351" s="23" t="s">
        <v>76</v>
      </c>
      <c r="B351" s="27" t="s">
        <v>37</v>
      </c>
      <c r="C351" s="21">
        <v>10</v>
      </c>
      <c r="D351" s="21">
        <v>2666666.666666667</v>
      </c>
      <c r="E351" s="21">
        <v>322162.93333333323</v>
      </c>
      <c r="F351" s="21">
        <v>-178636.12915979922</v>
      </c>
      <c r="G351" s="21">
        <f>Table8414194101324273239434853567[[#This Row],[VỐN CP]]+Table8414194101324273239434853567[[#This Row],[LỢI NHUẬN RÒNG]]</f>
        <v>2488030.5375068677</v>
      </c>
      <c r="H351" s="28"/>
      <c r="I351" s="11"/>
      <c r="J351" s="11"/>
    </row>
    <row r="352" spans="1:10" hidden="1" x14ac:dyDescent="0.3">
      <c r="A352" s="23" t="s">
        <v>76</v>
      </c>
      <c r="B352" s="27" t="s">
        <v>31</v>
      </c>
      <c r="C352" s="21">
        <v>5</v>
      </c>
      <c r="D352" s="21">
        <v>1333333.3333333335</v>
      </c>
      <c r="E352" s="21">
        <v>161081.46666666662</v>
      </c>
      <c r="F352" s="21">
        <v>-89318.064579899612</v>
      </c>
      <c r="G352" s="21">
        <f>Table8414194101324273239434853567[[#This Row],[VỐN CP]]+Table8414194101324273239434853567[[#This Row],[LỢI NHUẬN RÒNG]]</f>
        <v>1244015.2687534338</v>
      </c>
      <c r="H352" s="28"/>
      <c r="I352" s="11"/>
      <c r="J352" s="11"/>
    </row>
    <row r="353" spans="1:10" hidden="1" x14ac:dyDescent="0.3">
      <c r="A353" s="23" t="s">
        <v>76</v>
      </c>
      <c r="B353" s="27" t="s">
        <v>21</v>
      </c>
      <c r="C353" s="21">
        <v>15</v>
      </c>
      <c r="D353" s="21">
        <v>4000000.0000000005</v>
      </c>
      <c r="E353" s="21">
        <v>483244.39999999985</v>
      </c>
      <c r="F353" s="21">
        <v>-267954.19373969885</v>
      </c>
      <c r="G353" s="21">
        <f>Table8414194101324273239434853567[[#This Row],[VỐN CP]]+Table8414194101324273239434853567[[#This Row],[LỢI NHUẬN RÒNG]]</f>
        <v>3732045.8062603017</v>
      </c>
      <c r="H353" s="28"/>
      <c r="I353" s="11"/>
      <c r="J353" s="11"/>
    </row>
    <row r="354" spans="1:10" hidden="1" x14ac:dyDescent="0.3">
      <c r="A354" s="23" t="s">
        <v>76</v>
      </c>
      <c r="B354" s="27" t="s">
        <v>10</v>
      </c>
      <c r="C354" s="21">
        <v>5</v>
      </c>
      <c r="D354" s="21">
        <v>1333333.3333333335</v>
      </c>
      <c r="E354" s="21">
        <v>161081.46666666662</v>
      </c>
      <c r="F354" s="21">
        <v>-89318.064579899612</v>
      </c>
      <c r="G354" s="21">
        <f>Table8414194101324273239434853567[[#This Row],[VỐN CP]]+Table8414194101324273239434853567[[#This Row],[LỢI NHUẬN RÒNG]]</f>
        <v>1244015.2687534338</v>
      </c>
      <c r="H354" s="28"/>
      <c r="I354" s="11"/>
      <c r="J354" s="11"/>
    </row>
    <row r="355" spans="1:10" hidden="1" x14ac:dyDescent="0.3">
      <c r="A355" s="23" t="s">
        <v>76</v>
      </c>
      <c r="B355" s="27" t="s">
        <v>13</v>
      </c>
      <c r="C355" s="21">
        <v>5</v>
      </c>
      <c r="D355" s="21">
        <v>1333333.3333333335</v>
      </c>
      <c r="E355" s="21">
        <v>161081.46666666662</v>
      </c>
      <c r="F355" s="21">
        <v>-89318.064579899612</v>
      </c>
      <c r="G355" s="21">
        <f>Table8414194101324273239434853567[[#This Row],[VỐN CP]]+Table8414194101324273239434853567[[#This Row],[LỢI NHUẬN RÒNG]]</f>
        <v>1244015.2687534338</v>
      </c>
      <c r="H355" s="28"/>
      <c r="I355" s="11"/>
      <c r="J355" s="11"/>
    </row>
    <row r="356" spans="1:10" hidden="1" x14ac:dyDescent="0.3">
      <c r="A356" s="23" t="s">
        <v>76</v>
      </c>
      <c r="B356" s="27" t="s">
        <v>29</v>
      </c>
      <c r="C356" s="21">
        <v>5</v>
      </c>
      <c r="D356" s="21">
        <v>1333333.3333333335</v>
      </c>
      <c r="E356" s="21">
        <v>161081.46666666662</v>
      </c>
      <c r="F356" s="21">
        <v>-89318.064579899612</v>
      </c>
      <c r="G356" s="21">
        <f>Table8414194101324273239434853567[[#This Row],[VỐN CP]]+Table8414194101324273239434853567[[#This Row],[LỢI NHUẬN RÒNG]]</f>
        <v>1244015.2687534338</v>
      </c>
      <c r="H356" s="28"/>
      <c r="I356" s="11"/>
      <c r="J356" s="11"/>
    </row>
    <row r="357" spans="1:10" hidden="1" x14ac:dyDescent="0.3">
      <c r="A357" s="23" t="s">
        <v>76</v>
      </c>
      <c r="B357" s="27" t="s">
        <v>35</v>
      </c>
      <c r="C357" s="21">
        <v>5</v>
      </c>
      <c r="D357" s="21">
        <v>1333333.3333333335</v>
      </c>
      <c r="E357" s="21">
        <v>161081.46666666662</v>
      </c>
      <c r="F357" s="21">
        <v>-89318.064579899612</v>
      </c>
      <c r="G357" s="21">
        <f>Table8414194101324273239434853567[[#This Row],[VỐN CP]]+Table8414194101324273239434853567[[#This Row],[LỢI NHUẬN RÒNG]]</f>
        <v>1244015.2687534338</v>
      </c>
      <c r="H357" s="28"/>
      <c r="I357" s="11"/>
      <c r="J357" s="11"/>
    </row>
    <row r="358" spans="1:10" hidden="1" x14ac:dyDescent="0.3">
      <c r="A358" s="23" t="s">
        <v>76</v>
      </c>
      <c r="B358" s="27" t="s">
        <v>43</v>
      </c>
      <c r="C358" s="21">
        <v>10</v>
      </c>
      <c r="D358" s="21">
        <v>2666666.666666667</v>
      </c>
      <c r="E358" s="21">
        <v>322162.93333333323</v>
      </c>
      <c r="F358" s="21">
        <v>-178636.12915979922</v>
      </c>
      <c r="G358" s="21">
        <f>Table8414194101324273239434853567[[#This Row],[VỐN CP]]+Table8414194101324273239434853567[[#This Row],[LỢI NHUẬN RÒNG]]</f>
        <v>2488030.5375068677</v>
      </c>
      <c r="H358" s="28"/>
      <c r="I358" s="11"/>
      <c r="J358" s="11"/>
    </row>
    <row r="359" spans="1:10" hidden="1" x14ac:dyDescent="0.3">
      <c r="A359" s="23" t="s">
        <v>76</v>
      </c>
      <c r="B359" s="27" t="s">
        <v>25</v>
      </c>
      <c r="C359" s="21">
        <v>10</v>
      </c>
      <c r="D359" s="21">
        <v>2666666.666666667</v>
      </c>
      <c r="E359" s="21">
        <v>322162.93333333323</v>
      </c>
      <c r="F359" s="21">
        <v>-178636.12915979922</v>
      </c>
      <c r="G359" s="21">
        <f>Table8414194101324273239434853567[[#This Row],[VỐN CP]]+Table8414194101324273239434853567[[#This Row],[LỢI NHUẬN RÒNG]]</f>
        <v>2488030.5375068677</v>
      </c>
      <c r="H359" s="28"/>
      <c r="I359" s="11"/>
      <c r="J359" s="11"/>
    </row>
    <row r="360" spans="1:10" hidden="1" x14ac:dyDescent="0.3">
      <c r="A360" s="23" t="s">
        <v>77</v>
      </c>
      <c r="B360" s="27" t="s">
        <v>9</v>
      </c>
      <c r="C360" s="21">
        <v>15</v>
      </c>
      <c r="D360" s="21">
        <v>3300000</v>
      </c>
      <c r="E360" s="21">
        <v>757943.4</v>
      </c>
      <c r="F360" s="21">
        <v>-68837.394018510735</v>
      </c>
      <c r="G360" s="21">
        <f>Table8414194101324273239434853567[[#This Row],[VỐN CP]]+Table8414194101324273239434853567[[#This Row],[LỢI NHUẬN RÒNG]]</f>
        <v>3231162.6059814892</v>
      </c>
      <c r="H360" s="28"/>
      <c r="I360" s="11"/>
      <c r="J360" s="11"/>
    </row>
    <row r="361" spans="1:10" hidden="1" x14ac:dyDescent="0.3">
      <c r="A361" s="23" t="s">
        <v>77</v>
      </c>
      <c r="B361" s="27" t="s">
        <v>19</v>
      </c>
      <c r="C361" s="21">
        <v>10</v>
      </c>
      <c r="D361" s="21">
        <v>2200000</v>
      </c>
      <c r="E361" s="21">
        <v>505295.6</v>
      </c>
      <c r="F361" s="21">
        <v>-45891.596012340488</v>
      </c>
      <c r="G361" s="21">
        <f>Table8414194101324273239434853567[[#This Row],[VỐN CP]]+Table8414194101324273239434853567[[#This Row],[LỢI NHUẬN RÒNG]]</f>
        <v>2154108.4039876596</v>
      </c>
      <c r="H361" s="28"/>
      <c r="I361" s="11"/>
      <c r="J361" s="11"/>
    </row>
    <row r="362" spans="1:10" hidden="1" x14ac:dyDescent="0.3">
      <c r="A362" s="23" t="s">
        <v>77</v>
      </c>
      <c r="B362" s="27" t="s">
        <v>37</v>
      </c>
      <c r="C362" s="21">
        <v>15</v>
      </c>
      <c r="D362" s="21">
        <v>3300000</v>
      </c>
      <c r="E362" s="21">
        <v>757943.4</v>
      </c>
      <c r="F362" s="21">
        <v>-68837.394018510735</v>
      </c>
      <c r="G362" s="21">
        <f>Table8414194101324273239434853567[[#This Row],[VỐN CP]]+Table8414194101324273239434853567[[#This Row],[LỢI NHUẬN RÒNG]]</f>
        <v>3231162.6059814892</v>
      </c>
      <c r="H362" s="28"/>
      <c r="I362" s="11"/>
      <c r="J362" s="11"/>
    </row>
    <row r="363" spans="1:10" x14ac:dyDescent="0.3">
      <c r="A363" s="23" t="s">
        <v>77</v>
      </c>
      <c r="B363" s="27" t="s">
        <v>33</v>
      </c>
      <c r="C363" s="21">
        <v>5</v>
      </c>
      <c r="D363" s="21">
        <v>1100000</v>
      </c>
      <c r="E363" s="21">
        <v>252647.8</v>
      </c>
      <c r="F363" s="21">
        <v>-22945.798006170244</v>
      </c>
      <c r="G363" s="21">
        <f>Table8414194101324273239434853567[[#This Row],[VỐN CP]]+Table8414194101324273239434853567[[#This Row],[LỢI NHUẬN RÒNG]]</f>
        <v>1077054.2019938298</v>
      </c>
      <c r="H363" s="28"/>
      <c r="I363" s="11"/>
      <c r="J363" s="11"/>
    </row>
    <row r="364" spans="1:10" hidden="1" x14ac:dyDescent="0.3">
      <c r="A364" s="23" t="s">
        <v>77</v>
      </c>
      <c r="B364" s="27" t="s">
        <v>31</v>
      </c>
      <c r="C364" s="21">
        <v>5</v>
      </c>
      <c r="D364" s="21">
        <v>1100000</v>
      </c>
      <c r="E364" s="21">
        <v>252647.8</v>
      </c>
      <c r="F364" s="21">
        <v>-22945.798006170244</v>
      </c>
      <c r="G364" s="21">
        <f>Table8414194101324273239434853567[[#This Row],[VỐN CP]]+Table8414194101324273239434853567[[#This Row],[LỢI NHUẬN RÒNG]]</f>
        <v>1077054.2019938298</v>
      </c>
      <c r="H364" s="28"/>
      <c r="I364" s="11"/>
      <c r="J364" s="11"/>
    </row>
    <row r="365" spans="1:10" hidden="1" x14ac:dyDescent="0.3">
      <c r="A365" s="23" t="s">
        <v>77</v>
      </c>
      <c r="B365" s="27" t="s">
        <v>15</v>
      </c>
      <c r="C365" s="21">
        <v>5</v>
      </c>
      <c r="D365" s="21">
        <v>1100000</v>
      </c>
      <c r="E365" s="21">
        <v>252647.8</v>
      </c>
      <c r="F365" s="21">
        <v>-22945.798006170244</v>
      </c>
      <c r="G365" s="21">
        <f>Table8414194101324273239434853567[[#This Row],[VỐN CP]]+Table8414194101324273239434853567[[#This Row],[LỢI NHUẬN RÒNG]]</f>
        <v>1077054.2019938298</v>
      </c>
      <c r="H365" s="28"/>
      <c r="I365" s="11"/>
      <c r="J365" s="11"/>
    </row>
    <row r="366" spans="1:10" hidden="1" x14ac:dyDescent="0.3">
      <c r="A366" s="23" t="s">
        <v>77</v>
      </c>
      <c r="B366" s="27" t="s">
        <v>21</v>
      </c>
      <c r="C366" s="21">
        <v>20</v>
      </c>
      <c r="D366" s="21">
        <v>4400000</v>
      </c>
      <c r="E366" s="21">
        <v>1010591.2</v>
      </c>
      <c r="F366" s="21">
        <v>-91783.192024680975</v>
      </c>
      <c r="G366" s="21">
        <f>Table8414194101324273239434853567[[#This Row],[VỐN CP]]+Table8414194101324273239434853567[[#This Row],[LỢI NHUẬN RÒNG]]</f>
        <v>4308216.8079753192</v>
      </c>
      <c r="H366" s="28"/>
      <c r="I366" s="11"/>
      <c r="J366" s="11"/>
    </row>
    <row r="367" spans="1:10" hidden="1" x14ac:dyDescent="0.3">
      <c r="A367" s="23" t="s">
        <v>77</v>
      </c>
      <c r="B367" s="27" t="s">
        <v>43</v>
      </c>
      <c r="C367" s="21">
        <v>10</v>
      </c>
      <c r="D367" s="21">
        <v>2200000</v>
      </c>
      <c r="E367" s="21">
        <v>505295.6</v>
      </c>
      <c r="F367" s="21">
        <v>-45891.596012340488</v>
      </c>
      <c r="G367" s="21">
        <f>Table8414194101324273239434853567[[#This Row],[VỐN CP]]+Table8414194101324273239434853567[[#This Row],[LỢI NHUẬN RÒNG]]</f>
        <v>2154108.4039876596</v>
      </c>
      <c r="H367" s="28"/>
      <c r="I367" s="11"/>
      <c r="J367" s="11"/>
    </row>
    <row r="368" spans="1:10" hidden="1" x14ac:dyDescent="0.3">
      <c r="A368" s="23" t="s">
        <v>77</v>
      </c>
      <c r="B368" s="27" t="s">
        <v>45</v>
      </c>
      <c r="C368" s="21">
        <v>5</v>
      </c>
      <c r="D368" s="21">
        <v>1100000</v>
      </c>
      <c r="E368" s="21">
        <v>252647.8</v>
      </c>
      <c r="F368" s="21">
        <v>-22945.798006170244</v>
      </c>
      <c r="G368" s="21">
        <f>Table8414194101324273239434853567[[#This Row],[VỐN CP]]+Table8414194101324273239434853567[[#This Row],[LỢI NHUẬN RÒNG]]</f>
        <v>1077054.2019938298</v>
      </c>
      <c r="H368" s="28"/>
      <c r="I368" s="11"/>
      <c r="J368" s="11"/>
    </row>
    <row r="369" spans="1:10" hidden="1" x14ac:dyDescent="0.3">
      <c r="A369" s="23" t="s">
        <v>77</v>
      </c>
      <c r="B369" s="27" t="s">
        <v>25</v>
      </c>
      <c r="C369" s="21">
        <v>10</v>
      </c>
      <c r="D369" s="21">
        <v>2200000</v>
      </c>
      <c r="E369" s="21">
        <v>505295.6</v>
      </c>
      <c r="F369" s="21">
        <v>-45891.596012340488</v>
      </c>
      <c r="G369" s="21">
        <f>Table8414194101324273239434853567[[#This Row],[VỐN CP]]+Table8414194101324273239434853567[[#This Row],[LỢI NHUẬN RÒNG]]</f>
        <v>2154108.4039876596</v>
      </c>
      <c r="H369" s="28"/>
      <c r="I369" s="11"/>
      <c r="J369" s="11"/>
    </row>
    <row r="370" spans="1:10" hidden="1" x14ac:dyDescent="0.3">
      <c r="A370" s="23" t="s">
        <v>78</v>
      </c>
      <c r="B370" s="27" t="s">
        <v>9</v>
      </c>
      <c r="C370" s="21">
        <v>15</v>
      </c>
      <c r="D370" s="21">
        <v>3900000</v>
      </c>
      <c r="E370" s="21">
        <v>210472.9000000002</v>
      </c>
      <c r="F370" s="21">
        <v>-286131.01452645066</v>
      </c>
      <c r="G370" s="21">
        <f>Table8414194101324273239434853567[[#This Row],[VỐN CP]]+Table8414194101324273239434853567[[#This Row],[LỢI NHUẬN RÒNG]]</f>
        <v>3613868.9854735495</v>
      </c>
      <c r="H370" s="28"/>
      <c r="I370" s="11"/>
      <c r="J370" s="11"/>
    </row>
    <row r="371" spans="1:10" hidden="1" x14ac:dyDescent="0.3">
      <c r="A371" s="23" t="s">
        <v>78</v>
      </c>
      <c r="B371" s="27" t="s">
        <v>19</v>
      </c>
      <c r="C371" s="21">
        <v>5</v>
      </c>
      <c r="D371" s="21">
        <v>1300000</v>
      </c>
      <c r="E371" s="21">
        <v>70157.63333333339</v>
      </c>
      <c r="F371" s="21">
        <v>-95377.004842150214</v>
      </c>
      <c r="G371" s="21">
        <f>Table8414194101324273239434853567[[#This Row],[VỐN CP]]+Table8414194101324273239434853567[[#This Row],[LỢI NHUẬN RÒNG]]</f>
        <v>1204622.9951578497</v>
      </c>
      <c r="H371" s="28"/>
      <c r="I371" s="11"/>
      <c r="J371" s="11"/>
    </row>
    <row r="372" spans="1:10" hidden="1" x14ac:dyDescent="0.3">
      <c r="A372" s="23" t="s">
        <v>78</v>
      </c>
      <c r="B372" s="27" t="s">
        <v>37</v>
      </c>
      <c r="C372" s="21">
        <v>15</v>
      </c>
      <c r="D372" s="21">
        <v>3900000</v>
      </c>
      <c r="E372" s="21">
        <v>210472.9000000002</v>
      </c>
      <c r="F372" s="21">
        <v>-286131.01452645066</v>
      </c>
      <c r="G372" s="21">
        <f>Table8414194101324273239434853567[[#This Row],[VỐN CP]]+Table8414194101324273239434853567[[#This Row],[LỢI NHUẬN RÒNG]]</f>
        <v>3613868.9854735495</v>
      </c>
      <c r="H372" s="28"/>
      <c r="I372" s="11"/>
      <c r="J372" s="11"/>
    </row>
    <row r="373" spans="1:10" hidden="1" x14ac:dyDescent="0.3">
      <c r="A373" s="23" t="s">
        <v>78</v>
      </c>
      <c r="B373" s="27" t="s">
        <v>31</v>
      </c>
      <c r="C373" s="21">
        <v>10</v>
      </c>
      <c r="D373" s="21">
        <v>2600000</v>
      </c>
      <c r="E373" s="21">
        <v>140315.26666666678</v>
      </c>
      <c r="F373" s="21">
        <v>-190754.00968430043</v>
      </c>
      <c r="G373" s="21">
        <f>Table8414194101324273239434853567[[#This Row],[VỐN CP]]+Table8414194101324273239434853567[[#This Row],[LỢI NHUẬN RÒNG]]</f>
        <v>2409245.9903156995</v>
      </c>
      <c r="H373" s="28"/>
      <c r="I373" s="11"/>
      <c r="J373" s="11"/>
    </row>
    <row r="374" spans="1:10" hidden="1" x14ac:dyDescent="0.3">
      <c r="A374" s="23" t="s">
        <v>78</v>
      </c>
      <c r="B374" s="27" t="s">
        <v>15</v>
      </c>
      <c r="C374" s="21">
        <v>5</v>
      </c>
      <c r="D374" s="21">
        <v>1300000</v>
      </c>
      <c r="E374" s="21">
        <v>70157.63333333339</v>
      </c>
      <c r="F374" s="21">
        <v>-95377.004842150214</v>
      </c>
      <c r="G374" s="21">
        <f>Table8414194101324273239434853567[[#This Row],[VỐN CP]]+Table8414194101324273239434853567[[#This Row],[LỢI NHUẬN RÒNG]]</f>
        <v>1204622.9951578497</v>
      </c>
      <c r="H374" s="28"/>
      <c r="I374" s="11"/>
      <c r="J374" s="11"/>
    </row>
    <row r="375" spans="1:10" hidden="1" x14ac:dyDescent="0.3">
      <c r="A375" s="23" t="s">
        <v>78</v>
      </c>
      <c r="B375" s="27" t="s">
        <v>21</v>
      </c>
      <c r="C375" s="21">
        <v>20</v>
      </c>
      <c r="D375" s="21">
        <v>5200000</v>
      </c>
      <c r="E375" s="21">
        <v>280630.53333333356</v>
      </c>
      <c r="F375" s="21">
        <v>-381508.01936860086</v>
      </c>
      <c r="G375" s="21">
        <f>Table8414194101324273239434853567[[#This Row],[VỐN CP]]+Table8414194101324273239434853567[[#This Row],[LỢI NHUẬN RÒNG]]</f>
        <v>4818491.980631399</v>
      </c>
      <c r="H375" s="28"/>
      <c r="I375" s="11"/>
      <c r="J375" s="11"/>
    </row>
    <row r="376" spans="1:10" hidden="1" x14ac:dyDescent="0.3">
      <c r="A376" s="23" t="s">
        <v>78</v>
      </c>
      <c r="B376" s="27" t="s">
        <v>13</v>
      </c>
      <c r="C376" s="21">
        <v>5</v>
      </c>
      <c r="D376" s="21">
        <v>1300000</v>
      </c>
      <c r="E376" s="21">
        <v>70157.63333333339</v>
      </c>
      <c r="F376" s="21">
        <v>-95377.004842150214</v>
      </c>
      <c r="G376" s="21">
        <f>Table8414194101324273239434853567[[#This Row],[VỐN CP]]+Table8414194101324273239434853567[[#This Row],[LỢI NHUẬN RÒNG]]</f>
        <v>1204622.9951578497</v>
      </c>
      <c r="H376" s="28"/>
      <c r="I376" s="11"/>
      <c r="J376" s="11"/>
    </row>
    <row r="377" spans="1:10" hidden="1" x14ac:dyDescent="0.3">
      <c r="A377" s="23" t="s">
        <v>78</v>
      </c>
      <c r="B377" s="27" t="s">
        <v>29</v>
      </c>
      <c r="C377" s="21">
        <v>5</v>
      </c>
      <c r="D377" s="21">
        <v>1300000</v>
      </c>
      <c r="E377" s="21">
        <v>70157.63333333339</v>
      </c>
      <c r="F377" s="21">
        <v>-95377.004842150214</v>
      </c>
      <c r="G377" s="21">
        <f>Table8414194101324273239434853567[[#This Row],[VỐN CP]]+Table8414194101324273239434853567[[#This Row],[LỢI NHUẬN RÒNG]]</f>
        <v>1204622.9951578497</v>
      </c>
      <c r="H377" s="28"/>
      <c r="I377" s="11"/>
      <c r="J377" s="11"/>
    </row>
    <row r="378" spans="1:10" hidden="1" x14ac:dyDescent="0.3">
      <c r="A378" s="23" t="s">
        <v>78</v>
      </c>
      <c r="B378" s="27" t="s">
        <v>43</v>
      </c>
      <c r="C378" s="21">
        <v>5</v>
      </c>
      <c r="D378" s="21">
        <v>1300000</v>
      </c>
      <c r="E378" s="21">
        <v>70157.63333333339</v>
      </c>
      <c r="F378" s="21">
        <v>-95377.004842150214</v>
      </c>
      <c r="G378" s="21">
        <f>Table8414194101324273239434853567[[#This Row],[VỐN CP]]+Table8414194101324273239434853567[[#This Row],[LỢI NHUẬN RÒNG]]</f>
        <v>1204622.9951578497</v>
      </c>
      <c r="H378" s="28"/>
      <c r="I378" s="11"/>
      <c r="J378" s="11"/>
    </row>
    <row r="379" spans="1:10" hidden="1" x14ac:dyDescent="0.3">
      <c r="A379" s="23" t="s">
        <v>78</v>
      </c>
      <c r="B379" s="27" t="s">
        <v>44</v>
      </c>
      <c r="C379" s="21">
        <v>5</v>
      </c>
      <c r="D379" s="21">
        <v>1300000</v>
      </c>
      <c r="E379" s="21">
        <v>70157.63333333339</v>
      </c>
      <c r="F379" s="21">
        <v>-95377.004842150214</v>
      </c>
      <c r="G379" s="21">
        <f>Table8414194101324273239434853567[[#This Row],[VỐN CP]]+Table8414194101324273239434853567[[#This Row],[LỢI NHUẬN RÒNG]]</f>
        <v>1204622.9951578497</v>
      </c>
      <c r="H379" s="28"/>
      <c r="I379" s="11"/>
      <c r="J379" s="11"/>
    </row>
    <row r="380" spans="1:10" hidden="1" x14ac:dyDescent="0.3">
      <c r="A380" s="23" t="s">
        <v>78</v>
      </c>
      <c r="B380" s="27" t="s">
        <v>25</v>
      </c>
      <c r="C380" s="21">
        <v>10</v>
      </c>
      <c r="D380" s="21">
        <v>2600000</v>
      </c>
      <c r="E380" s="21">
        <v>140315.26666666678</v>
      </c>
      <c r="F380" s="21">
        <v>-190754.00968430043</v>
      </c>
      <c r="G380" s="21">
        <f>Table8414194101324273239434853567[[#This Row],[VỐN CP]]+Table8414194101324273239434853567[[#This Row],[LỢI NHUẬN RÒNG]]</f>
        <v>2409245.9903156995</v>
      </c>
      <c r="H380" s="28"/>
      <c r="I380" s="11"/>
      <c r="J380" s="11"/>
    </row>
    <row r="381" spans="1:10" hidden="1" x14ac:dyDescent="0.3">
      <c r="A381" s="23" t="s">
        <v>79</v>
      </c>
      <c r="B381" s="27" t="s">
        <v>9</v>
      </c>
      <c r="C381" s="21">
        <v>30</v>
      </c>
      <c r="D381" s="21">
        <v>18000000</v>
      </c>
      <c r="E381" s="21">
        <v>4798487.0999999996</v>
      </c>
      <c r="F381" s="21">
        <v>1713970.0841872036</v>
      </c>
      <c r="G381" s="21">
        <f>Table8414194101324273239434853567[[#This Row],[VỐN CP]]+Table8414194101324273239434853567[[#This Row],[LỢI NHUẬN RÒNG]]</f>
        <v>19713970.084187202</v>
      </c>
      <c r="H381" s="28"/>
      <c r="I381" s="11"/>
      <c r="J381" s="11"/>
    </row>
    <row r="382" spans="1:10" hidden="1" x14ac:dyDescent="0.3">
      <c r="A382" s="23" t="s">
        <v>79</v>
      </c>
      <c r="B382" s="27" t="s">
        <v>37</v>
      </c>
      <c r="C382" s="21">
        <v>30</v>
      </c>
      <c r="D382" s="21">
        <v>18000000</v>
      </c>
      <c r="E382" s="21">
        <v>4798487.0999999996</v>
      </c>
      <c r="F382" s="21">
        <v>1713970.0841872036</v>
      </c>
      <c r="G382" s="21">
        <f>Table8414194101324273239434853567[[#This Row],[VỐN CP]]+Table8414194101324273239434853567[[#This Row],[LỢI NHUẬN RÒNG]]</f>
        <v>19713970.084187202</v>
      </c>
      <c r="H382" s="28"/>
      <c r="I382" s="11"/>
      <c r="J382" s="11"/>
    </row>
    <row r="383" spans="1:10" hidden="1" x14ac:dyDescent="0.3">
      <c r="A383" s="23" t="s">
        <v>79</v>
      </c>
      <c r="B383" s="27" t="s">
        <v>21</v>
      </c>
      <c r="C383" s="21">
        <v>30</v>
      </c>
      <c r="D383" s="21">
        <v>18000000</v>
      </c>
      <c r="E383" s="21">
        <v>4798487.0999999996</v>
      </c>
      <c r="F383" s="21">
        <v>1713970.0841872036</v>
      </c>
      <c r="G383" s="21">
        <f>Table8414194101324273239434853567[[#This Row],[VỐN CP]]+Table8414194101324273239434853567[[#This Row],[LỢI NHUẬN RÒNG]]</f>
        <v>19713970.084187202</v>
      </c>
      <c r="H383" s="28"/>
      <c r="I383" s="11"/>
      <c r="J383" s="11"/>
    </row>
    <row r="384" spans="1:10" hidden="1" x14ac:dyDescent="0.3">
      <c r="A384" s="23" t="s">
        <v>79</v>
      </c>
      <c r="B384" s="27" t="s">
        <v>10</v>
      </c>
      <c r="C384" s="21">
        <v>10</v>
      </c>
      <c r="D384" s="21">
        <v>6000000</v>
      </c>
      <c r="E384" s="21">
        <v>1599495.7</v>
      </c>
      <c r="F384" s="21">
        <v>571323.3613957346</v>
      </c>
      <c r="G384" s="21">
        <f>Table8414194101324273239434853567[[#This Row],[VỐN CP]]+Table8414194101324273239434853567[[#This Row],[LỢI NHUẬN RÒNG]]</f>
        <v>6571323.3613957344</v>
      </c>
      <c r="H384" s="28"/>
      <c r="I384" s="11"/>
      <c r="J384" s="11"/>
    </row>
    <row r="385" spans="1:10" hidden="1" x14ac:dyDescent="0.3">
      <c r="A385" s="23" t="s">
        <v>80</v>
      </c>
      <c r="B385" s="27" t="s">
        <v>9</v>
      </c>
      <c r="C385" s="21">
        <v>30</v>
      </c>
      <c r="D385" s="21">
        <v>15000000</v>
      </c>
      <c r="E385" s="21">
        <v>6511653.5999999996</v>
      </c>
      <c r="F385" s="21">
        <v>4693776.2911776872</v>
      </c>
      <c r="G385" s="21">
        <f>Table8414194101324273239434853567[[#This Row],[VỐN CP]]+Table8414194101324273239434853567[[#This Row],[LỢI NHUẬN RÒNG]]</f>
        <v>19693776.291177686</v>
      </c>
      <c r="H385" s="28"/>
      <c r="I385" s="11"/>
      <c r="J385" s="11"/>
    </row>
    <row r="386" spans="1:10" hidden="1" x14ac:dyDescent="0.3">
      <c r="A386" s="23" t="s">
        <v>80</v>
      </c>
      <c r="B386" s="27" t="s">
        <v>37</v>
      </c>
      <c r="C386" s="21">
        <v>40</v>
      </c>
      <c r="D386" s="21">
        <v>20000000</v>
      </c>
      <c r="E386" s="21">
        <v>8682204.8000000007</v>
      </c>
      <c r="F386" s="21">
        <v>6258368.3882369157</v>
      </c>
      <c r="G386" s="21">
        <f>Table8414194101324273239434853567[[#This Row],[VỐN CP]]+Table8414194101324273239434853567[[#This Row],[LỢI NHUẬN RÒNG]]</f>
        <v>26258368.388236918</v>
      </c>
      <c r="H386" s="28"/>
      <c r="I386" s="11"/>
      <c r="J386" s="11"/>
    </row>
    <row r="387" spans="1:10" hidden="1" x14ac:dyDescent="0.3">
      <c r="A387" s="23" t="s">
        <v>80</v>
      </c>
      <c r="B387" s="27" t="s">
        <v>21</v>
      </c>
      <c r="C387" s="21">
        <v>20</v>
      </c>
      <c r="D387" s="21">
        <v>10000000</v>
      </c>
      <c r="E387" s="21">
        <v>4341102.4000000004</v>
      </c>
      <c r="F387" s="21">
        <v>3129184.1941184578</v>
      </c>
      <c r="G387" s="21">
        <f>Table8414194101324273239434853567[[#This Row],[VỐN CP]]+Table8414194101324273239434853567[[#This Row],[LỢI NHUẬN RÒNG]]</f>
        <v>13129184.194118459</v>
      </c>
      <c r="H387" s="28"/>
      <c r="I387" s="11"/>
      <c r="J387" s="11"/>
    </row>
    <row r="388" spans="1:10" hidden="1" x14ac:dyDescent="0.3">
      <c r="A388" s="23" t="s">
        <v>80</v>
      </c>
      <c r="B388" s="27" t="s">
        <v>10</v>
      </c>
      <c r="C388" s="21">
        <v>10</v>
      </c>
      <c r="D388" s="21">
        <v>5000000</v>
      </c>
      <c r="E388" s="21">
        <v>2170551.2000000002</v>
      </c>
      <c r="F388" s="21">
        <v>1564592.0970592289</v>
      </c>
      <c r="G388" s="21">
        <f>Table8414194101324273239434853567[[#This Row],[VỐN CP]]+Table8414194101324273239434853567[[#This Row],[LỢI NHUẬN RÒNG]]</f>
        <v>6564592.0970592294</v>
      </c>
      <c r="H388" s="28"/>
      <c r="I388" s="11"/>
      <c r="J388" s="11"/>
    </row>
    <row r="389" spans="1:10" hidden="1" x14ac:dyDescent="0.3">
      <c r="A389" s="23" t="s">
        <v>81</v>
      </c>
      <c r="B389" s="27" t="s">
        <v>9</v>
      </c>
      <c r="C389" s="21">
        <v>15</v>
      </c>
      <c r="D389" s="21">
        <v>4800000</v>
      </c>
      <c r="E389" s="21">
        <v>1167578.7</v>
      </c>
      <c r="F389" s="21">
        <v>441844.75363983103</v>
      </c>
      <c r="G389" s="21">
        <f>Table8414194101324273239434853567[[#This Row],[VỐN CP]]+Table8414194101324273239434853567[[#This Row],[LỢI NHUẬN RÒNG]]</f>
        <v>5241844.7536398312</v>
      </c>
      <c r="H389" s="28"/>
      <c r="I389" s="11"/>
      <c r="J389" s="11"/>
    </row>
    <row r="390" spans="1:10" hidden="1" x14ac:dyDescent="0.3">
      <c r="A390" s="23" t="s">
        <v>81</v>
      </c>
      <c r="B390" s="27" t="s">
        <v>19</v>
      </c>
      <c r="C390" s="21">
        <v>5</v>
      </c>
      <c r="D390" s="21">
        <v>1600000</v>
      </c>
      <c r="E390" s="21">
        <v>389192.9</v>
      </c>
      <c r="F390" s="21">
        <v>147281.58454661033</v>
      </c>
      <c r="G390" s="21">
        <f>Table8414194101324273239434853567[[#This Row],[VỐN CP]]+Table8414194101324273239434853567[[#This Row],[LỢI NHUẬN RÒNG]]</f>
        <v>1747281.5845466102</v>
      </c>
      <c r="H390" s="28"/>
      <c r="I390" s="11"/>
      <c r="J390" s="11"/>
    </row>
    <row r="391" spans="1:10" hidden="1" x14ac:dyDescent="0.3">
      <c r="A391" s="23" t="s">
        <v>81</v>
      </c>
      <c r="B391" s="27" t="s">
        <v>37</v>
      </c>
      <c r="C391" s="21">
        <v>15</v>
      </c>
      <c r="D391" s="21">
        <v>4800000</v>
      </c>
      <c r="E391" s="21">
        <v>1167578.7</v>
      </c>
      <c r="F391" s="21">
        <v>441844.75363983103</v>
      </c>
      <c r="G391" s="21">
        <f>Table8414194101324273239434853567[[#This Row],[VỐN CP]]+Table8414194101324273239434853567[[#This Row],[LỢI NHUẬN RÒNG]]</f>
        <v>5241844.7536398312</v>
      </c>
      <c r="H391" s="28"/>
      <c r="I391" s="11"/>
      <c r="J391" s="11"/>
    </row>
    <row r="392" spans="1:10" hidden="1" x14ac:dyDescent="0.3">
      <c r="A392" s="23" t="s">
        <v>81</v>
      </c>
      <c r="B392" s="27" t="s">
        <v>31</v>
      </c>
      <c r="C392" s="21">
        <v>5</v>
      </c>
      <c r="D392" s="21">
        <v>1600000</v>
      </c>
      <c r="E392" s="21">
        <v>389192.9</v>
      </c>
      <c r="F392" s="21">
        <v>147281.58454661033</v>
      </c>
      <c r="G392" s="21">
        <f>Table8414194101324273239434853567[[#This Row],[VỐN CP]]+Table8414194101324273239434853567[[#This Row],[LỢI NHUẬN RÒNG]]</f>
        <v>1747281.5845466102</v>
      </c>
      <c r="H392" s="28"/>
      <c r="I392" s="11"/>
      <c r="J392" s="11"/>
    </row>
    <row r="393" spans="1:10" hidden="1" x14ac:dyDescent="0.3">
      <c r="A393" s="23" t="s">
        <v>81</v>
      </c>
      <c r="B393" s="27" t="s">
        <v>15</v>
      </c>
      <c r="C393" s="21">
        <v>5</v>
      </c>
      <c r="D393" s="21">
        <v>1600000</v>
      </c>
      <c r="E393" s="21">
        <v>389192.9</v>
      </c>
      <c r="F393" s="21">
        <v>147281.58454661033</v>
      </c>
      <c r="G393" s="21">
        <f>Table8414194101324273239434853567[[#This Row],[VỐN CP]]+Table8414194101324273239434853567[[#This Row],[LỢI NHUẬN RÒNG]]</f>
        <v>1747281.5845466102</v>
      </c>
      <c r="H393" s="28"/>
      <c r="I393" s="11"/>
      <c r="J393" s="11"/>
    </row>
    <row r="394" spans="1:10" hidden="1" x14ac:dyDescent="0.3">
      <c r="A394" s="23" t="s">
        <v>81</v>
      </c>
      <c r="B394" s="27" t="s">
        <v>21</v>
      </c>
      <c r="C394" s="21">
        <v>15</v>
      </c>
      <c r="D394" s="21">
        <v>4800000</v>
      </c>
      <c r="E394" s="21">
        <v>1167578.7</v>
      </c>
      <c r="F394" s="21">
        <v>441844.75363983103</v>
      </c>
      <c r="G394" s="21">
        <f>Table8414194101324273239434853567[[#This Row],[VỐN CP]]+Table8414194101324273239434853567[[#This Row],[LỢI NHUẬN RÒNG]]</f>
        <v>5241844.7536398312</v>
      </c>
      <c r="H394" s="28"/>
      <c r="I394" s="11"/>
      <c r="J394" s="11"/>
    </row>
    <row r="395" spans="1:10" hidden="1" x14ac:dyDescent="0.3">
      <c r="A395" s="23" t="s">
        <v>81</v>
      </c>
      <c r="B395" s="27" t="s">
        <v>10</v>
      </c>
      <c r="C395" s="21">
        <v>5</v>
      </c>
      <c r="D395" s="21">
        <v>1600000</v>
      </c>
      <c r="E395" s="21">
        <v>389192.9</v>
      </c>
      <c r="F395" s="21">
        <v>147281.58454661033</v>
      </c>
      <c r="G395" s="21">
        <f>Table8414194101324273239434853567[[#This Row],[VỐN CP]]+Table8414194101324273239434853567[[#This Row],[LỢI NHUẬN RÒNG]]</f>
        <v>1747281.5845466102</v>
      </c>
      <c r="H395" s="28"/>
      <c r="I395" s="11"/>
      <c r="J395" s="11"/>
    </row>
    <row r="396" spans="1:10" hidden="1" x14ac:dyDescent="0.3">
      <c r="A396" s="23" t="s">
        <v>81</v>
      </c>
      <c r="B396" s="27" t="s">
        <v>13</v>
      </c>
      <c r="C396" s="21">
        <v>10</v>
      </c>
      <c r="D396" s="21">
        <v>3200000</v>
      </c>
      <c r="E396" s="21">
        <v>778385.8</v>
      </c>
      <c r="F396" s="21">
        <v>294563.16909322067</v>
      </c>
      <c r="G396" s="21">
        <f>Table8414194101324273239434853567[[#This Row],[VỐN CP]]+Table8414194101324273239434853567[[#This Row],[LỢI NHUẬN RÒNG]]</f>
        <v>3494563.1690932205</v>
      </c>
      <c r="H396" s="28"/>
      <c r="I396" s="11"/>
      <c r="J396" s="11"/>
    </row>
    <row r="397" spans="1:10" hidden="1" x14ac:dyDescent="0.3">
      <c r="A397" s="23" t="s">
        <v>81</v>
      </c>
      <c r="B397" s="27" t="s">
        <v>35</v>
      </c>
      <c r="C397" s="21">
        <v>5</v>
      </c>
      <c r="D397" s="21">
        <v>1600000</v>
      </c>
      <c r="E397" s="21">
        <v>389192.9</v>
      </c>
      <c r="F397" s="21">
        <v>147281.58454661033</v>
      </c>
      <c r="G397" s="21">
        <f>Table8414194101324273239434853567[[#This Row],[VỐN CP]]+Table8414194101324273239434853567[[#This Row],[LỢI NHUẬN RÒNG]]</f>
        <v>1747281.5845466102</v>
      </c>
      <c r="H397" s="28"/>
      <c r="I397" s="11"/>
      <c r="J397" s="11"/>
    </row>
    <row r="398" spans="1:10" hidden="1" x14ac:dyDescent="0.3">
      <c r="A398" s="23" t="s">
        <v>81</v>
      </c>
      <c r="B398" s="27" t="s">
        <v>43</v>
      </c>
      <c r="C398" s="21">
        <v>10</v>
      </c>
      <c r="D398" s="21">
        <v>3200000</v>
      </c>
      <c r="E398" s="21">
        <v>778385.8</v>
      </c>
      <c r="F398" s="21">
        <v>294563.16909322067</v>
      </c>
      <c r="G398" s="21">
        <f>Table8414194101324273239434853567[[#This Row],[VỐN CP]]+Table8414194101324273239434853567[[#This Row],[LỢI NHUẬN RÒNG]]</f>
        <v>3494563.1690932205</v>
      </c>
      <c r="H398" s="28"/>
      <c r="I398" s="11"/>
      <c r="J398" s="11"/>
    </row>
    <row r="399" spans="1:10" hidden="1" x14ac:dyDescent="0.3">
      <c r="A399" s="23" t="s">
        <v>81</v>
      </c>
      <c r="B399" s="27" t="s">
        <v>25</v>
      </c>
      <c r="C399" s="21">
        <v>10</v>
      </c>
      <c r="D399" s="21">
        <v>3200000</v>
      </c>
      <c r="E399" s="21">
        <v>778385.8</v>
      </c>
      <c r="F399" s="21">
        <v>294563.16909322067</v>
      </c>
      <c r="G399" s="21">
        <f>Table8414194101324273239434853567[[#This Row],[VỐN CP]]+Table8414194101324273239434853567[[#This Row],[LỢI NHUẬN RÒNG]]</f>
        <v>3494563.1690932205</v>
      </c>
      <c r="H399" s="28"/>
      <c r="I399" s="11"/>
      <c r="J399" s="11"/>
    </row>
    <row r="400" spans="1:10" hidden="1" x14ac:dyDescent="0.3">
      <c r="A400" s="23" t="s">
        <v>82</v>
      </c>
      <c r="B400" s="27" t="s">
        <v>9</v>
      </c>
      <c r="C400" s="21">
        <v>25</v>
      </c>
      <c r="D400" s="21">
        <v>4000000</v>
      </c>
      <c r="E400" s="21">
        <v>4338626.75</v>
      </c>
      <c r="F400" s="21">
        <v>2365252.336555277</v>
      </c>
      <c r="G400" s="21">
        <f>Table8414194101324273239434853567[[#This Row],[VỐN CP]]+Table8414194101324273239434853567[[#This Row],[LỢI NHUẬN RÒNG]]</f>
        <v>6365252.336555277</v>
      </c>
      <c r="H400" s="28"/>
      <c r="I400" s="11"/>
      <c r="J400" s="11"/>
    </row>
    <row r="401" spans="1:10" hidden="1" x14ac:dyDescent="0.3">
      <c r="A401" s="23" t="s">
        <v>82</v>
      </c>
      <c r="B401" s="27" t="s">
        <v>19</v>
      </c>
      <c r="C401" s="21">
        <v>20</v>
      </c>
      <c r="D401" s="21">
        <v>3200000</v>
      </c>
      <c r="E401" s="21">
        <v>3470901.4</v>
      </c>
      <c r="F401" s="21">
        <v>1892201.8692442214</v>
      </c>
      <c r="G401" s="21">
        <f>Table8414194101324273239434853567[[#This Row],[VỐN CP]]+Table8414194101324273239434853567[[#This Row],[LỢI NHUẬN RÒNG]]</f>
        <v>5092201.8692442216</v>
      </c>
      <c r="H401" s="28"/>
      <c r="I401" s="11"/>
      <c r="J401" s="11"/>
    </row>
    <row r="402" spans="1:10" hidden="1" x14ac:dyDescent="0.3">
      <c r="A402" s="23" t="s">
        <v>82</v>
      </c>
      <c r="B402" s="27" t="s">
        <v>37</v>
      </c>
      <c r="C402" s="21">
        <v>25</v>
      </c>
      <c r="D402" s="21">
        <v>4000000</v>
      </c>
      <c r="E402" s="21">
        <v>4338626.75</v>
      </c>
      <c r="F402" s="21">
        <v>2365252.336555277</v>
      </c>
      <c r="G402" s="21">
        <f>Table8414194101324273239434853567[[#This Row],[VỐN CP]]+Table8414194101324273239434853567[[#This Row],[LỢI NHUẬN RÒNG]]</f>
        <v>6365252.336555277</v>
      </c>
      <c r="H402" s="28"/>
      <c r="I402" s="11"/>
      <c r="J402" s="11"/>
    </row>
    <row r="403" spans="1:10" hidden="1" x14ac:dyDescent="0.3">
      <c r="A403" s="23" t="s">
        <v>82</v>
      </c>
      <c r="B403" s="27" t="s">
        <v>21</v>
      </c>
      <c r="C403" s="21">
        <v>25</v>
      </c>
      <c r="D403" s="21">
        <v>4000000</v>
      </c>
      <c r="E403" s="21">
        <v>4338626.75</v>
      </c>
      <c r="F403" s="21">
        <v>2365252.336555277</v>
      </c>
      <c r="G403" s="21">
        <f>Table8414194101324273239434853567[[#This Row],[VỐN CP]]+Table8414194101324273239434853567[[#This Row],[LỢI NHUẬN RÒNG]]</f>
        <v>6365252.336555277</v>
      </c>
      <c r="H403" s="28"/>
      <c r="I403" s="11"/>
      <c r="J403" s="11"/>
    </row>
    <row r="404" spans="1:10" hidden="1" x14ac:dyDescent="0.3">
      <c r="A404" s="23" t="s">
        <v>82</v>
      </c>
      <c r="B404" s="27" t="s">
        <v>10</v>
      </c>
      <c r="C404" s="21">
        <v>5</v>
      </c>
      <c r="D404" s="21">
        <v>800000</v>
      </c>
      <c r="E404" s="21">
        <v>867725.35</v>
      </c>
      <c r="F404" s="21">
        <v>473050.46731105534</v>
      </c>
      <c r="G404" s="21">
        <f>Table8414194101324273239434853567[[#This Row],[VỐN CP]]+Table8414194101324273239434853567[[#This Row],[LỢI NHUẬN RÒNG]]</f>
        <v>1273050.4673110554</v>
      </c>
      <c r="H404" s="28"/>
      <c r="I404" s="11"/>
      <c r="J404" s="11"/>
    </row>
    <row r="405" spans="1:10" hidden="1" x14ac:dyDescent="0.3">
      <c r="A405" s="23" t="s">
        <v>83</v>
      </c>
      <c r="B405" s="27" t="s">
        <v>9</v>
      </c>
      <c r="C405" s="21">
        <v>20</v>
      </c>
      <c r="D405" s="21">
        <v>8200000</v>
      </c>
      <c r="E405" s="21">
        <v>2686749.2</v>
      </c>
      <c r="F405" s="21">
        <v>1763637.4235687093</v>
      </c>
      <c r="G405" s="21">
        <f>Table8414194101324273239434853567[[#This Row],[VỐN CP]]+Table8414194101324273239434853567[[#This Row],[LỢI NHUẬN RÒNG]]</f>
        <v>9963637.4235687088</v>
      </c>
      <c r="H405" s="28"/>
      <c r="I405" s="11"/>
      <c r="J405" s="11"/>
    </row>
    <row r="406" spans="1:10" hidden="1" x14ac:dyDescent="0.3">
      <c r="A406" s="23" t="s">
        <v>83</v>
      </c>
      <c r="B406" s="27" t="s">
        <v>19</v>
      </c>
      <c r="C406" s="21">
        <v>5</v>
      </c>
      <c r="D406" s="21">
        <v>2050000</v>
      </c>
      <c r="E406" s="21">
        <v>671687.3</v>
      </c>
      <c r="F406" s="21">
        <v>440909.35589217732</v>
      </c>
      <c r="G406" s="21">
        <f>Table8414194101324273239434853567[[#This Row],[VỐN CP]]+Table8414194101324273239434853567[[#This Row],[LỢI NHUẬN RÒNG]]</f>
        <v>2490909.3558921772</v>
      </c>
      <c r="H406" s="28"/>
      <c r="I406" s="11"/>
      <c r="J406" s="11"/>
    </row>
    <row r="407" spans="1:10" hidden="1" x14ac:dyDescent="0.3">
      <c r="A407" s="23" t="s">
        <v>83</v>
      </c>
      <c r="B407" s="27" t="s">
        <v>37</v>
      </c>
      <c r="C407" s="21">
        <v>10</v>
      </c>
      <c r="D407" s="21">
        <v>4100000</v>
      </c>
      <c r="E407" s="21">
        <v>1343374.6</v>
      </c>
      <c r="F407" s="21">
        <v>881818.71178435464</v>
      </c>
      <c r="G407" s="21">
        <f>Table8414194101324273239434853567[[#This Row],[VỐN CP]]+Table8414194101324273239434853567[[#This Row],[LỢI NHUẬN RÒNG]]</f>
        <v>4981818.7117843544</v>
      </c>
      <c r="H407" s="28"/>
      <c r="I407" s="11"/>
      <c r="J407" s="11"/>
    </row>
    <row r="408" spans="1:10" hidden="1" x14ac:dyDescent="0.3">
      <c r="A408" s="23" t="s">
        <v>83</v>
      </c>
      <c r="B408" s="27" t="s">
        <v>31</v>
      </c>
      <c r="C408" s="21">
        <v>20</v>
      </c>
      <c r="D408" s="21">
        <v>8200000</v>
      </c>
      <c r="E408" s="21">
        <v>2686749.2</v>
      </c>
      <c r="F408" s="21">
        <v>1763637.4235687093</v>
      </c>
      <c r="G408" s="21">
        <f>Table8414194101324273239434853567[[#This Row],[VỐN CP]]+Table8414194101324273239434853567[[#This Row],[LỢI NHUẬN RÒNG]]</f>
        <v>9963637.4235687088</v>
      </c>
      <c r="H408" s="28"/>
      <c r="I408" s="11"/>
      <c r="J408" s="11"/>
    </row>
    <row r="409" spans="1:10" hidden="1" x14ac:dyDescent="0.3">
      <c r="A409" s="23" t="s">
        <v>83</v>
      </c>
      <c r="B409" s="27" t="s">
        <v>21</v>
      </c>
      <c r="C409" s="21">
        <v>20</v>
      </c>
      <c r="D409" s="21">
        <v>8200000</v>
      </c>
      <c r="E409" s="21">
        <v>2686749.2</v>
      </c>
      <c r="F409" s="21">
        <v>1763637.4235687093</v>
      </c>
      <c r="G409" s="21">
        <f>Table8414194101324273239434853567[[#This Row],[VỐN CP]]+Table8414194101324273239434853567[[#This Row],[LỢI NHUẬN RÒNG]]</f>
        <v>9963637.4235687088</v>
      </c>
      <c r="H409" s="28"/>
      <c r="I409" s="11"/>
      <c r="J409" s="11"/>
    </row>
    <row r="410" spans="1:10" hidden="1" x14ac:dyDescent="0.3">
      <c r="A410" s="23" t="s">
        <v>83</v>
      </c>
      <c r="B410" s="27" t="s">
        <v>35</v>
      </c>
      <c r="C410" s="21">
        <v>5</v>
      </c>
      <c r="D410" s="21">
        <v>2050000</v>
      </c>
      <c r="E410" s="21">
        <v>671687.3</v>
      </c>
      <c r="F410" s="21">
        <v>440909.35589217732</v>
      </c>
      <c r="G410" s="21">
        <f>Table8414194101324273239434853567[[#This Row],[VỐN CP]]+Table8414194101324273239434853567[[#This Row],[LỢI NHUẬN RÒNG]]</f>
        <v>2490909.3558921772</v>
      </c>
      <c r="H410" s="28"/>
      <c r="I410" s="11"/>
      <c r="J410" s="11"/>
    </row>
    <row r="411" spans="1:10" hidden="1" x14ac:dyDescent="0.3">
      <c r="A411" s="23" t="s">
        <v>83</v>
      </c>
      <c r="B411" s="27" t="s">
        <v>43</v>
      </c>
      <c r="C411" s="21">
        <v>10</v>
      </c>
      <c r="D411" s="21">
        <v>4100000</v>
      </c>
      <c r="E411" s="21">
        <v>1343374.6</v>
      </c>
      <c r="F411" s="21">
        <v>881818.71178435464</v>
      </c>
      <c r="G411" s="21">
        <f>Table8414194101324273239434853567[[#This Row],[VỐN CP]]+Table8414194101324273239434853567[[#This Row],[LỢI NHUẬN RÒNG]]</f>
        <v>4981818.7117843544</v>
      </c>
      <c r="H411" s="28"/>
      <c r="I411" s="11"/>
      <c r="J411" s="11"/>
    </row>
    <row r="412" spans="1:10" hidden="1" x14ac:dyDescent="0.3">
      <c r="A412" s="23" t="s">
        <v>83</v>
      </c>
      <c r="B412" s="27" t="s">
        <v>25</v>
      </c>
      <c r="C412" s="21">
        <v>10</v>
      </c>
      <c r="D412" s="21">
        <v>4100000</v>
      </c>
      <c r="E412" s="21">
        <v>1343374.6</v>
      </c>
      <c r="F412" s="21">
        <v>881818.71178435464</v>
      </c>
      <c r="G412" s="21">
        <f>Table8414194101324273239434853567[[#This Row],[VỐN CP]]+Table8414194101324273239434853567[[#This Row],[LỢI NHUẬN RÒNG]]</f>
        <v>4981818.7117843544</v>
      </c>
      <c r="H412" s="28"/>
      <c r="I412" s="11"/>
      <c r="J412" s="11"/>
    </row>
    <row r="413" spans="1:10" hidden="1" x14ac:dyDescent="0.3">
      <c r="A413" s="23" t="s">
        <v>84</v>
      </c>
      <c r="B413" s="27" t="s">
        <v>9</v>
      </c>
      <c r="C413" s="21">
        <v>20</v>
      </c>
      <c r="D413" s="21">
        <v>16900000</v>
      </c>
      <c r="E413" s="21">
        <v>484620</v>
      </c>
      <c r="F413" s="21">
        <v>-1997155.6581447632</v>
      </c>
      <c r="G413" s="21">
        <f>Table8414194101324273239434853567[[#This Row],[VỐN CP]]+Table8414194101324273239434853567[[#This Row],[LỢI NHUẬN RÒNG]]</f>
        <v>14902844.341855237</v>
      </c>
      <c r="H413" s="28"/>
      <c r="I413" s="11"/>
      <c r="J413" s="11"/>
    </row>
    <row r="414" spans="1:10" hidden="1" x14ac:dyDescent="0.3">
      <c r="A414" s="23" t="s">
        <v>84</v>
      </c>
      <c r="B414" s="27" t="s">
        <v>19</v>
      </c>
      <c r="C414" s="21">
        <v>10</v>
      </c>
      <c r="D414" s="21">
        <v>8450000</v>
      </c>
      <c r="E414" s="21">
        <v>242310</v>
      </c>
      <c r="F414" s="21">
        <v>-998577.8290723816</v>
      </c>
      <c r="G414" s="21">
        <f>Table8414194101324273239434853567[[#This Row],[VỐN CP]]+Table8414194101324273239434853567[[#This Row],[LỢI NHUẬN RÒNG]]</f>
        <v>7451422.1709276186</v>
      </c>
      <c r="H414" s="28"/>
      <c r="I414" s="11"/>
      <c r="J414" s="11"/>
    </row>
    <row r="415" spans="1:10" hidden="1" x14ac:dyDescent="0.3">
      <c r="A415" s="23" t="s">
        <v>84</v>
      </c>
      <c r="B415" s="27" t="s">
        <v>37</v>
      </c>
      <c r="C415" s="21">
        <v>10</v>
      </c>
      <c r="D415" s="21">
        <v>8450000</v>
      </c>
      <c r="E415" s="21">
        <v>242310</v>
      </c>
      <c r="F415" s="21">
        <v>-998577.8290723816</v>
      </c>
      <c r="G415" s="21">
        <f>Table8414194101324273239434853567[[#This Row],[VỐN CP]]+Table8414194101324273239434853567[[#This Row],[LỢI NHUẬN RÒNG]]</f>
        <v>7451422.1709276186</v>
      </c>
      <c r="H415" s="28"/>
      <c r="I415" s="11"/>
      <c r="J415" s="11"/>
    </row>
    <row r="416" spans="1:10" hidden="1" x14ac:dyDescent="0.3">
      <c r="A416" s="23" t="s">
        <v>84</v>
      </c>
      <c r="B416" s="27" t="s">
        <v>31</v>
      </c>
      <c r="C416" s="21">
        <v>20</v>
      </c>
      <c r="D416" s="21">
        <v>16900000</v>
      </c>
      <c r="E416" s="21">
        <v>484620</v>
      </c>
      <c r="F416" s="21">
        <v>-1997155.6581447632</v>
      </c>
      <c r="G416" s="21">
        <f>Table8414194101324273239434853567[[#This Row],[VỐN CP]]+Table8414194101324273239434853567[[#This Row],[LỢI NHUẬN RÒNG]]</f>
        <v>14902844.341855237</v>
      </c>
      <c r="H416" s="28"/>
      <c r="I416" s="11"/>
      <c r="J416" s="11"/>
    </row>
    <row r="417" spans="1:10" hidden="1" x14ac:dyDescent="0.3">
      <c r="A417" s="23" t="s">
        <v>84</v>
      </c>
      <c r="B417" s="27" t="s">
        <v>21</v>
      </c>
      <c r="C417" s="21">
        <v>20</v>
      </c>
      <c r="D417" s="21">
        <v>16900000</v>
      </c>
      <c r="E417" s="21">
        <v>484620</v>
      </c>
      <c r="F417" s="21">
        <v>-1997155.6581447632</v>
      </c>
      <c r="G417" s="21">
        <f>Table8414194101324273239434853567[[#This Row],[VỐN CP]]+Table8414194101324273239434853567[[#This Row],[LỢI NHUẬN RÒNG]]</f>
        <v>14902844.341855237</v>
      </c>
      <c r="H417" s="28"/>
      <c r="I417" s="11"/>
      <c r="J417" s="11"/>
    </row>
    <row r="418" spans="1:10" hidden="1" x14ac:dyDescent="0.3">
      <c r="A418" s="23" t="s">
        <v>84</v>
      </c>
      <c r="B418" s="27" t="s">
        <v>29</v>
      </c>
      <c r="C418" s="21">
        <v>5</v>
      </c>
      <c r="D418" s="21">
        <v>4225000</v>
      </c>
      <c r="E418" s="21">
        <v>121155</v>
      </c>
      <c r="F418" s="21">
        <v>-499288.9145361908</v>
      </c>
      <c r="G418" s="21">
        <f>Table8414194101324273239434853567[[#This Row],[VỐN CP]]+Table8414194101324273239434853567[[#This Row],[LỢI NHUẬN RÒNG]]</f>
        <v>3725711.0854638093</v>
      </c>
      <c r="H418" s="28"/>
      <c r="I418" s="11"/>
      <c r="J418" s="11"/>
    </row>
    <row r="419" spans="1:10" hidden="1" x14ac:dyDescent="0.3">
      <c r="A419" s="23" t="s">
        <v>84</v>
      </c>
      <c r="B419" s="27" t="s">
        <v>43</v>
      </c>
      <c r="C419" s="21">
        <v>10</v>
      </c>
      <c r="D419" s="21">
        <v>8450000</v>
      </c>
      <c r="E419" s="21">
        <v>242310</v>
      </c>
      <c r="F419" s="21">
        <v>-998577.8290723816</v>
      </c>
      <c r="G419" s="21">
        <f>Table8414194101324273239434853567[[#This Row],[VỐN CP]]+Table8414194101324273239434853567[[#This Row],[LỢI NHUẬN RÒNG]]</f>
        <v>7451422.1709276186</v>
      </c>
      <c r="H419" s="28"/>
      <c r="I419" s="11"/>
      <c r="J419" s="11"/>
    </row>
    <row r="420" spans="1:10" hidden="1" x14ac:dyDescent="0.3">
      <c r="A420" s="23" t="s">
        <v>84</v>
      </c>
      <c r="B420" s="27" t="s">
        <v>25</v>
      </c>
      <c r="C420" s="21">
        <v>5</v>
      </c>
      <c r="D420" s="21">
        <v>4225000</v>
      </c>
      <c r="E420" s="21">
        <v>121155</v>
      </c>
      <c r="F420" s="21">
        <v>-499288.9145361908</v>
      </c>
      <c r="G420" s="21">
        <f>Table8414194101324273239434853567[[#This Row],[VỐN CP]]+Table8414194101324273239434853567[[#This Row],[LỢI NHUẬN RÒNG]]</f>
        <v>3725711.0854638093</v>
      </c>
      <c r="H420" s="28"/>
      <c r="I420" s="11"/>
      <c r="J420" s="11"/>
    </row>
    <row r="421" spans="1:10" hidden="1" x14ac:dyDescent="0.3">
      <c r="A421" s="23" t="s">
        <v>139</v>
      </c>
      <c r="B421" s="27" t="s">
        <v>9</v>
      </c>
      <c r="C421" s="21">
        <v>30</v>
      </c>
      <c r="D421" s="21"/>
      <c r="E421" s="21"/>
      <c r="F421" s="21"/>
      <c r="G421" s="21">
        <v>158052</v>
      </c>
      <c r="H421" s="28"/>
      <c r="I421" s="11"/>
      <c r="J421" s="11"/>
    </row>
    <row r="422" spans="1:10" hidden="1" x14ac:dyDescent="0.3">
      <c r="A422" s="23" t="s">
        <v>139</v>
      </c>
      <c r="B422" s="27" t="s">
        <v>19</v>
      </c>
      <c r="C422" s="21">
        <v>30</v>
      </c>
      <c r="D422" s="21"/>
      <c r="E422" s="21"/>
      <c r="F422" s="21"/>
      <c r="G422" s="21">
        <v>158052</v>
      </c>
      <c r="H422" s="28"/>
      <c r="I422" s="11"/>
      <c r="J422" s="11"/>
    </row>
    <row r="423" spans="1:10" hidden="1" x14ac:dyDescent="0.3">
      <c r="A423" s="23" t="s">
        <v>139</v>
      </c>
      <c r="B423" s="27" t="s">
        <v>31</v>
      </c>
      <c r="C423" s="21">
        <v>10</v>
      </c>
      <c r="D423" s="21"/>
      <c r="E423" s="21"/>
      <c r="F423" s="21"/>
      <c r="G423" s="21">
        <v>52684</v>
      </c>
      <c r="H423" s="28"/>
      <c r="I423" s="11"/>
      <c r="J423" s="11"/>
    </row>
    <row r="424" spans="1:10" hidden="1" x14ac:dyDescent="0.3">
      <c r="A424" s="23" t="s">
        <v>139</v>
      </c>
      <c r="B424" s="27" t="s">
        <v>13</v>
      </c>
      <c r="C424" s="21">
        <v>10</v>
      </c>
      <c r="D424" s="21"/>
      <c r="E424" s="21"/>
      <c r="F424" s="21"/>
      <c r="G424" s="21">
        <v>52684</v>
      </c>
      <c r="H424" s="28"/>
      <c r="I424" s="11"/>
      <c r="J424" s="11"/>
    </row>
    <row r="425" spans="1:10" hidden="1" x14ac:dyDescent="0.3">
      <c r="A425" s="23" t="s">
        <v>139</v>
      </c>
      <c r="B425" s="27" t="s">
        <v>21</v>
      </c>
      <c r="C425" s="21">
        <v>10</v>
      </c>
      <c r="D425" s="21"/>
      <c r="E425" s="21"/>
      <c r="F425" s="21"/>
      <c r="G425" s="21">
        <v>52684</v>
      </c>
      <c r="H425" s="28"/>
      <c r="I425" s="11"/>
      <c r="J425" s="11"/>
    </row>
    <row r="426" spans="1:10" hidden="1" x14ac:dyDescent="0.3">
      <c r="A426" s="23" t="s">
        <v>139</v>
      </c>
      <c r="B426" s="27" t="s">
        <v>37</v>
      </c>
      <c r="C426" s="21">
        <v>10</v>
      </c>
      <c r="D426" s="21"/>
      <c r="E426" s="21"/>
      <c r="F426" s="21"/>
      <c r="G426" s="21">
        <v>52684</v>
      </c>
      <c r="H426" s="28"/>
      <c r="I426" s="11"/>
      <c r="J426" s="11"/>
    </row>
    <row r="427" spans="1:10" x14ac:dyDescent="0.3">
      <c r="A427" s="23"/>
      <c r="B427" s="21"/>
      <c r="C427" s="21"/>
      <c r="D427" s="21">
        <f>SUBTOTAL(109,Table8414194101324273239434853567[VỐN CP])</f>
        <v>62258333.333333336</v>
      </c>
      <c r="E427" s="21">
        <f>SUBTOTAL(109,Table8414194101324273239434853567[LỢI NHUẬN GỘP])</f>
        <v>16888310.983333331</v>
      </c>
      <c r="F427" s="21">
        <f>SUBTOTAL(109,Table8414194101324273239434853567[LỢI NHUẬN RÒNG])</f>
        <v>8112495.3298516227</v>
      </c>
      <c r="G427" s="21">
        <f>SUBTOTAL(109,Table8414194101324273239434853567[TỔNG NHẬN])</f>
        <v>70370828.663184956</v>
      </c>
      <c r="H427" s="28"/>
    </row>
    <row r="429" spans="1:10" x14ac:dyDescent="0.3">
      <c r="H429" s="11"/>
    </row>
    <row r="431" spans="1:10" x14ac:dyDescent="0.3">
      <c r="G431" s="11" t="s">
        <v>85</v>
      </c>
    </row>
    <row r="433" spans="11:11" x14ac:dyDescent="0.3">
      <c r="K433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5A4B-960D-4BFC-BAF4-007A3DBF5051}">
  <sheetPr codeName="Sheet6"/>
  <dimension ref="A1:O427"/>
  <sheetViews>
    <sheetView workbookViewId="0">
      <selection activeCell="G14" sqref="G14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135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1627802.2</v>
      </c>
      <c r="F3" s="18">
        <v>516357.65242325142</v>
      </c>
      <c r="G3" s="12">
        <f>D3+Table841419410132427323943485356711[[#This Row],[LỢI NHUẬN RÒNG]]</f>
        <v>5316357.6524232514</v>
      </c>
      <c r="K3" s="13" t="s">
        <v>10</v>
      </c>
      <c r="L3" s="14">
        <f>SUMIF(Table841419410132427323943485356711[CỔ ĐÔNG],K3,Table841419410132427323943485356711[VỐN CP])</f>
        <v>2400000</v>
      </c>
      <c r="M3" s="14">
        <f>SUMIF(Table841419410132427323943485356711[CỔ ĐÔNG],K3,Table841419410132427323943485356711[LỢI NHUẬN GỘP])</f>
        <v>813901.1</v>
      </c>
      <c r="N3" s="14">
        <f>SUMIF(Table841419410132427323943485356711[CỔ ĐÔNG],K3,Table841419410132427323943485356711[LỢI NHUẬN RÒNG])</f>
        <v>258178.82621162571</v>
      </c>
      <c r="O3" s="15">
        <f>SUMIF(Table841419410132427323943485356711[CỔ ĐÔNG],K3,Table841419410132427323943485356711[TỔNG NHẬN])</f>
        <v>2658178.8262116257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3255604.4</v>
      </c>
      <c r="F4" s="18">
        <v>1032715.3048465028</v>
      </c>
      <c r="G4" s="12">
        <f>D4+Table841419410132427323943485356711[[#This Row],[LỢI NHUẬN RÒNG]]</f>
        <v>10632715.304846503</v>
      </c>
      <c r="K4" s="13" t="s">
        <v>9</v>
      </c>
      <c r="L4" s="14">
        <f>SUMIF(Table841419410132427323943485356711[CỔ ĐÔNG],K4,Table841419410132427323943485356711[VỐN CP])</f>
        <v>4800000</v>
      </c>
      <c r="M4" s="14">
        <f>SUMIF(Table841419410132427323943485356711[CỔ ĐÔNG],K4,Table841419410132427323943485356711[LỢI NHUẬN GỘP])</f>
        <v>1627802.2</v>
      </c>
      <c r="N4" s="14">
        <f>SUMIF(Table841419410132427323943485356711[CỔ ĐÔNG],K4,Table841419410132427323943485356711[LỢI NHUẬN RÒNG])</f>
        <v>516357.65242325142</v>
      </c>
      <c r="O4" s="15">
        <f>SUMIF(Table841419410132427323943485356711[CỔ ĐÔNG],Table951520511142528334044495457812[[#This Row],[CỔ ĐÔNG]],Table841419410132427323943485356711[TỔNG NHẬN])</f>
        <v>5316357.6524232514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2441703.2999999998</v>
      </c>
      <c r="F5" s="18">
        <v>774536.47863487725</v>
      </c>
      <c r="G5" s="12">
        <f>D5+Table841419410132427323943485356711[[#This Row],[LỢI NHUẬN RÒNG]]</f>
        <v>7974536.4786348771</v>
      </c>
      <c r="K5" s="13" t="s">
        <v>13</v>
      </c>
      <c r="L5" s="14">
        <f>SUMIF(Table841419410132427323943485356711[CỔ ĐÔNG],K5,Table841419410132427323943485356711[VỐN CP])</f>
        <v>0</v>
      </c>
      <c r="M5" s="14">
        <f>SUMIF(Table841419410132427323943485356711[CỔ ĐÔNG],K5,Table841419410132427323943485356711[LỢI NHUẬN GỘP])</f>
        <v>0</v>
      </c>
      <c r="N5" s="14">
        <f>SUMIF(Table841419410132427323943485356711[CỔ ĐÔNG],K5,Table841419410132427323943485356711[LỢI NHUẬN RÒNG])</f>
        <v>0</v>
      </c>
      <c r="O5" s="15">
        <f>SUMIF(Table841419410132427323943485356711[CỔ ĐÔNG],Table951520511142528334044495457812[[#This Row],[CỔ ĐÔNG]],Table841419410132427323943485356711[TỔNG NHẬN])</f>
        <v>0</v>
      </c>
    </row>
    <row r="6" spans="1:15" ht="15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813901.1</v>
      </c>
      <c r="F6" s="18">
        <v>258178.82621162571</v>
      </c>
      <c r="G6" s="12">
        <f>D6+Table841419410132427323943485356711[[#This Row],[LỢI NHUẬN RÒNG]]</f>
        <v>2658178.8262116257</v>
      </c>
      <c r="K6" s="13" t="s">
        <v>15</v>
      </c>
      <c r="L6" s="14">
        <f>SUMIF(Table841419410132427323943485356711[CỔ ĐÔNG],K6,Table841419410132427323943485356711[VỐN CP])</f>
        <v>0</v>
      </c>
      <c r="M6" s="14">
        <f>SUMIF(Table841419410132427323943485356711[CỔ ĐÔNG],K6,Table841419410132427323943485356711[LỢI NHUẬN GỘP])</f>
        <v>0</v>
      </c>
      <c r="N6" s="14">
        <f>SUMIF(Table841419410132427323943485356711[CỔ ĐÔNG],K6,Table841419410132427323943485356711[LỢI NHUẬN RÒNG])</f>
        <v>0</v>
      </c>
      <c r="O6" s="15">
        <f>SUMIF(Table841419410132427323943485356711[CỔ ĐÔNG],K6,Table841419410132427323943485356711[TỔNG NHẬN])</f>
        <v>0</v>
      </c>
    </row>
    <row r="7" spans="1:15" ht="15" hidden="1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2441703.2999999998</v>
      </c>
      <c r="F7" s="18">
        <v>774536.47863487725</v>
      </c>
      <c r="G7" s="12">
        <f>D7+Table841419410132427323943485356711[[#This Row],[LỢI NHUẬN RÒNG]]</f>
        <v>7974536.4786348771</v>
      </c>
      <c r="I7" s="11"/>
      <c r="K7" s="13" t="s">
        <v>17</v>
      </c>
      <c r="L7" s="14">
        <f>SUMIF(Table841419410132427323943485356711[CỔ ĐÔNG],K7,Table841419410132427323943485356711[VỐN CP])</f>
        <v>0</v>
      </c>
      <c r="M7" s="14">
        <f>SUMIF(Table841419410132427323943485356711[CỔ ĐÔNG],K7,Table841419410132427323943485356711[LỢI NHUẬN GỘP])</f>
        <v>0</v>
      </c>
      <c r="N7" s="14">
        <f>SUMIF(Table841419410132427323943485356711[CỔ ĐÔNG],K7,Table841419410132427323943485356711[LỢI NHUẬN RÒNG])</f>
        <v>0</v>
      </c>
      <c r="O7" s="15">
        <f>SUMIF(Table841419410132427323943485356711[CỔ ĐÔNG],Table951520511142528334044495457812[[#This Row],[CỔ ĐÔNG]],Table841419410132427323943485356711[TỔNG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1627802.2</v>
      </c>
      <c r="F8" s="18">
        <v>516357.65242325142</v>
      </c>
      <c r="G8" s="12">
        <f>D8+Table841419410132427323943485356711[[#This Row],[LỢI NHUẬN RÒNG]]</f>
        <v>5316357.6524232514</v>
      </c>
      <c r="K8" s="13" t="s">
        <v>19</v>
      </c>
      <c r="L8" s="14">
        <f>SUMIF(Table841419410132427323943485356711[CỔ ĐÔNG],K8,Table841419410132427323943485356711[VỐN CP])</f>
        <v>9600000</v>
      </c>
      <c r="M8" s="14">
        <f>SUMIF(Table841419410132427323943485356711[CỔ ĐÔNG],K8,Table841419410132427323943485356711[LỢI NHUẬN GỘP])</f>
        <v>3255604.4</v>
      </c>
      <c r="N8" s="14">
        <f>SUMIF(Table841419410132427323943485356711[CỔ ĐÔNG],K8,Table841419410132427323943485356711[LỢI NHUẬN RÒNG])</f>
        <v>1032715.3048465028</v>
      </c>
      <c r="O8" s="15">
        <f>SUMIF(Table841419410132427323943485356711[CỔ ĐÔNG],Table951520511142528334044495457812[[#This Row],[CỔ ĐÔNG]],Table841419410132427323943485356711[TỔNG NHẬN])</f>
        <v>17545464.635136962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813901.1</v>
      </c>
      <c r="F9" s="18">
        <v>258178.82621162571</v>
      </c>
      <c r="G9" s="12">
        <f>D9+Table841419410132427323943485356711[[#This Row],[LỢI NHUẬN RÒNG]]</f>
        <v>2658178.8262116257</v>
      </c>
      <c r="K9" s="13" t="s">
        <v>21</v>
      </c>
      <c r="L9" s="14">
        <f>SUMIF(Table841419410132427323943485356711[CỔ ĐÔNG],K9,Table841419410132427323943485356711[VỐN CP])</f>
        <v>4800000</v>
      </c>
      <c r="M9" s="14">
        <f>SUMIF(Table841419410132427323943485356711[CỔ ĐÔNG],K9,Table841419410132427323943485356711[LỢI NHUẬN GỘP])</f>
        <v>1627802.2</v>
      </c>
      <c r="N9" s="14">
        <f>SUMIF(Table841419410132427323943485356711[CỔ ĐÔNG],K9,Table841419410132427323943485356711[LỢI NHUẬN RÒNG])</f>
        <v>516357.65242325142</v>
      </c>
      <c r="O9" s="15">
        <f>SUMIF(Table841419410132427323943485356711[CỔ ĐÔNG],Table951520511142528334044495457812[[#This Row],[CỔ ĐÔNG]],Table841419410132427323943485356711[TỔNG NHẬN])</f>
        <v>12229106.982713711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1627802.2</v>
      </c>
      <c r="F10" s="18">
        <v>516357.65242325142</v>
      </c>
      <c r="G10" s="12">
        <f>D10+Table841419410132427323943485356711[[#This Row],[LỢI NHUẬN RÒNG]]</f>
        <v>5316357.6524232514</v>
      </c>
      <c r="I10" s="11"/>
      <c r="K10" s="13" t="s">
        <v>23</v>
      </c>
      <c r="L10" s="14">
        <f>SUMIF(Table841419410132427323943485356711[CỔ ĐÔNG],K10,Table841419410132427323943485356711[VỐN CP])</f>
        <v>0</v>
      </c>
      <c r="M10" s="14">
        <f>SUMIF(Table841419410132427323943485356711[CỔ ĐÔNG],K10,Table841419410132427323943485356711[LỢI NHUẬN GỘP])</f>
        <v>0</v>
      </c>
      <c r="N10" s="14">
        <f>SUMIF(Table841419410132427323943485356711[CỔ ĐÔNG],K10,Table841419410132427323943485356711[LỢI NHUẬN RÒNG])</f>
        <v>0</v>
      </c>
      <c r="O10" s="15">
        <f>SUMIF(Table841419410132427323943485356711[CỔ ĐÔNG],Table951520511142528334044495457812[[#This Row],[CỔ ĐÔNG]],Table841419410132427323943485356711[TỔNG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1627802.2</v>
      </c>
      <c r="F11" s="18">
        <v>516357.65242325142</v>
      </c>
      <c r="G11" s="12">
        <f>D11+Table841419410132427323943485356711[[#This Row],[LỢI NHUẬN RÒNG]]</f>
        <v>5316357.6524232514</v>
      </c>
      <c r="K11" s="13" t="s">
        <v>25</v>
      </c>
      <c r="L11" s="14">
        <f>SUMIF(Table841419410132427323943485356711[CỔ ĐÔNG],K11,Table841419410132427323943485356711[VỐN CP])</f>
        <v>4800000</v>
      </c>
      <c r="M11" s="14">
        <f>SUMIF(Table841419410132427323943485356711[CỔ ĐÔNG],K11,Table841419410132427323943485356711[LỢI NHUẬN GỘP])</f>
        <v>1627802.2</v>
      </c>
      <c r="N11" s="14">
        <f>SUMIF(Table841419410132427323943485356711[CỔ ĐÔNG],K11,Table841419410132427323943485356711[LỢI NHUẬN RÒNG])</f>
        <v>516357.65242325142</v>
      </c>
      <c r="O11" s="15">
        <f>SUMIF(Table841419410132427323943485356711[CỔ ĐÔNG],Table951520511142528334044495457812[[#This Row],[CỔ ĐÔNG]],Table841419410132427323943485356711[TỔNG NHẬN])</f>
        <v>12229106.982713711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G12" s="12">
        <v>6912749.3302904582</v>
      </c>
      <c r="K12" s="13" t="s">
        <v>27</v>
      </c>
      <c r="L12" s="14">
        <f>SUMIF(Table841419410132427323943485356711[CỔ ĐÔNG],K12,Table841419410132427323943485356711[VỐN CP])</f>
        <v>0</v>
      </c>
      <c r="M12" s="14">
        <f>SUMIF(Table841419410132427323943485356711[CỔ ĐÔNG],K12,Table841419410132427323943485356711[LỢI NHUẬN GỘP])</f>
        <v>0</v>
      </c>
      <c r="N12" s="14">
        <f>SUMIF(Table841419410132427323943485356711[CỔ ĐÔNG],K12,Table841419410132427323943485356711[LỢI NHUẬN RÒNG])</f>
        <v>0</v>
      </c>
      <c r="O12" s="15">
        <f>SUMIF(Table841419410132427323943485356711[CỔ ĐÔNG],Table951520511142528334044495457812[[#This Row],[CỔ ĐÔNG]],Table841419410132427323943485356711[TỔNG NHẬN])</f>
        <v>0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G13" s="12">
        <v>6912749.3302904582</v>
      </c>
      <c r="K13" s="13" t="s">
        <v>29</v>
      </c>
      <c r="L13" s="14">
        <f>SUMIF(Table841419410132427323943485356711[CỔ ĐÔNG],K13,Table841419410132427323943485356711[VỐN CP])</f>
        <v>0</v>
      </c>
      <c r="M13" s="14">
        <f>SUMIF(Table841419410132427323943485356711[CỔ ĐÔNG],K13,Table841419410132427323943485356711[LỢI NHUẬN GỘP])</f>
        <v>0</v>
      </c>
      <c r="N13" s="14">
        <f>SUMIF(Table841419410132427323943485356711[CỔ ĐÔNG],K13,Table841419410132427323943485356711[LỢI NHUẬN RÒNG])</f>
        <v>0</v>
      </c>
      <c r="O13" s="15">
        <f>SUMIF(Table841419410132427323943485356711[CỔ ĐÔNG],Table951520511142528334044495457812[[#This Row],[CỔ ĐÔNG]],Table841419410132427323943485356711[TỔNG NHẬN])</f>
        <v>4608499.5535269715</v>
      </c>
    </row>
    <row r="14" spans="1:15" ht="15" customHeight="1" x14ac:dyDescent="0.3">
      <c r="A14" s="10" t="s">
        <v>138</v>
      </c>
      <c r="B14" s="11" t="s">
        <v>33</v>
      </c>
      <c r="C14" s="11">
        <v>5</v>
      </c>
      <c r="G14" s="12">
        <v>2304249.7767634857</v>
      </c>
      <c r="K14" s="13" t="s">
        <v>31</v>
      </c>
      <c r="L14" s="14">
        <f>SUMIF(Table841419410132427323943485356711[CỔ ĐÔNG],K14,Table841419410132427323943485356711[VỐN CP])</f>
        <v>7200000</v>
      </c>
      <c r="M14" s="14">
        <f>SUMIF(Table841419410132427323943485356711[CỔ ĐÔNG],K14,Table841419410132427323943485356711[LỢI NHUẬN GỘP])</f>
        <v>2441703.2999999998</v>
      </c>
      <c r="N14" s="14">
        <f>SUMIF(Table841419410132427323943485356711[CỔ ĐÔNG],K14,Table841419410132427323943485356711[LỢI NHUẬN RÒNG])</f>
        <v>774536.47863487725</v>
      </c>
      <c r="O14" s="15">
        <f>SUMIF(Table841419410132427323943485356711[CỔ ĐÔNG],Table951520511142528334044495457812[[#This Row],[CỔ ĐÔNG]],Table841419410132427323943485356711[TỔNG NHẬN])</f>
        <v>14887285.808925334</v>
      </c>
    </row>
    <row r="15" spans="1:15" ht="15" hidden="1" customHeight="1" x14ac:dyDescent="0.3">
      <c r="A15" s="10" t="s">
        <v>138</v>
      </c>
      <c r="B15" s="11" t="s">
        <v>31</v>
      </c>
      <c r="C15" s="11">
        <v>15</v>
      </c>
      <c r="G15" s="12">
        <v>6912749.3302904582</v>
      </c>
      <c r="K15" s="13" t="s">
        <v>33</v>
      </c>
      <c r="L15" s="14">
        <f>SUMIF(Table841419410132427323943485356711[CỔ ĐÔNG],K15,Table841419410132427323943485356711[VỐN CP])</f>
        <v>2400000</v>
      </c>
      <c r="M15" s="14">
        <f>SUMIF(Table841419410132427323943485356711[CỔ ĐÔNG],K15,Table841419410132427323943485356711[LỢI NHUẬN GỘP])</f>
        <v>813901.1</v>
      </c>
      <c r="N15" s="14">
        <f>SUMIF(Table841419410132427323943485356711[CỔ ĐÔNG],K15,Table841419410132427323943485356711[LỢI NHUẬN RÒNG])</f>
        <v>258178.82621162571</v>
      </c>
      <c r="O15" s="15">
        <f>SUMIF(Table841419410132427323943485356711[CỔ ĐÔNG],Table951520511142528334044495457812[[#This Row],[CỔ ĐÔNG]],Table841419410132427323943485356711[TỔNG NHẬN])</f>
        <v>4962428.6029751115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G16" s="12">
        <v>6912749.3302904582</v>
      </c>
      <c r="K16" s="13" t="s">
        <v>35</v>
      </c>
      <c r="L16" s="14">
        <f>SUMIF(Table841419410132427323943485356711[CỔ ĐÔNG],K16,Table841419410132427323943485356711[VỐN CP])</f>
        <v>0</v>
      </c>
      <c r="M16" s="14">
        <f>SUMIF(Table841419410132427323943485356711[CỔ ĐÔNG],K16,Table841419410132427323943485356711[LỢI NHUẬN GỘP])</f>
        <v>0</v>
      </c>
      <c r="N16" s="14">
        <f>SUMIF(Table841419410132427323943485356711[CỔ ĐÔNG],K16,Table841419410132427323943485356711[LỢI NHUẬN RÒNG])</f>
        <v>0</v>
      </c>
      <c r="O16" s="15">
        <f>SUMIF(Table841419410132427323943485356711[CỔ ĐÔNG],Table951520511142528334044495457812[[#This Row],[CỔ ĐÔNG]],Table841419410132427323943485356711[TỔNG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G17" s="12">
        <v>4608499.5535269715</v>
      </c>
      <c r="K17" s="16" t="s">
        <v>37</v>
      </c>
      <c r="L17" s="17">
        <f>SUMIF(Table841419410132427323943485356711[CỔ ĐÔNG],K17,Table841419410132427323943485356711[VỐN CP])</f>
        <v>7200000</v>
      </c>
      <c r="M17" s="17">
        <f>SUMIF(Table841419410132427323943485356711[CỔ ĐÔNG],K17,Table841419410132427323943485356711[LỢI NHUẬN GỘP])</f>
        <v>2441703.2999999998</v>
      </c>
      <c r="N17" s="17">
        <f>SUMIF(Table841419410132427323943485356711[CỔ ĐÔNG],K17,Table841419410132427323943485356711[LỢI NHUẬN RÒNG])</f>
        <v>774536.47863487725</v>
      </c>
      <c r="O17" s="15">
        <f>SUMIF(Table841419410132427323943485356711[CỔ ĐÔNG],Table951520511142528334044495457812[[#This Row],[CỔ ĐÔNG]],Table841419410132427323943485356711[TỔNG NHẬN])</f>
        <v>14887285.808925334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G18" s="12">
        <v>4608499.5535269715</v>
      </c>
      <c r="K18" s="13" t="s">
        <v>39</v>
      </c>
      <c r="L18" s="17">
        <f>SUMIF(Table841419410132427323943485356711[CỔ ĐÔNG],K18,Table841419410132427323943485356711[VỐN CP])</f>
        <v>0</v>
      </c>
      <c r="M18" s="17">
        <f>SUMIF(Table841419410132427323943485356711[CỔ ĐÔNG],K18,Table841419410132427323943485356711[LỢI NHUẬN GỘP])</f>
        <v>0</v>
      </c>
      <c r="N18" s="17">
        <f>SUMIF(Table841419410132427323943485356711[CỔ ĐÔNG],K18,Table841419410132427323943485356711[LỢI NHUẬN RÒNG])</f>
        <v>0</v>
      </c>
      <c r="O18" s="15">
        <f>SUMIF(Table841419410132427323943485356711[CỔ ĐÔNG],Table951520511142528334044495457812[[#This Row],[CỔ ĐÔNG]],Table841419410132427323943485356711[TỔNG NHẬN])</f>
        <v>0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G19" s="12">
        <v>6912749.3302904582</v>
      </c>
      <c r="I19" s="11"/>
      <c r="K19" s="13" t="s">
        <v>41</v>
      </c>
      <c r="L19" s="17">
        <f>SUMIF(Table841419410132427323943485356711[CỔ ĐÔNG],K19,Table841419410132427323943485356711[VỐN CP])</f>
        <v>0</v>
      </c>
      <c r="M19" s="17">
        <f>SUMIF(Table841419410132427323943485356711[CỔ ĐÔNG],K19,Table841419410132427323943485356711[LỢI NHUẬN GỘP])</f>
        <v>0</v>
      </c>
      <c r="N19" s="17">
        <f>SUMIF(Table841419410132427323943485356711[CỔ ĐÔNG],K19,Table841419410132427323943485356711[LỢI NHUẬN RÒNG])</f>
        <v>0</v>
      </c>
      <c r="O19" s="15">
        <f>SUMIF(Table841419410132427323943485356711[CỔ ĐÔNG],Table951520511142528334044495457812[[#This Row],[CỔ ĐÔNG]],Table841419410132427323943485356711[TỔNG NHẬN])</f>
        <v>0</v>
      </c>
    </row>
    <row r="20" spans="1:15" ht="15" hidden="1" customHeight="1" x14ac:dyDescent="0.3">
      <c r="A20" s="10"/>
      <c r="G20" s="12">
        <f>D20+Table841419410132427323943485356711[[#This Row],[LỢI NHUẬN RÒNG]]</f>
        <v>0</v>
      </c>
      <c r="K20" s="13" t="s">
        <v>42</v>
      </c>
      <c r="L20" s="17">
        <f>SUMIF(Table841419410132427323943485356711[CỔ ĐÔNG],K20,Table841419410132427323943485356711[VỐN CP])</f>
        <v>0</v>
      </c>
      <c r="M20" s="17">
        <f>SUMIF(Table841419410132427323943485356711[CỔ ĐÔNG],K20,Table841419410132427323943485356711[LỢI NHUẬN GỘP])</f>
        <v>0</v>
      </c>
      <c r="N20" s="17">
        <f>SUMIF(Table841419410132427323943485356711[CỔ ĐÔNG],K20,Table841419410132427323943485356711[LỢI NHUẬN RÒNG])</f>
        <v>0</v>
      </c>
      <c r="O20" s="15">
        <f>SUMIF(Table841419410132427323943485356711[CỔ ĐÔNG],Table951520511142528334044495457812[[#This Row],[CỔ ĐÔNG]],Table841419410132427323943485356711[TỔNG NHẬN])</f>
        <v>0</v>
      </c>
    </row>
    <row r="21" spans="1:15" ht="15" hidden="1" customHeight="1" x14ac:dyDescent="0.3">
      <c r="A21" s="10"/>
      <c r="G21" s="12">
        <f>D21+Table841419410132427323943485356711[[#This Row],[LỢI NHUẬN RÒNG]]</f>
        <v>0</v>
      </c>
      <c r="K21" s="13" t="s">
        <v>43</v>
      </c>
      <c r="L21" s="17">
        <f>SUMIF(Table841419410132427323943485356711[CỔ ĐÔNG],K21,Table841419410132427323943485356711[VỐN CP])</f>
        <v>4800000</v>
      </c>
      <c r="M21" s="17">
        <f>SUMIF(Table841419410132427323943485356711[CỔ ĐÔNG],K21,Table841419410132427323943485356711[LỢI NHUẬN GỘP])</f>
        <v>1627802.2</v>
      </c>
      <c r="N21" s="17">
        <f>SUMIF(Table841419410132427323943485356711[CỔ ĐÔNG],K21,Table841419410132427323943485356711[LỢI NHUẬN RÒNG])</f>
        <v>516357.65242325142</v>
      </c>
      <c r="O21" s="15">
        <f>SUMIF(Table841419410132427323943485356711[CỔ ĐÔNG],Table951520511142528334044495457812[[#This Row],[CỔ ĐÔNG]],Table841419410132427323943485356711[TỔNG NHẬN])</f>
        <v>9924857.2059502229</v>
      </c>
    </row>
    <row r="22" spans="1:15" ht="15" hidden="1" customHeight="1" x14ac:dyDescent="0.3">
      <c r="A22" s="10"/>
      <c r="C22" s="18"/>
      <c r="D22" s="18"/>
      <c r="E22" s="18"/>
      <c r="F22" s="18"/>
      <c r="G22" s="12">
        <f>D22+Table841419410132427323943485356711[[#This Row],[LỢI NHUẬN RÒNG]]</f>
        <v>0</v>
      </c>
      <c r="K22" s="13" t="s">
        <v>44</v>
      </c>
      <c r="L22" s="17">
        <f>SUMIF(Table841419410132427323943485356711[CỔ ĐÔNG],K22,Table841419410132427323943485356711[VỐN CP])</f>
        <v>0</v>
      </c>
      <c r="M22" s="17">
        <f>SUMIF(Table841419410132427323943485356711[CỔ ĐÔNG],K22,Table841419410132427323943485356711[LỢI NHUẬN GỘP])</f>
        <v>0</v>
      </c>
      <c r="N22" s="17">
        <f>SUMIF(Table841419410132427323943485356711[CỔ ĐÔNG],K22,Table841419410132427323943485356711[LỢI NHUẬN RÒNG])</f>
        <v>0</v>
      </c>
      <c r="O22" s="15">
        <f>SUMIF(Table841419410132427323943485356711[CỔ ĐÔNG],Table951520511142528334044495457812[[#This Row],[CỔ ĐÔNG]],Table841419410132427323943485356711[TỔNG NHẬN])</f>
        <v>0</v>
      </c>
    </row>
    <row r="23" spans="1:15" ht="15" hidden="1" customHeight="1" x14ac:dyDescent="0.3">
      <c r="A23" s="10"/>
      <c r="G23" s="12">
        <f>D23+Table841419410132427323943485356711[[#This Row],[LỢI NHUẬN RÒNG]]</f>
        <v>0</v>
      </c>
      <c r="K23" s="13" t="s">
        <v>45</v>
      </c>
      <c r="L23" s="17">
        <f>SUMIF(Table841419410132427323943485356711[CỔ ĐÔNG],K23,Table841419410132427323943485356711[VỐN CP])</f>
        <v>0</v>
      </c>
      <c r="M23" s="17">
        <f>SUMIF(Table841419410132427323943485356711[CỔ ĐÔNG],K23,Table841419410132427323943485356711[LỢI NHUẬN GỘP])</f>
        <v>0</v>
      </c>
      <c r="N23" s="17">
        <f>SUMIF(Table841419410132427323943485356711[CỔ ĐÔNG],K23,Table841419410132427323943485356711[LỢI NHUẬN RÒNG])</f>
        <v>0</v>
      </c>
      <c r="O23" s="15">
        <f>SUMIF(Table841419410132427323943485356711[CỔ ĐÔNG],Table951520511142528334044495457812[[#This Row],[CỔ ĐÔNG]],Table841419410132427323943485356711[TỔNG NHẬN])</f>
        <v>0</v>
      </c>
    </row>
    <row r="24" spans="1:15" ht="15" hidden="1" customHeight="1" x14ac:dyDescent="0.3">
      <c r="A24" s="10"/>
      <c r="G24" s="12">
        <f>D24+Table841419410132427323943485356711[[#This Row],[LỢI NHUẬN RÒNG]]</f>
        <v>0</v>
      </c>
      <c r="K24" s="13" t="s">
        <v>46</v>
      </c>
      <c r="L24" s="17">
        <f>SUMIF(Table841419410132427323943485356711[CỔ ĐÔNG],K24,Table841419410132427323943485356711[VỐN CP])</f>
        <v>0</v>
      </c>
      <c r="M24" s="17">
        <f>SUMIF(Table841419410132427323943485356711[CỔ ĐÔNG],K24,Table841419410132427323943485356711[LỢI NHUẬN GỘP])</f>
        <v>0</v>
      </c>
      <c r="N24" s="17">
        <f>SUMIF(Table841419410132427323943485356711[CỔ ĐÔNG],K24,Table841419410132427323943485356711[LỢI NHUẬN RÒNG])</f>
        <v>0</v>
      </c>
      <c r="O24" s="15">
        <f>SUMIF(Table841419410132427323943485356711[CỔ ĐÔNG],Table951520511142528334044495457812[[#This Row],[CỔ ĐÔNG]],Table841419410132427323943485356711[TỔNG NHẬN])</f>
        <v>0</v>
      </c>
    </row>
    <row r="25" spans="1:15" ht="15" hidden="1" customHeight="1" x14ac:dyDescent="0.3">
      <c r="A25" s="10"/>
      <c r="G25" s="12">
        <f>D25+Table841419410132427323943485356711[[#This Row],[LỢI NHUẬN RÒNG]]</f>
        <v>0</v>
      </c>
      <c r="K25" s="13" t="s">
        <v>47</v>
      </c>
      <c r="L25" s="14">
        <f>SUM(L2:L24)</f>
        <v>48000000</v>
      </c>
      <c r="M25" s="14">
        <f>SUM(M2:M24)</f>
        <v>16278021.999999996</v>
      </c>
      <c r="N25" s="14">
        <f>SUM(N2:N24)</f>
        <v>5163576.5242325142</v>
      </c>
      <c r="O25" s="14">
        <f>SUM(O2:O24)</f>
        <v>99248572.059502244</v>
      </c>
    </row>
    <row r="26" spans="1:15" ht="15" hidden="1" customHeight="1" x14ac:dyDescent="0.3">
      <c r="A26" s="10"/>
      <c r="G26" s="12">
        <f>D26+Table841419410132427323943485356711[[#This Row],[LỢI NHUẬN RÒNG]]</f>
        <v>0</v>
      </c>
      <c r="K26" s="16"/>
      <c r="L26" s="17"/>
      <c r="M26" s="17"/>
      <c r="N26" s="17"/>
      <c r="O26" s="19"/>
    </row>
    <row r="27" spans="1:15" ht="15" hidden="1" customHeight="1" x14ac:dyDescent="0.3">
      <c r="A27" s="10"/>
      <c r="G27" s="12">
        <f>D27+Table841419410132427323943485356711[[#This Row],[LỢI NHUẬN RÒNG]]</f>
        <v>0</v>
      </c>
    </row>
    <row r="28" spans="1:15" ht="15" hidden="1" customHeight="1" x14ac:dyDescent="0.3">
      <c r="A28" s="10"/>
      <c r="G28" s="12">
        <f>D28+Table841419410132427323943485356711[[#This Row],[LỢI NHUẬN RÒNG]]</f>
        <v>0</v>
      </c>
      <c r="K28" s="11"/>
    </row>
    <row r="29" spans="1:15" ht="15" hidden="1" customHeight="1" x14ac:dyDescent="0.3">
      <c r="A29" s="10"/>
      <c r="G29" s="12">
        <f>D29+Table841419410132427323943485356711[[#This Row],[LỢI NHUẬN RÒNG]]</f>
        <v>0</v>
      </c>
    </row>
    <row r="30" spans="1:15" ht="15" hidden="1" customHeight="1" x14ac:dyDescent="0.3">
      <c r="A30" s="10"/>
      <c r="G30" s="12">
        <f>D30+Table841419410132427323943485356711[[#This Row],[LỢI NHUẬN RÒNG]]</f>
        <v>0</v>
      </c>
      <c r="M30" s="11"/>
    </row>
    <row r="31" spans="1:15" ht="15" hidden="1" customHeight="1" x14ac:dyDescent="0.3">
      <c r="A31" s="10"/>
      <c r="G31" s="12">
        <f>D31+Table841419410132427323943485356711[[#This Row],[LỢI NHUẬN RÒNG]]</f>
        <v>0</v>
      </c>
    </row>
    <row r="32" spans="1:15" ht="15" hidden="1" customHeight="1" x14ac:dyDescent="0.3">
      <c r="A32" s="10"/>
      <c r="G32" s="12">
        <f>D32+Table841419410132427323943485356711[[#This Row],[LỢI NHUẬN RÒNG]]</f>
        <v>0</v>
      </c>
    </row>
    <row r="33" spans="1:12" ht="15" hidden="1" customHeight="1" x14ac:dyDescent="0.3">
      <c r="A33" s="10"/>
      <c r="G33" s="12">
        <f>D33+Table841419410132427323943485356711[[#This Row],[LỢI NHUẬN RÒNG]]</f>
        <v>0</v>
      </c>
    </row>
    <row r="34" spans="1:12" ht="15" hidden="1" customHeight="1" x14ac:dyDescent="0.3">
      <c r="A34" s="10"/>
      <c r="G34" s="12"/>
    </row>
    <row r="35" spans="1:12" ht="15" hidden="1" customHeight="1" x14ac:dyDescent="0.3">
      <c r="A35" s="10"/>
      <c r="G35" s="12">
        <f>D35+Table841419410132427323943485356711[[#This Row],[LỢI NHUẬN RÒNG]]</f>
        <v>0</v>
      </c>
    </row>
    <row r="36" spans="1:12" ht="15" hidden="1" customHeight="1" x14ac:dyDescent="0.3">
      <c r="A36" s="10"/>
      <c r="G36" s="12">
        <f>D36+Table841419410132427323943485356711[[#This Row],[LỢI NHUẬN RÒNG]]</f>
        <v>0</v>
      </c>
    </row>
    <row r="37" spans="1:12" ht="15" hidden="1" customHeight="1" x14ac:dyDescent="0.3">
      <c r="A37" s="10"/>
      <c r="G37" s="12">
        <f>D37+Table841419410132427323943485356711[[#This Row],[LỢI NHUẬN RÒNG]]</f>
        <v>0</v>
      </c>
      <c r="L37" s="11"/>
    </row>
    <row r="38" spans="1:12" ht="15" hidden="1" customHeight="1" x14ac:dyDescent="0.3">
      <c r="A38" s="10"/>
      <c r="G38" s="12">
        <f>D38+Table841419410132427323943485356711[[#This Row],[LỢI NHUẬN RÒNG]]</f>
        <v>0</v>
      </c>
    </row>
    <row r="39" spans="1:12" ht="15" hidden="1" customHeight="1" x14ac:dyDescent="0.3">
      <c r="A39" s="10"/>
      <c r="G39" s="12">
        <f>D39+Table841419410132427323943485356711[[#This Row],[LỢI NHUẬN RÒNG]]</f>
        <v>0</v>
      </c>
    </row>
    <row r="40" spans="1:12" ht="15" hidden="1" customHeight="1" x14ac:dyDescent="0.3">
      <c r="A40" s="10"/>
      <c r="G40" s="12">
        <f>D40+Table841419410132427323943485356711[[#This Row],[LỢI NHUẬN RÒNG]]</f>
        <v>0</v>
      </c>
    </row>
    <row r="41" spans="1:12" ht="15" hidden="1" customHeight="1" x14ac:dyDescent="0.3">
      <c r="A41" s="10"/>
      <c r="G41" s="12">
        <f>D41+Table841419410132427323943485356711[[#This Row],[LỢI NHUẬN RÒNG]]</f>
        <v>0</v>
      </c>
    </row>
    <row r="42" spans="1:12" ht="15" hidden="1" customHeight="1" x14ac:dyDescent="0.3">
      <c r="A42" s="10"/>
      <c r="G42" s="12">
        <f>D42+Table841419410132427323943485356711[[#This Row],[LỢI NHUẬN RÒNG]]</f>
        <v>0</v>
      </c>
    </row>
    <row r="43" spans="1:12" ht="15" hidden="1" customHeight="1" x14ac:dyDescent="0.3">
      <c r="A43" s="10"/>
      <c r="G43" s="12">
        <f>D43+Table841419410132427323943485356711[[#This Row],[LỢI NHUẬN RÒNG]]</f>
        <v>0</v>
      </c>
    </row>
    <row r="44" spans="1:12" ht="15" hidden="1" customHeight="1" x14ac:dyDescent="0.3">
      <c r="A44" s="10"/>
      <c r="G44" s="12">
        <f>D44+Table841419410132427323943485356711[[#This Row],[LỢI NHUẬN RÒNG]]</f>
        <v>0</v>
      </c>
    </row>
    <row r="45" spans="1:12" ht="15" hidden="1" customHeight="1" x14ac:dyDescent="0.3">
      <c r="A45" s="10"/>
      <c r="G45" s="12">
        <f>D45+Table841419410132427323943485356711[[#This Row],[LỢI NHUẬN RÒNG]]</f>
        <v>0</v>
      </c>
    </row>
    <row r="46" spans="1:12" ht="15" hidden="1" customHeight="1" x14ac:dyDescent="0.3">
      <c r="A46" s="10"/>
      <c r="G46" s="12">
        <f>D46+Table841419410132427323943485356711[[#This Row],[LỢI NHUẬN RÒNG]]</f>
        <v>0</v>
      </c>
    </row>
    <row r="47" spans="1:12" ht="15" hidden="1" customHeight="1" x14ac:dyDescent="0.3">
      <c r="A47" s="10"/>
      <c r="G47" s="12">
        <f>D47+Table841419410132427323943485356711[[#This Row],[LỢI NHUẬN RÒNG]]</f>
        <v>0</v>
      </c>
    </row>
    <row r="48" spans="1:12" ht="15" hidden="1" customHeight="1" x14ac:dyDescent="0.3">
      <c r="A48" s="10"/>
      <c r="G48" s="12">
        <f>D48+Table841419410132427323943485356711[[#This Row],[LỢI NHUẬN RÒNG]]</f>
        <v>0</v>
      </c>
    </row>
    <row r="49" spans="1:7" ht="15" hidden="1" customHeight="1" x14ac:dyDescent="0.3">
      <c r="A49" s="10"/>
      <c r="G49" s="12">
        <f>D49+Table841419410132427323943485356711[[#This Row],[LỢI NHUẬN RÒNG]]</f>
        <v>0</v>
      </c>
    </row>
    <row r="50" spans="1:7" ht="15" hidden="1" customHeight="1" x14ac:dyDescent="0.3">
      <c r="A50" s="10"/>
      <c r="G50" s="12"/>
    </row>
    <row r="51" spans="1:7" ht="15" hidden="1" customHeight="1" x14ac:dyDescent="0.3">
      <c r="A51" s="10"/>
      <c r="G51" s="12">
        <f>D51+Table841419410132427323943485356711[[#This Row],[LỢI NHUẬN RÒNG]]</f>
        <v>0</v>
      </c>
    </row>
    <row r="52" spans="1:7" ht="15" hidden="1" customHeight="1" x14ac:dyDescent="0.3">
      <c r="A52" s="10"/>
      <c r="G52" s="12">
        <f>D52+Table841419410132427323943485356711[[#This Row],[LỢI NHUẬN RÒNG]]</f>
        <v>0</v>
      </c>
    </row>
    <row r="53" spans="1:7" ht="12" hidden="1" customHeight="1" x14ac:dyDescent="0.3">
      <c r="A53" s="10"/>
      <c r="G53" s="12">
        <f>D53+Table841419410132427323943485356711[[#This Row],[LỢI NHUẬN RÒNG]]</f>
        <v>0</v>
      </c>
    </row>
    <row r="54" spans="1:7" ht="15" hidden="1" customHeight="1" x14ac:dyDescent="0.3">
      <c r="A54" s="10"/>
      <c r="G54" s="12">
        <f>D54+Table841419410132427323943485356711[[#This Row],[LỢI NHUẬN RÒNG]]</f>
        <v>0</v>
      </c>
    </row>
    <row r="55" spans="1:7" ht="15" hidden="1" customHeight="1" x14ac:dyDescent="0.3">
      <c r="A55" s="10"/>
      <c r="G55" s="12">
        <f>D55+Table841419410132427323943485356711[[#This Row],[LỢI NHUẬN RÒNG]]</f>
        <v>0</v>
      </c>
    </row>
    <row r="56" spans="1:7" ht="15" hidden="1" customHeight="1" x14ac:dyDescent="0.3">
      <c r="A56" s="10"/>
      <c r="C56" s="18"/>
      <c r="D56" s="18"/>
      <c r="E56" s="18"/>
      <c r="F56" s="18"/>
      <c r="G56" s="12">
        <f>D56+Table841419410132427323943485356711[[#This Row],[LỢI NHUẬN RÒNG]]</f>
        <v>0</v>
      </c>
    </row>
    <row r="57" spans="1:7" ht="15" hidden="1" customHeight="1" x14ac:dyDescent="0.3">
      <c r="A57" s="10"/>
      <c r="G57" s="12">
        <f>D57+Table841419410132427323943485356711[[#This Row],[LỢI NHUẬN RÒNG]]</f>
        <v>0</v>
      </c>
    </row>
    <row r="58" spans="1:7" ht="15" hidden="1" customHeight="1" x14ac:dyDescent="0.3">
      <c r="A58" s="10"/>
      <c r="G58" s="12">
        <f>D58+Table841419410132427323943485356711[[#This Row],[LỢI NHUẬN RÒNG]]</f>
        <v>0</v>
      </c>
    </row>
    <row r="59" spans="1:7" ht="15" hidden="1" customHeight="1" x14ac:dyDescent="0.3">
      <c r="A59" s="10"/>
      <c r="G59" s="12">
        <f>D59+Table841419410132427323943485356711[[#This Row],[LỢI NHUẬN RÒNG]]</f>
        <v>0</v>
      </c>
    </row>
    <row r="60" spans="1:7" ht="15" hidden="1" customHeight="1" x14ac:dyDescent="0.3">
      <c r="A60" s="10"/>
      <c r="G60" s="12">
        <f>D60+Table841419410132427323943485356711[[#This Row],[LỢI NHUẬN RÒNG]]</f>
        <v>0</v>
      </c>
    </row>
    <row r="61" spans="1:7" ht="15" hidden="1" customHeight="1" x14ac:dyDescent="0.3">
      <c r="A61" s="10"/>
      <c r="G61" s="12">
        <f>D61+Table841419410132427323943485356711[[#This Row],[LỢI NHUẬN RÒNG]]</f>
        <v>0</v>
      </c>
    </row>
    <row r="62" spans="1:7" ht="15" hidden="1" customHeight="1" x14ac:dyDescent="0.3">
      <c r="A62" s="10"/>
      <c r="G62" s="12">
        <f>D62+Table841419410132427323943485356711[[#This Row],[LỢI NHUẬN RÒNG]]</f>
        <v>0</v>
      </c>
    </row>
    <row r="63" spans="1:7" ht="15" hidden="1" customHeight="1" x14ac:dyDescent="0.3">
      <c r="A63" s="10"/>
      <c r="G63" s="12">
        <f>D63+Table841419410132427323943485356711[[#This Row],[LỢI NHUẬN RÒNG]]</f>
        <v>0</v>
      </c>
    </row>
    <row r="64" spans="1:7" ht="15" hidden="1" customHeight="1" x14ac:dyDescent="0.3">
      <c r="A64" s="10"/>
      <c r="G64" s="12">
        <f>D64+Table841419410132427323943485356711[[#This Row],[LỢI NHUẬN RÒNG]]</f>
        <v>0</v>
      </c>
    </row>
    <row r="65" spans="1:7" ht="15" hidden="1" customHeight="1" x14ac:dyDescent="0.3">
      <c r="A65" s="10"/>
      <c r="G65" s="12"/>
    </row>
    <row r="66" spans="1:7" ht="15" hidden="1" customHeight="1" x14ac:dyDescent="0.3">
      <c r="A66" s="10"/>
      <c r="G66" s="12">
        <f>D66+Table841419410132427323943485356711[[#This Row],[LỢI NHUẬN RÒNG]]</f>
        <v>0</v>
      </c>
    </row>
    <row r="67" spans="1:7" ht="15" hidden="1" customHeight="1" x14ac:dyDescent="0.3">
      <c r="A67" s="10"/>
      <c r="D67" s="18"/>
      <c r="E67" s="18"/>
      <c r="F67" s="18"/>
      <c r="G67" s="12">
        <f>D67+Table841419410132427323943485356711[[#This Row],[LỢI NHUẬN RÒNG]]</f>
        <v>0</v>
      </c>
    </row>
    <row r="68" spans="1:7" ht="15" hidden="1" customHeight="1" x14ac:dyDescent="0.3">
      <c r="A68" s="10"/>
      <c r="G68" s="12">
        <f>D68+Table841419410132427323943485356711[[#This Row],[LỢI NHUẬN RÒNG]]</f>
        <v>0</v>
      </c>
    </row>
    <row r="69" spans="1:7" ht="15" hidden="1" customHeight="1" x14ac:dyDescent="0.3">
      <c r="A69" s="10"/>
      <c r="G69" s="12">
        <f>D69+Table841419410132427323943485356711[[#This Row],[LỢI NHUẬN RÒNG]]</f>
        <v>0</v>
      </c>
    </row>
    <row r="70" spans="1:7" ht="15" hidden="1" customHeight="1" x14ac:dyDescent="0.3">
      <c r="A70" s="10"/>
      <c r="G70" s="12">
        <f>D70+Table841419410132427323943485356711[[#This Row],[LỢI NHUẬN RÒNG]]</f>
        <v>0</v>
      </c>
    </row>
    <row r="71" spans="1:7" ht="15" hidden="1" customHeight="1" x14ac:dyDescent="0.3">
      <c r="A71" s="10"/>
      <c r="G71" s="12">
        <f>D71+Table841419410132427323943485356711[[#This Row],[LỢI NHUẬN RÒNG]]</f>
        <v>0</v>
      </c>
    </row>
    <row r="72" spans="1:7" ht="15" hidden="1" customHeight="1" x14ac:dyDescent="0.3">
      <c r="A72" s="10"/>
      <c r="G72" s="12">
        <f>D72+Table841419410132427323943485356711[[#This Row],[LỢI NHUẬN RÒNG]]</f>
        <v>0</v>
      </c>
    </row>
    <row r="73" spans="1:7" ht="15" hidden="1" customHeight="1" x14ac:dyDescent="0.3">
      <c r="A73" s="10"/>
      <c r="G73" s="12">
        <f>D73+Table841419410132427323943485356711[[#This Row],[LỢI NHUẬN RÒNG]]</f>
        <v>0</v>
      </c>
    </row>
    <row r="74" spans="1:7" ht="15" hidden="1" customHeight="1" x14ac:dyDescent="0.3">
      <c r="A74" s="10"/>
      <c r="G74" s="12">
        <f>D74+Table841419410132427323943485356711[[#This Row],[LỢI NHUẬN RÒNG]]</f>
        <v>0</v>
      </c>
    </row>
    <row r="75" spans="1:7" ht="15" hidden="1" customHeight="1" x14ac:dyDescent="0.3">
      <c r="A75" s="10"/>
      <c r="G75" s="12">
        <f>D75+Table841419410132427323943485356711[[#This Row],[LỢI NHUẬN RÒNG]]</f>
        <v>0</v>
      </c>
    </row>
    <row r="76" spans="1:7" ht="15" hidden="1" customHeight="1" x14ac:dyDescent="0.3">
      <c r="A76" s="10"/>
      <c r="G76" s="12">
        <f>D76+Table841419410132427323943485356711[[#This Row],[LỢI NHUẬN RÒNG]]</f>
        <v>0</v>
      </c>
    </row>
    <row r="77" spans="1:7" ht="15" hidden="1" customHeight="1" x14ac:dyDescent="0.3">
      <c r="A77" s="10"/>
      <c r="G77" s="12">
        <f>D77+Table841419410132427323943485356711[[#This Row],[LỢI NHUẬN RÒNG]]</f>
        <v>0</v>
      </c>
    </row>
    <row r="78" spans="1:7" ht="15" hidden="1" customHeight="1" x14ac:dyDescent="0.3">
      <c r="A78" s="10"/>
      <c r="G78" s="12"/>
    </row>
    <row r="79" spans="1:7" ht="15" hidden="1" customHeight="1" x14ac:dyDescent="0.3">
      <c r="A79" s="10"/>
      <c r="G79" s="12">
        <f>D79+Table841419410132427323943485356711[[#This Row],[LỢI NHUẬN RÒNG]]</f>
        <v>0</v>
      </c>
    </row>
    <row r="80" spans="1:7" ht="15" hidden="1" customHeight="1" x14ac:dyDescent="0.3">
      <c r="A80" s="10"/>
      <c r="G80" s="12">
        <f>D80+Table841419410132427323943485356711[[#This Row],[LỢI NHUẬN RÒNG]]</f>
        <v>0</v>
      </c>
    </row>
    <row r="81" spans="1:7" ht="15" hidden="1" customHeight="1" x14ac:dyDescent="0.3">
      <c r="A81" s="10"/>
      <c r="G81" s="12">
        <f>D81+Table841419410132427323943485356711[[#This Row],[LỢI NHUẬN RÒNG]]</f>
        <v>0</v>
      </c>
    </row>
    <row r="82" spans="1:7" ht="15" hidden="1" customHeight="1" x14ac:dyDescent="0.3">
      <c r="A82" s="10"/>
      <c r="G82" s="12">
        <f>D82+Table841419410132427323943485356711[[#This Row],[LỢI NHUẬN RÒNG]]</f>
        <v>0</v>
      </c>
    </row>
    <row r="83" spans="1:7" ht="15" hidden="1" customHeight="1" x14ac:dyDescent="0.3">
      <c r="A83" s="10"/>
      <c r="G83" s="12">
        <f>D83+Table841419410132427323943485356711[[#This Row],[LỢI NHUẬN RÒNG]]</f>
        <v>0</v>
      </c>
    </row>
    <row r="84" spans="1:7" ht="15" hidden="1" customHeight="1" x14ac:dyDescent="0.3">
      <c r="A84" s="10"/>
      <c r="G84" s="12">
        <f>D84+Table841419410132427323943485356711[[#This Row],[LỢI NHUẬN RÒNG]]</f>
        <v>0</v>
      </c>
    </row>
    <row r="85" spans="1:7" ht="15" hidden="1" customHeight="1" x14ac:dyDescent="0.3">
      <c r="A85" s="10"/>
      <c r="G85" s="12">
        <f>D85+Table841419410132427323943485356711[[#This Row],[LỢI NHUẬN RÒNG]]</f>
        <v>0</v>
      </c>
    </row>
    <row r="86" spans="1:7" ht="15" hidden="1" customHeight="1" x14ac:dyDescent="0.3">
      <c r="A86" s="20"/>
      <c r="B86" s="21"/>
      <c r="C86" s="21"/>
      <c r="D86" s="21"/>
      <c r="E86" s="21"/>
      <c r="F86" s="21"/>
      <c r="G86" s="12">
        <f>D86+Table841419410132427323943485356711[[#This Row],[LỢI NHUẬN RÒNG]]</f>
        <v>0</v>
      </c>
    </row>
    <row r="87" spans="1:7" ht="15" hidden="1" customHeight="1" x14ac:dyDescent="0.3">
      <c r="A87" s="22"/>
      <c r="B87" s="21"/>
      <c r="C87" s="21"/>
      <c r="D87" s="21"/>
      <c r="E87" s="21"/>
      <c r="F87" s="21"/>
      <c r="G87" s="12">
        <f>D87+Table841419410132427323943485356711[[#This Row],[LỢI NHUẬN RÒNG]]</f>
        <v>0</v>
      </c>
    </row>
    <row r="88" spans="1:7" hidden="1" x14ac:dyDescent="0.3">
      <c r="A88" s="23"/>
      <c r="C88" s="21"/>
      <c r="D88" s="21"/>
      <c r="E88" s="21"/>
      <c r="F88" s="21"/>
      <c r="G88" s="12">
        <f>D88+Table841419410132427323943485356711[[#This Row],[LỢI NHUẬN RÒNG]]</f>
        <v>0</v>
      </c>
    </row>
    <row r="89" spans="1:7" hidden="1" x14ac:dyDescent="0.3">
      <c r="A89" s="23"/>
      <c r="B89" s="21"/>
      <c r="C89" s="21"/>
      <c r="D89" s="21"/>
      <c r="E89" s="21"/>
      <c r="F89" s="21"/>
      <c r="G89" s="12">
        <f>D89+Table841419410132427323943485356711[[#This Row],[LỢI NHUẬN RÒNG]]</f>
        <v>0</v>
      </c>
    </row>
    <row r="90" spans="1:7" hidden="1" x14ac:dyDescent="0.3">
      <c r="A90" s="23"/>
      <c r="B90" s="21"/>
      <c r="C90" s="21"/>
      <c r="D90" s="21"/>
      <c r="E90" s="21"/>
      <c r="F90" s="21"/>
      <c r="G90" s="12">
        <f>D90+Table841419410132427323943485356711[[#This Row],[LỢI NHUẬN RÒNG]]</f>
        <v>0</v>
      </c>
    </row>
    <row r="91" spans="1:7" hidden="1" x14ac:dyDescent="0.3">
      <c r="A91" s="23"/>
      <c r="B91" s="24"/>
      <c r="C91" s="21"/>
      <c r="D91" s="21"/>
      <c r="E91" s="21"/>
      <c r="F91" s="21"/>
      <c r="G91" s="12">
        <f>D91+Table841419410132427323943485356711[[#This Row],[LỢI NHUẬN RÒNG]]</f>
        <v>0</v>
      </c>
    </row>
    <row r="92" spans="1:7" hidden="1" x14ac:dyDescent="0.3">
      <c r="A92" s="23"/>
      <c r="C92" s="21"/>
      <c r="D92" s="21"/>
      <c r="E92" s="21"/>
      <c r="F92" s="21"/>
      <c r="G92" s="12">
        <f>D92+Table841419410132427323943485356711[[#This Row],[LỢI NHUẬN RÒNG]]</f>
        <v>0</v>
      </c>
    </row>
    <row r="93" spans="1:7" hidden="1" x14ac:dyDescent="0.3">
      <c r="A93" s="23"/>
      <c r="B93" s="25"/>
      <c r="C93" s="21"/>
      <c r="D93" s="21"/>
      <c r="E93" s="21"/>
      <c r="F93" s="21"/>
      <c r="G93" s="12">
        <f>D93+Table841419410132427323943485356711[[#This Row],[LỢI NHUẬN RÒNG]]</f>
        <v>0</v>
      </c>
    </row>
    <row r="94" spans="1:7" hidden="1" x14ac:dyDescent="0.3">
      <c r="A94" s="23"/>
      <c r="B94" s="21"/>
      <c r="C94" s="21"/>
      <c r="D94" s="21"/>
      <c r="E94" s="21"/>
      <c r="F94" s="21"/>
      <c r="G94" s="12">
        <f>D94+Table841419410132427323943485356711[[#This Row],[LỢI NHUẬN RÒNG]]</f>
        <v>0</v>
      </c>
    </row>
    <row r="95" spans="1:7" hidden="1" x14ac:dyDescent="0.3">
      <c r="A95" s="23"/>
      <c r="C95" s="21"/>
      <c r="D95" s="21"/>
      <c r="E95" s="21"/>
      <c r="F95" s="21"/>
      <c r="G95" s="12">
        <f>D95+Table841419410132427323943485356711[[#This Row],[LỢI NHUẬN RÒNG]]</f>
        <v>0</v>
      </c>
    </row>
    <row r="96" spans="1:7" hidden="1" x14ac:dyDescent="0.3">
      <c r="A96" s="23"/>
      <c r="B96" s="21"/>
      <c r="C96" s="21"/>
      <c r="D96" s="21"/>
      <c r="E96" s="21"/>
      <c r="F96" s="21"/>
      <c r="G96" s="12">
        <f>D96+Table841419410132427323943485356711[[#This Row],[LỢI NHUẬN RÒNG]]</f>
        <v>0</v>
      </c>
    </row>
    <row r="97" spans="1:7" hidden="1" x14ac:dyDescent="0.3">
      <c r="A97" s="23"/>
      <c r="C97" s="21"/>
      <c r="D97" s="21"/>
      <c r="E97" s="21"/>
      <c r="F97" s="21"/>
      <c r="G97" s="12">
        <f>D97+Table841419410132427323943485356711[[#This Row],[LỢI NHUẬN RÒNG]]</f>
        <v>0</v>
      </c>
    </row>
    <row r="98" spans="1:7" hidden="1" x14ac:dyDescent="0.3">
      <c r="A98" s="23"/>
      <c r="C98" s="21"/>
      <c r="D98" s="21"/>
      <c r="E98" s="21"/>
      <c r="F98" s="21"/>
      <c r="G98" s="12">
        <f>D98+Table841419410132427323943485356711[[#This Row],[LỢI NHUẬN RÒNG]]</f>
        <v>0</v>
      </c>
    </row>
    <row r="99" spans="1:7" hidden="1" x14ac:dyDescent="0.3">
      <c r="A99" s="23"/>
      <c r="C99" s="21"/>
      <c r="D99" s="21"/>
      <c r="E99" s="21"/>
      <c r="F99" s="21"/>
      <c r="G99" s="12">
        <f>D99+Table841419410132427323943485356711[[#This Row],[LỢI NHUẬN RÒNG]]</f>
        <v>0</v>
      </c>
    </row>
    <row r="100" spans="1:7" hidden="1" x14ac:dyDescent="0.3">
      <c r="A100" s="23"/>
      <c r="C100" s="21"/>
      <c r="D100" s="21"/>
      <c r="E100" s="21"/>
      <c r="F100" s="21"/>
      <c r="G100" s="12">
        <f>D100+Table841419410132427323943485356711[[#This Row],[LỢI NHUẬN RÒNG]]</f>
        <v>0</v>
      </c>
    </row>
    <row r="101" spans="1:7" hidden="1" x14ac:dyDescent="0.3">
      <c r="A101" s="23"/>
      <c r="C101" s="21"/>
      <c r="D101" s="21"/>
      <c r="E101" s="21"/>
      <c r="F101" s="21"/>
      <c r="G101" s="12">
        <f>D101+Table841419410132427323943485356711[[#This Row],[LỢI NHUẬN RÒNG]]</f>
        <v>0</v>
      </c>
    </row>
    <row r="102" spans="1:7" hidden="1" x14ac:dyDescent="0.3">
      <c r="A102" s="23"/>
      <c r="B102" s="21"/>
      <c r="C102" s="21"/>
      <c r="D102" s="21"/>
      <c r="E102" s="21"/>
      <c r="F102" s="21"/>
      <c r="G102" s="12">
        <f>D102+Table841419410132427323943485356711[[#This Row],[LỢI NHUẬN RÒNG]]</f>
        <v>0</v>
      </c>
    </row>
    <row r="103" spans="1:7" hidden="1" x14ac:dyDescent="0.3">
      <c r="A103" s="23"/>
      <c r="B103" s="21"/>
      <c r="C103" s="21"/>
      <c r="D103" s="21"/>
      <c r="E103" s="21"/>
      <c r="F103" s="21"/>
      <c r="G103" s="12">
        <f>D103+Table841419410132427323943485356711[[#This Row],[LỢI NHUẬN RÒNG]]</f>
        <v>0</v>
      </c>
    </row>
    <row r="104" spans="1:7" hidden="1" x14ac:dyDescent="0.3">
      <c r="A104" s="23"/>
      <c r="C104" s="21"/>
      <c r="D104" s="21"/>
      <c r="E104" s="21"/>
      <c r="F104" s="21"/>
      <c r="G104" s="12">
        <f>D104+Table841419410132427323943485356711[[#This Row],[LỢI NHUẬN RÒNG]]</f>
        <v>0</v>
      </c>
    </row>
    <row r="105" spans="1:7" hidden="1" x14ac:dyDescent="0.3">
      <c r="A105" s="23"/>
      <c r="B105" s="21"/>
      <c r="C105" s="21"/>
      <c r="D105" s="21"/>
      <c r="E105" s="21"/>
      <c r="F105" s="21"/>
      <c r="G105" s="12">
        <f>D105+Table841419410132427323943485356711[[#This Row],[LỢI NHUẬN RÒNG]]</f>
        <v>0</v>
      </c>
    </row>
    <row r="106" spans="1:7" hidden="1" x14ac:dyDescent="0.3">
      <c r="A106" s="23"/>
      <c r="C106" s="21"/>
      <c r="D106" s="21"/>
      <c r="E106" s="21"/>
      <c r="F106" s="21"/>
      <c r="G106" s="12">
        <f>D106+Table841419410132427323943485356711[[#This Row],[LỢI NHUẬN RÒNG]]</f>
        <v>0</v>
      </c>
    </row>
    <row r="107" spans="1:7" hidden="1" x14ac:dyDescent="0.3">
      <c r="A107" s="23"/>
      <c r="C107" s="21"/>
      <c r="D107" s="21"/>
      <c r="E107" s="21"/>
      <c r="F107" s="21"/>
      <c r="G107" s="12">
        <f>D107+Table841419410132427323943485356711[[#This Row],[LỢI NHUẬN RÒNG]]</f>
        <v>0</v>
      </c>
    </row>
    <row r="108" spans="1:7" hidden="1" x14ac:dyDescent="0.3">
      <c r="A108" s="23"/>
      <c r="C108" s="21"/>
      <c r="D108" s="21"/>
      <c r="E108" s="21"/>
      <c r="F108" s="21"/>
      <c r="G108" s="12">
        <f>D108+Table841419410132427323943485356711[[#This Row],[LỢI NHUẬN RÒNG]]</f>
        <v>0</v>
      </c>
    </row>
    <row r="109" spans="1:7" hidden="1" x14ac:dyDescent="0.3">
      <c r="A109" s="23"/>
      <c r="C109" s="21"/>
      <c r="D109" s="21"/>
      <c r="E109" s="21"/>
      <c r="F109" s="21"/>
      <c r="G109" s="12">
        <f>D109+Table841419410132427323943485356711[[#This Row],[LỢI NHUẬN RÒNG]]</f>
        <v>0</v>
      </c>
    </row>
    <row r="110" spans="1:7" hidden="1" x14ac:dyDescent="0.3">
      <c r="A110" s="23"/>
      <c r="C110" s="21"/>
      <c r="D110" s="21"/>
      <c r="E110" s="21"/>
      <c r="F110" s="21"/>
      <c r="G110" s="12">
        <f>D110+Table841419410132427323943485356711[[#This Row],[LỢI NHUẬN RÒNG]]</f>
        <v>0</v>
      </c>
    </row>
    <row r="111" spans="1:7" hidden="1" x14ac:dyDescent="0.3">
      <c r="A111" s="23"/>
      <c r="B111" s="21"/>
      <c r="C111" s="21"/>
      <c r="D111" s="21"/>
      <c r="E111" s="21"/>
      <c r="F111" s="21"/>
      <c r="G111" s="12">
        <f>D111+Table841419410132427323943485356711[[#This Row],[LỢI NHUẬN RÒNG]]</f>
        <v>0</v>
      </c>
    </row>
    <row r="112" spans="1:7" hidden="1" x14ac:dyDescent="0.3">
      <c r="A112" s="23"/>
      <c r="B112" s="21"/>
      <c r="C112" s="21"/>
      <c r="D112" s="21"/>
      <c r="E112" s="21"/>
      <c r="F112" s="21"/>
      <c r="G112" s="12">
        <f>D112+Table841419410132427323943485356711[[#This Row],[LỢI NHUẬN RÒNG]]</f>
        <v>0</v>
      </c>
    </row>
    <row r="113" spans="1:7" hidden="1" x14ac:dyDescent="0.3">
      <c r="A113" s="23"/>
      <c r="C113" s="21"/>
      <c r="D113" s="21"/>
      <c r="E113" s="21"/>
      <c r="F113" s="21"/>
      <c r="G113" s="12">
        <f>D113+Table841419410132427323943485356711[[#This Row],[LỢI NHUẬN RÒNG]]</f>
        <v>0</v>
      </c>
    </row>
    <row r="114" spans="1:7" hidden="1" x14ac:dyDescent="0.3">
      <c r="A114" s="23"/>
      <c r="B114" s="21"/>
      <c r="C114" s="21"/>
      <c r="D114" s="21"/>
      <c r="E114" s="21"/>
      <c r="F114" s="21"/>
      <c r="G114" s="12">
        <f>D114+Table841419410132427323943485356711[[#This Row],[LỢI NHUẬN RÒNG]]</f>
        <v>0</v>
      </c>
    </row>
    <row r="115" spans="1:7" hidden="1" x14ac:dyDescent="0.3">
      <c r="A115" s="23"/>
      <c r="G115" s="12">
        <f>D115+Table841419410132427323943485356711[[#This Row],[LỢI NHUẬN RÒNG]]</f>
        <v>0</v>
      </c>
    </row>
    <row r="116" spans="1:7" hidden="1" x14ac:dyDescent="0.3">
      <c r="A116" s="23"/>
      <c r="G116" s="12">
        <f>D116+Table841419410132427323943485356711[[#This Row],[LỢI NHUẬN RÒNG]]</f>
        <v>0</v>
      </c>
    </row>
    <row r="117" spans="1:7" hidden="1" x14ac:dyDescent="0.3">
      <c r="A117" s="23"/>
      <c r="G117" s="12">
        <f>D117+Table841419410132427323943485356711[[#This Row],[LỢI NHUẬN RÒNG]]</f>
        <v>0</v>
      </c>
    </row>
    <row r="118" spans="1:7" hidden="1" x14ac:dyDescent="0.3">
      <c r="A118" s="23"/>
      <c r="G118" s="12">
        <f>D118+Table841419410132427323943485356711[[#This Row],[LỢI NHUẬN RÒNG]]</f>
        <v>0</v>
      </c>
    </row>
    <row r="119" spans="1:7" hidden="1" x14ac:dyDescent="0.3">
      <c r="A119" s="23"/>
      <c r="G119" s="12">
        <f>D119+Table841419410132427323943485356711[[#This Row],[LỢI NHUẬN RÒNG]]</f>
        <v>0</v>
      </c>
    </row>
    <row r="120" spans="1:7" hidden="1" x14ac:dyDescent="0.3">
      <c r="A120" s="23"/>
      <c r="B120" s="21"/>
      <c r="C120" s="21"/>
      <c r="D120" s="21"/>
      <c r="E120" s="21"/>
      <c r="F120" s="21"/>
      <c r="G120" s="12">
        <f>D120+Table841419410132427323943485356711[[#This Row],[LỢI NHUẬN RÒNG]]</f>
        <v>0</v>
      </c>
    </row>
    <row r="121" spans="1:7" hidden="1" x14ac:dyDescent="0.3">
      <c r="G121" s="12">
        <f>D121+Table841419410132427323943485356711[[#This Row],[LỢI NHUẬN RÒNG]]</f>
        <v>0</v>
      </c>
    </row>
    <row r="122" spans="1:7" hidden="1" x14ac:dyDescent="0.3">
      <c r="G122" s="12">
        <f>D122+Table841419410132427323943485356711[[#This Row],[LỢI NHUẬN RÒNG]]</f>
        <v>0</v>
      </c>
    </row>
    <row r="123" spans="1:7" hidden="1" x14ac:dyDescent="0.3">
      <c r="G123" s="12">
        <f>D123+Table841419410132427323943485356711[[#This Row],[LỢI NHUẬN RÒNG]]</f>
        <v>0</v>
      </c>
    </row>
    <row r="124" spans="1:7" hidden="1" x14ac:dyDescent="0.3">
      <c r="G124" s="12">
        <f>D124+Table841419410132427323943485356711[[#This Row],[LỢI NHUẬN RÒNG]]</f>
        <v>0</v>
      </c>
    </row>
    <row r="125" spans="1:7" hidden="1" x14ac:dyDescent="0.3">
      <c r="B125" s="24"/>
      <c r="G125" s="12">
        <f>D125+Table841419410132427323943485356711[[#This Row],[LỢI NHUẬN RÒNG]]</f>
        <v>0</v>
      </c>
    </row>
    <row r="126" spans="1:7" hidden="1" x14ac:dyDescent="0.3">
      <c r="G126" s="12">
        <f>D126+Table841419410132427323943485356711[[#This Row],[LỢI NHUẬN RÒNG]]</f>
        <v>0</v>
      </c>
    </row>
    <row r="127" spans="1:7" hidden="1" x14ac:dyDescent="0.3">
      <c r="B127" s="21"/>
      <c r="C127" s="21"/>
      <c r="D127" s="21"/>
      <c r="E127" s="21"/>
      <c r="F127" s="21"/>
      <c r="G127" s="12">
        <f>D127+Table841419410132427323943485356711[[#This Row],[LỢI NHUẬN RÒNG]]</f>
        <v>0</v>
      </c>
    </row>
    <row r="128" spans="1:7" hidden="1" x14ac:dyDescent="0.3">
      <c r="G128" s="12">
        <f>D128+Table841419410132427323943485356711[[#This Row],[LỢI NHUẬN RÒNG]]</f>
        <v>0</v>
      </c>
    </row>
    <row r="129" spans="1:7" hidden="1" x14ac:dyDescent="0.3">
      <c r="G129" s="12">
        <f>D129+Table841419410132427323943485356711[[#This Row],[LỢI NHUẬN RÒNG]]</f>
        <v>0</v>
      </c>
    </row>
    <row r="130" spans="1:7" hidden="1" x14ac:dyDescent="0.3">
      <c r="G130" s="12">
        <f>D130+Table841419410132427323943485356711[[#This Row],[LỢI NHUẬN RÒNG]]</f>
        <v>0</v>
      </c>
    </row>
    <row r="131" spans="1:7" hidden="1" x14ac:dyDescent="0.3">
      <c r="G131" s="12">
        <f>D131+Table841419410132427323943485356711[[#This Row],[LỢI NHUẬN RÒNG]]</f>
        <v>0</v>
      </c>
    </row>
    <row r="132" spans="1:7" hidden="1" x14ac:dyDescent="0.3">
      <c r="B132" s="24"/>
      <c r="G132" s="12">
        <f>D132+Table841419410132427323943485356711[[#This Row],[LỢI NHUẬN RÒNG]]</f>
        <v>0</v>
      </c>
    </row>
    <row r="133" spans="1:7" hidden="1" x14ac:dyDescent="0.3">
      <c r="G133" s="12">
        <f>D133+Table841419410132427323943485356711[[#This Row],[LỢI NHUẬN RÒNG]]</f>
        <v>0</v>
      </c>
    </row>
    <row r="134" spans="1:7" hidden="1" x14ac:dyDescent="0.3">
      <c r="G134" s="12">
        <f>D134+Table841419410132427323943485356711[[#This Row],[LỢI NHUẬN RÒNG]]</f>
        <v>0</v>
      </c>
    </row>
    <row r="135" spans="1:7" hidden="1" x14ac:dyDescent="0.3">
      <c r="G135" s="12">
        <f>D135+Table841419410132427323943485356711[[#This Row],[LỢI NHUẬN RÒNG]]</f>
        <v>0</v>
      </c>
    </row>
    <row r="136" spans="1:7" hidden="1" x14ac:dyDescent="0.3">
      <c r="B136" s="21"/>
      <c r="G136" s="12">
        <f>D136+Table841419410132427323943485356711[[#This Row],[LỢI NHUẬN RÒNG]]</f>
        <v>0</v>
      </c>
    </row>
    <row r="137" spans="1:7" hidden="1" x14ac:dyDescent="0.3">
      <c r="G137" s="12">
        <f>D137+Table841419410132427323943485356711[[#This Row],[LỢI NHUẬN RÒNG]]</f>
        <v>0</v>
      </c>
    </row>
    <row r="138" spans="1:7" hidden="1" x14ac:dyDescent="0.3">
      <c r="G138" s="12">
        <f>D138+Table841419410132427323943485356711[[#This Row],[LỢI NHUẬN RÒNG]]</f>
        <v>0</v>
      </c>
    </row>
    <row r="139" spans="1:7" hidden="1" x14ac:dyDescent="0.3">
      <c r="G139" s="12">
        <f>D139+Table841419410132427323943485356711[[#This Row],[LỢI NHUẬN RÒNG]]</f>
        <v>0</v>
      </c>
    </row>
    <row r="140" spans="1:7" hidden="1" x14ac:dyDescent="0.3">
      <c r="B140" s="24"/>
      <c r="G140" s="12">
        <f>D140+Table841419410132427323943485356711[[#This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Table841419410132427323943485356711[[#This Row],[VỐN CP]]+Table841419410132427323943485356711[[#This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Table841419410132427323943485356711[[#This Row],[VỐN CP]]+Table841419410132427323943485356711[[#This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Table841419410132427323943485356711[[#This Row],[VỐN CP]]+Table841419410132427323943485356711[[#This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Table841419410132427323943485356711[[#This Row],[VỐN CP]]+Table841419410132427323943485356711[[#This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Table841419410132427323943485356711[[#This Row],[VỐN CP]]+Table841419410132427323943485356711[[#This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Table841419410132427323943485356711[[#This Row],[VỐN CP]]+Table841419410132427323943485356711[[#This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Table841419410132427323943485356711[[#This Row],[VỐN CP]]+Table841419410132427323943485356711[[#This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Table841419410132427323943485356711[[#This Row],[VỐN CP]]+Table841419410132427323943485356711[[#This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Table841419410132427323943485356711[[#This Row],[VỐN CP]]+Table841419410132427323943485356711[[#This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Table841419410132427323943485356711[[#This Row],[VỐN CP]]+Table841419410132427323943485356711[[#This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Table841419410132427323943485356711[[#This Row],[VỐN CP]]+Table841419410132427323943485356711[[#This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Table841419410132427323943485356711[[#This Row],[VỐN CP]]+Table841419410132427323943485356711[[#This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Table841419410132427323943485356711[[#This Row],[VỐN CP]]+Table841419410132427323943485356711[[#This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Table841419410132427323943485356711[[#This Row],[VỐN CP]]+Table841419410132427323943485356711[[#This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Table841419410132427323943485356711[[#This Row],[VỐN CP]]+Table841419410132427323943485356711[[#This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Table841419410132427323943485356711[[#This Row],[VỐN CP]]+Table841419410132427323943485356711[[#This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Table841419410132427323943485356711[[#This Row],[VỐN CP]]+Table841419410132427323943485356711[[#This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Table841419410132427323943485356711[[#This Row],[VỐN CP]]+Table841419410132427323943485356711[[#This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Table841419410132427323943485356711[[#This Row],[VỐN CP]]+Table841419410132427323943485356711[[#This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Table841419410132427323943485356711[[#This Row],[VỐN CP]]+Table841419410132427323943485356711[[#This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Table841419410132427323943485356711[[#This Row],[VỐN CP]]+Table841419410132427323943485356711[[#This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Table841419410132427323943485356711[[#This Row],[VỐN CP]]+Table841419410132427323943485356711[[#This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Table841419410132427323943485356711[[#This Row],[VỐN CP]]+Table841419410132427323943485356711[[#This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Table841419410132427323943485356711[[#This Row],[VỐN CP]]+Table841419410132427323943485356711[[#This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Table841419410132427323943485356711[[#This Row],[VỐN CP]]+Table841419410132427323943485356711[[#This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Table841419410132427323943485356711[[#This Row],[VỐN CP]]+Table841419410132427323943485356711[[#This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Table841419410132427323943485356711[[#This Row],[VỐN CP]]+Table841419410132427323943485356711[[#This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Table841419410132427323943485356711[[#This Row],[VỐN CP]]+Table841419410132427323943485356711[[#This Row],[LỢI NHUẬN RÒNG]]</f>
        <v>0</v>
      </c>
      <c r="H233" s="28"/>
    </row>
    <row r="234" spans="1:10" hidden="1" x14ac:dyDescent="0.3">
      <c r="A234" s="23"/>
      <c r="G234" s="21">
        <f>Table841419410132427323943485356711[[#This Row],[VỐN CP]]+Table841419410132427323943485356711[[#This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Table841419410132427323943485356711[[#This Row],[VỐN CP]]+Table841419410132427323943485356711[[#This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Table841419410132427323943485356711[[#This Row],[VỐN CP]]+Table841419410132427323943485356711[[#This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Table841419410132427323943485356711[[#This Row],[VỐN CP]]+Table841419410132427323943485356711[[#This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Table841419410132427323943485356711[[#This Row],[VỐN CP]]+Table841419410132427323943485356711[[#This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Table841419410132427323943485356711[[#This Row],[VỐN CP]]+Table841419410132427323943485356711[[#This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Table841419410132427323943485356711[[#This Row],[VỐN CP]]+Table841419410132427323943485356711[[#This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Table841419410132427323943485356711[[#This Row],[VỐN CP]]+Table841419410132427323943485356711[[#This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Table841419410132427323943485356711[[#This Row],[VỐN CP]]+Table841419410132427323943485356711[[#This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Table841419410132427323943485356711[[#This Row],[VỐN CP]]+Table841419410132427323943485356711[[#This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Table841419410132427323943485356711[[#This Row],[VỐN CP]]+Table841419410132427323943485356711[[#This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Table841419410132427323943485356711[[#This Row],[VỐN CP]]+Table841419410132427323943485356711[[#This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Table841419410132427323943485356711[[#This Row],[VỐN CP]]+Table841419410132427323943485356711[[#This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Table841419410132427323943485356711[[#This Row],[VỐN CP]]+Table841419410132427323943485356711[[#This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Table841419410132427323943485356711[[#This Row],[VỐN CP]]+Table841419410132427323943485356711[[#This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Table841419410132427323943485356711[[#This Row],[VỐN CP]]+Table841419410132427323943485356711[[#This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Table841419410132427323943485356711[[#This Row],[VỐN CP]]+Table841419410132427323943485356711[[#This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Table841419410132427323943485356711[[#This Row],[VỐN CP]]+Table841419410132427323943485356711[[#This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Table841419410132427323943485356711[[#This Row],[VỐN CP]]+Table841419410132427323943485356711[[#This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Table841419410132427323943485356711[[#This Row],[VỐN CP]]+Table841419410132427323943485356711[[#This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Table841419410132427323943485356711[[#This Row],[VỐN CP]]+Table841419410132427323943485356711[[#This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Table841419410132427323943485356711[[#This Row],[VỐN CP]]+Table841419410132427323943485356711[[#This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Table841419410132427323943485356711[[#This Row],[VỐN CP]]+Table841419410132427323943485356711[[#This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Table841419410132427323943485356711[[#This Row],[VỐN CP]]+Table841419410132427323943485356711[[#This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Table841419410132427323943485356711[[#This Row],[VỐN CP]]+Table841419410132427323943485356711[[#This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Table841419410132427323943485356711[[#This Row],[VỐN CP]]+Table841419410132427323943485356711[[#This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Table841419410132427323943485356711[[#This Row],[VỐN CP]]+Table841419410132427323943485356711[[#This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Table841419410132427323943485356711[[#This Row],[VỐN CP]]+Table841419410132427323943485356711[[#This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Table841419410132427323943485356711[[#This Row],[VỐN CP]]+Table841419410132427323943485356711[[#This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Table841419410132427323943485356711[[#This Row],[VỐN CP]]+Table841419410132427323943485356711[[#This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Table841419410132427323943485356711[[#This Row],[VỐN CP]]+Table841419410132427323943485356711[[#This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Table841419410132427323943485356711[[#This Row],[VỐN CP]]+Table841419410132427323943485356711[[#This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Table841419410132427323943485356711[[#This Row],[VỐN CP]]+Table841419410132427323943485356711[[#This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Table841419410132427323943485356711[[#This Row],[VỐN CP]]+Table841419410132427323943485356711[[#This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Table841419410132427323943485356711[[#This Row],[VỐN CP]]+Table841419410132427323943485356711[[#This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Table841419410132427323943485356711[[#This Row],[VỐN CP]]+Table841419410132427323943485356711[[#This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Table841419410132427323943485356711[[#This Row],[VỐN CP]]+Table841419410132427323943485356711[[#This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Table841419410132427323943485356711[[#This Row],[VỐN CP]]+Table841419410132427323943485356711[[#This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Table841419410132427323943485356711[[#This Row],[VỐN CP]]+Table841419410132427323943485356711[[#This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Table841419410132427323943485356711[[#This Row],[VỐN CP]]+Table841419410132427323943485356711[[#This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Table841419410132427323943485356711[[#This Row],[VỐN CP]]+Table841419410132427323943485356711[[#This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Table841419410132427323943485356711[[#This Row],[VỐN CP]]+Table841419410132427323943485356711[[#This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Table841419410132427323943485356711[[#This Row],[VỐN CP]]+Table841419410132427323943485356711[[#This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Table841419410132427323943485356711[[#This Row],[VỐN CP]]+Table841419410132427323943485356711[[#This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Table841419410132427323943485356711[[#This Row],[VỐN CP]]+Table841419410132427323943485356711[[#This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Table841419410132427323943485356711[[#This Row],[VỐN CP]]+Table841419410132427323943485356711[[#This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Table841419410132427323943485356711[[#This Row],[VỐN CP]]+Table841419410132427323943485356711[[#This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Table841419410132427323943485356711[[#This Row],[VỐN CP]]+Table841419410132427323943485356711[[#This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Table841419410132427323943485356711[[#This Row],[VỐN CP]]+Table841419410132427323943485356711[[#This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Table841419410132427323943485356711[[#This Row],[VỐN CP]]+Table841419410132427323943485356711[[#This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Table841419410132427323943485356711[[#This Row],[VỐN CP]]+Table841419410132427323943485356711[[#This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Table841419410132427323943485356711[[#This Row],[VỐN CP]]+Table841419410132427323943485356711[[#This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Table841419410132427323943485356711[[#This Row],[VỐN CP]]+Table841419410132427323943485356711[[#This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Table841419410132427323943485356711[[#This Row],[VỐN CP]]+Table841419410132427323943485356711[[#This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Table841419410132427323943485356711[[#This Row],[VỐN CP]]+Table841419410132427323943485356711[[#This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Table841419410132427323943485356711[[#This Row],[VỐN CP]]+Table841419410132427323943485356711[[#This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Table841419410132427323943485356711[[#This Row],[VỐN CP]]+Table841419410132427323943485356711[[#This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Table841419410132427323943485356711[[#This Row],[VỐN CP]]+Table841419410132427323943485356711[[#This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Table841419410132427323943485356711[[#This Row],[VỐN CP]]+Table841419410132427323943485356711[[#This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Table841419410132427323943485356711[[#This Row],[VỐN CP]]+Table841419410132427323943485356711[[#This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Table841419410132427323943485356711[[#This Row],[VỐN CP]]+Table841419410132427323943485356711[[#This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Table841419410132427323943485356711[[#This Row],[VỐN CP]]+Table841419410132427323943485356711[[#This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Table841419410132427323943485356711[[#This Row],[VỐN CP]]+Table841419410132427323943485356711[[#This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Table841419410132427323943485356711[[#This Row],[VỐN CP]]+Table841419410132427323943485356711[[#This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Table841419410132427323943485356711[[#This Row],[VỐN CP]]+Table841419410132427323943485356711[[#This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Table841419410132427323943485356711[[#This Row],[VỐN CP]]+Table841419410132427323943485356711[[#This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Table841419410132427323943485356711[[#This Row],[VỐN CP]]+Table841419410132427323943485356711[[#This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Table841419410132427323943485356711[[#This Row],[VỐN CP]]+Table841419410132427323943485356711[[#This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Table841419410132427323943485356711[[#This Row],[VỐN CP]]+Table841419410132427323943485356711[[#This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Table841419410132427323943485356711[[#This Row],[VỐN CP]]+Table841419410132427323943485356711[[#This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Table841419410132427323943485356711[[#This Row],[VỐN CP]]+Table841419410132427323943485356711[[#This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Table841419410132427323943485356711[[#This Row],[VỐN CP]]+Table841419410132427323943485356711[[#This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Table841419410132427323943485356711[[#This Row],[VỐN CP]]+Table841419410132427323943485356711[[#This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Table841419410132427323943485356711[[#This Row],[VỐN CP]]+Table841419410132427323943485356711[[#This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Table841419410132427323943485356711[[#This Row],[VỐN CP]]+Table841419410132427323943485356711[[#This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Table841419410132427323943485356711[[#This Row],[VỐN CP]]+Table841419410132427323943485356711[[#This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Table841419410132427323943485356711[[#This Row],[VỐN CP]]+Table841419410132427323943485356711[[#This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Table841419410132427323943485356711[[#This Row],[VỐN CP]]+Table841419410132427323943485356711[[#This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Table841419410132427323943485356711[[#This Row],[VỐN CP]]+Table841419410132427323943485356711[[#This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Table841419410132427323943485356711[[#This Row],[VỐN CP]]+Table841419410132427323943485356711[[#This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Table841419410132427323943485356711[[#This Row],[VỐN CP]]+Table841419410132427323943485356711[[#This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Table841419410132427323943485356711[[#This Row],[VỐN CP]]+Table841419410132427323943485356711[[#This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Table841419410132427323943485356711[[#This Row],[VỐN CP]]+Table841419410132427323943485356711[[#This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Table841419410132427323943485356711[[#This Row],[VỐN CP]]+Table841419410132427323943485356711[[#This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Table841419410132427323943485356711[[#This Row],[VỐN CP]]+Table841419410132427323943485356711[[#This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Table841419410132427323943485356711[[#This Row],[VỐN CP]]+Table841419410132427323943485356711[[#This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Table841419410132427323943485356711[[#This Row],[VỐN CP]]+Table841419410132427323943485356711[[#This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Table841419410132427323943485356711[[#This Row],[VỐN CP]]+Table841419410132427323943485356711[[#This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Table841419410132427323943485356711[[#This Row],[VỐN CP]]+Table841419410132427323943485356711[[#This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Table841419410132427323943485356711[[#This Row],[VỐN CP]]+Table841419410132427323943485356711[[#This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Table841419410132427323943485356711[[#This Row],[VỐN CP]]+Table841419410132427323943485356711[[#This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Table841419410132427323943485356711[[#This Row],[VỐN CP]]+Table841419410132427323943485356711[[#This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Table841419410132427323943485356711[[#This Row],[VỐN CP]]+Table841419410132427323943485356711[[#This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Table841419410132427323943485356711[[#This Row],[VỐN CP]]+Table841419410132427323943485356711[[#This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Table841419410132427323943485356711[[#This Row],[VỐN CP]]+Table841419410132427323943485356711[[#This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Table841419410132427323943485356711[[#This Row],[VỐN CP]]+Table841419410132427323943485356711[[#This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Table841419410132427323943485356711[[#This Row],[VỐN CP]]+Table841419410132427323943485356711[[#This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Table841419410132427323943485356711[[#This Row],[VỐN CP]]+Table841419410132427323943485356711[[#This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Table841419410132427323943485356711[[#This Row],[VỐN CP]]+Table841419410132427323943485356711[[#This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Table841419410132427323943485356711[[#This Row],[VỐN CP]]+Table841419410132427323943485356711[[#This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Table841419410132427323943485356711[[#This Row],[VỐN CP]]+Table841419410132427323943485356711[[#This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Table841419410132427323943485356711[[#This Row],[VỐN CP]]+Table841419410132427323943485356711[[#This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Table841419410132427323943485356711[[#This Row],[VỐN CP]]+Table841419410132427323943485356711[[#This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Table841419410132427323943485356711[[#This Row],[VỐN CP]]+Table841419410132427323943485356711[[#This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Table841419410132427323943485356711[[#This Row],[VỐN CP]]+Table841419410132427323943485356711[[#This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Table841419410132427323943485356711[[#This Row],[VỐN CP]]+Table841419410132427323943485356711[[#This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Table841419410132427323943485356711[[#This Row],[VỐN CP]]+Table841419410132427323943485356711[[#This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Table841419410132427323943485356711[[#This Row],[VỐN CP]]+Table841419410132427323943485356711[[#This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Table841419410132427323943485356711[[#This Row],[VỐN CP]]+Table841419410132427323943485356711[[#This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Table841419410132427323943485356711[[#This Row],[VỐN CP]]+Table841419410132427323943485356711[[#This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Table841419410132427323943485356711[[#This Row],[VỐN CP]]+Table841419410132427323943485356711[[#This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Table841419410132427323943485356711[[#This Row],[VỐN CP]]+Table841419410132427323943485356711[[#This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Table841419410132427323943485356711[[#This Row],[VỐN CP]]+Table841419410132427323943485356711[[#This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Table841419410132427323943485356711[[#This Row],[VỐN CP]]+Table841419410132427323943485356711[[#This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Table841419410132427323943485356711[[#This Row],[VỐN CP]]+Table841419410132427323943485356711[[#This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Table841419410132427323943485356711[[#This Row],[VỐN CP]]+Table841419410132427323943485356711[[#This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Table841419410132427323943485356711[[#This Row],[VỐN CP]]+Table841419410132427323943485356711[[#This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Table841419410132427323943485356711[[#This Row],[VỐN CP]]+Table841419410132427323943485356711[[#This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Table841419410132427323943485356711[[#This Row],[VỐN CP]]+Table841419410132427323943485356711[[#This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Table841419410132427323943485356711[[#This Row],[VỐN CP]]+Table841419410132427323943485356711[[#This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Table841419410132427323943485356711[[#This Row],[VỐN CP]]+Table841419410132427323943485356711[[#This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Table841419410132427323943485356711[[#This Row],[VỐN CP]]+Table841419410132427323943485356711[[#This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Table841419410132427323943485356711[[#This Row],[VỐN CP]]+Table841419410132427323943485356711[[#This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Table841419410132427323943485356711[[#This Row],[VỐN CP]]+Table841419410132427323943485356711[[#This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Table841419410132427323943485356711[[#This Row],[VỐN CP]]+Table841419410132427323943485356711[[#This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Table841419410132427323943485356711[[#This Row],[VỐN CP]]+Table841419410132427323943485356711[[#This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Table841419410132427323943485356711[[#This Row],[VỐN CP]]+Table841419410132427323943485356711[[#This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Table841419410132427323943485356711[[#This Row],[VỐN CP]]+Table841419410132427323943485356711[[#This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Table841419410132427323943485356711[[#This Row],[VỐN CP]]+Table841419410132427323943485356711[[#This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Table841419410132427323943485356711[[#This Row],[VỐN CP]]+Table841419410132427323943485356711[[#This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Table841419410132427323943485356711[[#This Row],[VỐN CP]]+Table841419410132427323943485356711[[#This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Table841419410132427323943485356711[[#This Row],[VỐN CP]]+Table841419410132427323943485356711[[#This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Table841419410132427323943485356711[[#This Row],[VỐN CP]]+Table841419410132427323943485356711[[#This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Table841419410132427323943485356711[[#This Row],[VỐN CP]]+Table841419410132427323943485356711[[#This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Table841419410132427323943485356711[[#This Row],[VỐN CP]]+Table841419410132427323943485356711[[#This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Table841419410132427323943485356711[[#This Row],[VỐN CP]]+Table841419410132427323943485356711[[#This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Table841419410132427323943485356711[[#This Row],[VỐN CP]]+Table841419410132427323943485356711[[#This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Table841419410132427323943485356711[[#This Row],[VỐN CP]]+Table841419410132427323943485356711[[#This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Table841419410132427323943485356711[[#This Row],[VỐN CP]]+Table841419410132427323943485356711[[#This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Table841419410132427323943485356711[[#This Row],[VỐN CP]]+Table841419410132427323943485356711[[#This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Table841419410132427323943485356711[[#This Row],[VỐN CP]]+Table841419410132427323943485356711[[#This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Table841419410132427323943485356711[[#This Row],[VỐN CP]]+Table841419410132427323943485356711[[#This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Table841419410132427323943485356711[[#This Row],[VỐN CP]]+Table841419410132427323943485356711[[#This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Table841419410132427323943485356711[[#This Row],[VỐN CP]]+Table841419410132427323943485356711[[#This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Table841419410132427323943485356711[[#This Row],[VỐN CP]]+Table841419410132427323943485356711[[#This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Table841419410132427323943485356711[[#This Row],[VỐN CP]]+Table841419410132427323943485356711[[#This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Table841419410132427323943485356711[[#This Row],[VỐN CP]]+Table841419410132427323943485356711[[#This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Table841419410132427323943485356711[[#This Row],[VỐN CP]]+Table841419410132427323943485356711[[#This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Table841419410132427323943485356711[[#This Row],[VỐN CP]]+Table841419410132427323943485356711[[#This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Table841419410132427323943485356711[[#This Row],[VỐN CP]]+Table841419410132427323943485356711[[#This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Table841419410132427323943485356711[[#This Row],[VỐN CP]]+Table841419410132427323943485356711[[#This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Table841419410132427323943485356711[[#This Row],[VỐN CP]]+Table841419410132427323943485356711[[#This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Table841419410132427323943485356711[[#This Row],[VỐN CP]]+Table841419410132427323943485356711[[#This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Table841419410132427323943485356711[[#This Row],[VỐN CP]]+Table841419410132427323943485356711[[#This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Table841419410132427323943485356711[[#This Row],[VỐN CP]]+Table841419410132427323943485356711[[#This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Table841419410132427323943485356711[[#This Row],[VỐN CP]]+Table841419410132427323943485356711[[#This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Table841419410132427323943485356711[[#This Row],[VỐN CP]]+Table841419410132427323943485356711[[#This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Table841419410132427323943485356711[[#This Row],[VỐN CP]]+Table841419410132427323943485356711[[#This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Table841419410132427323943485356711[[#This Row],[VỐN CP]]+Table841419410132427323943485356711[[#This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Table841419410132427323943485356711[[#This Row],[VỐN CP]]+Table841419410132427323943485356711[[#This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Table841419410132427323943485356711[[#This Row],[VỐN CP]]+Table841419410132427323943485356711[[#This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Table841419410132427323943485356711[[#This Row],[VỐN CP]]+Table841419410132427323943485356711[[#This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Table841419410132427323943485356711[[#This Row],[VỐN CP]]+Table841419410132427323943485356711[[#This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Table841419410132427323943485356711[[#This Row],[VỐN CP]]+Table841419410132427323943485356711[[#This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Table841419410132427323943485356711[[#This Row],[VỐN CP]]+Table841419410132427323943485356711[[#This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Table841419410132427323943485356711[[#This Row],[VỐN CP]]+Table841419410132427323943485356711[[#This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Table841419410132427323943485356711[[#This Row],[VỐN CP]]+Table841419410132427323943485356711[[#This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Table841419410132427323943485356711[[#This Row],[VỐN CP]]+Table841419410132427323943485356711[[#This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Table841419410132427323943485356711[[#This Row],[VỐN CP]]+Table841419410132427323943485356711[[#This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Table841419410132427323943485356711[[#This Row],[VỐN CP]]+Table841419410132427323943485356711[[#This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Table841419410132427323943485356711[[#This Row],[VỐN CP]]+Table841419410132427323943485356711[[#This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Table841419410132427323943485356711[[#This Row],[VỐN CP]]+Table841419410132427323943485356711[[#This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Table841419410132427323943485356711[[#This Row],[VỐN CP]]+Table841419410132427323943485356711[[#This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Table841419410132427323943485356711[[#This Row],[VỐN CP]]+Table841419410132427323943485356711[[#This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Table841419410132427323943485356711[[#This Row],[VỐN CP]]+Table841419410132427323943485356711[[#This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Table841419410132427323943485356711[[#This Row],[VỐN CP]]+Table841419410132427323943485356711[[#This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Table841419410132427323943485356711[[#This Row],[VỐN CP]]+Table841419410132427323943485356711[[#This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Table841419410132427323943485356711[[#This Row],[VỐN CP]]+Table841419410132427323943485356711[[#This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Table841419410132427323943485356711[[#This Row],[VỐN CP]]+Table841419410132427323943485356711[[#This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Table841419410132427323943485356711[[#This Row],[VỐN CP]]+Table841419410132427323943485356711[[#This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Table841419410132427323943485356711[[#This Row],[VỐN CP]]+Table841419410132427323943485356711[[#This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Table841419410132427323943485356711[[#This Row],[VỐN CP]]+Table841419410132427323943485356711[[#This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Table841419410132427323943485356711[[#This Row],[VỐN CP]]+Table841419410132427323943485356711[[#This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Table841419410132427323943485356711[[#This Row],[VỐN CP]]+Table841419410132427323943485356711[[#This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Table841419410132427323943485356711[[#This Row],[VỐN CP]]+Table841419410132427323943485356711[[#This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Table841419410132427323943485356711[[#This Row],[VỐN CP]]+Table841419410132427323943485356711[[#This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Table841419410132427323943485356711[[#This Row],[VỐN CP]]+Table841419410132427323943485356711[[#This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SUBTOTAL(109,Table841419410132427323943485356711[VỐN CP])</f>
        <v>2400000</v>
      </c>
      <c r="E421" s="21">
        <f>SUBTOTAL(109,Table841419410132427323943485356711[LỢI NHUẬN GỘP])</f>
        <v>813901.1</v>
      </c>
      <c r="F421" s="21">
        <f>SUBTOTAL(109,Table841419410132427323943485356711[LỢI NHUẬN RÒNG])</f>
        <v>258178.82621162571</v>
      </c>
      <c r="G421" s="21">
        <f>SUBTOTAL(109,Table841419410132427323943485356711[TỔNG NHẬN])</f>
        <v>4962428.6029751115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3A0B-63F3-4887-BEDC-F43D9071BB27}">
  <sheetPr codeName="Sheet7"/>
  <dimension ref="A1:J37"/>
  <sheetViews>
    <sheetView workbookViewId="0">
      <selection activeCell="E25" sqref="E25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137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Table9515205111425283340444954578[[#This Row],[VỐN CP]]+Table7312187916233035384247525910[[#This Row],[VỐN CP]]+Table951520511142528334044495457812[[#This Row],[VỐN CP]]</f>
        <v>72184166.666666672</v>
      </c>
      <c r="C3" s="14">
        <f>Table9515205111425283340444954578[[#This Row],[LỢI NHUẬN GỘP]]+Table7312187916233035384247525910[[#This Row],[LỢI NHUẬN GỘP]]+Table951520511142528334044495457812[[#This Row],[LỢI NHUẬN GỘP]]</f>
        <v>16453574.199999999</v>
      </c>
      <c r="D3" s="14">
        <f>Table9515205111425283340444954578[[#This Row],[LỢI NHUẬN RÒNG]]+Table7312187916233035384247525910[[#This Row],[LỢI NHUẬN RÒNG]]+Table951520511142528334044495457812[[#This Row],[LỢI NHUẬN RÒNG]]</f>
        <v>5531663.2936263056</v>
      </c>
      <c r="E3" s="14">
        <f>Table9515205111425283340444954578[[#This Row],[TỔNG NHẬN]]+Table7312187916233035384247525910[[#This Row],[TỔNG NHẬN]]+Table951520511142528334044495457812[[#This Row],[TỔNG NHẬN]]</f>
        <v>77715829.960292965</v>
      </c>
      <c r="F3" s="49">
        <f t="shared" ref="F3:F27" si="0">D3/B3</f>
        <v>7.6632640495394491E-2</v>
      </c>
    </row>
    <row r="4" spans="1:10" x14ac:dyDescent="0.3">
      <c r="A4" s="13" t="s">
        <v>87</v>
      </c>
      <c r="B4" s="14">
        <f>Table7312187916233035384247525910[[#This Row],[VỐN CP]]</f>
        <v>81893333.333333328</v>
      </c>
      <c r="C4" s="14">
        <f>Table7312187916233035384247525910[[#This Row],[LỢI NHUẬN GỘP]]</f>
        <v>19091323.099999998</v>
      </c>
      <c r="D4" s="14">
        <f>Table7312187916233035384247525910[[#This Row],[LỢI NHUẬN RÒNG]]</f>
        <v>8175394.136030037</v>
      </c>
      <c r="E4" s="14">
        <f>Table7312187916233035384247525910[[#This Row],[TỔNG NHẬN]]</f>
        <v>90068727.469363362</v>
      </c>
      <c r="F4" s="49">
        <f t="shared" si="0"/>
        <v>9.9829788375488893E-2</v>
      </c>
      <c r="I4" s="50"/>
    </row>
    <row r="5" spans="1:10" x14ac:dyDescent="0.3">
      <c r="A5" s="13" t="s">
        <v>9</v>
      </c>
      <c r="B5" s="14">
        <f>'Tháng 2 nhà S '!L4+Table7312187916233035384247525910[[#This Row],[VỐN CP]]+'Tháng 2 nhà G '!L4</f>
        <v>791110833.33333337</v>
      </c>
      <c r="C5" s="14">
        <f>'Tháng 2 nhà S '!M4+Table7312187916233035384247525910[[#This Row],[LỢI NHUẬN GỘP]]+'Tháng 2 nhà G '!M4</f>
        <v>208871261.32416666</v>
      </c>
      <c r="D5" s="14">
        <f>'Tháng 2 nhà S '!N4+Table7312187916233035384247525910[[#This Row],[LỢI NHUẬN RÒNG]]+'Tháng 2 nhà G '!N4</f>
        <v>90192181.303600103</v>
      </c>
      <c r="E5" s="14">
        <f>'Tháng 2 nhà S '!O4+Table7312187916233035384247525910[[#This Row],[TỔNG NHẬN]]+'Tháng 2 nhà G '!O4</f>
        <v>881461066.63693345</v>
      </c>
      <c r="F5" s="49">
        <f t="shared" si="0"/>
        <v>0.11400701077948425</v>
      </c>
      <c r="I5" s="50"/>
    </row>
    <row r="6" spans="1:10" x14ac:dyDescent="0.3">
      <c r="A6" s="13" t="s">
        <v>88</v>
      </c>
      <c r="B6" s="14">
        <f>'Tháng 2 nhà S '!L5+Table7312187916233035384247525910[[#This Row],[VỐN CP]]+'Tháng 2 nhà G '!L5</f>
        <v>74295000</v>
      </c>
      <c r="C6" s="14">
        <f>'Tháng 2 nhà S '!M5+Table7312187916233035384247525910[[#This Row],[LỢI NHUẬN GỘP]]+'Tháng 2 nhà G '!M5</f>
        <v>16810329.706666671</v>
      </c>
      <c r="D6" s="14">
        <f>'Tháng 2 nhà S '!N5+Table7312187916233035384247525910[[#This Row],[LỢI NHUẬN RÒNG]]+'Tháng 2 nhà G '!N5</f>
        <v>6166218.5107689239</v>
      </c>
      <c r="E6" s="14">
        <f>'Tháng 2 nhà S '!O5+Table7312187916233035384247525910[[#This Row],[TỔNG NHẬN]]+'Tháng 2 nhà G '!O5</f>
        <v>80513902.510768905</v>
      </c>
      <c r="F6" s="49">
        <f t="shared" si="0"/>
        <v>8.2996413093329613E-2</v>
      </c>
    </row>
    <row r="7" spans="1:10" x14ac:dyDescent="0.3">
      <c r="A7" s="13" t="s">
        <v>89</v>
      </c>
      <c r="B7" s="14">
        <f>'Tháng 2 nhà S '!L6+Table7312187916233035384247525910[[#This Row],[VỐN CP]]</f>
        <v>35213333.333333336</v>
      </c>
      <c r="C7" s="14">
        <f>'Tháng 2 nhà S '!M6+Table7312187916233035384247525910[[#This Row],[LỢI NHUẬN GỘP]]</f>
        <v>9911175.2666666657</v>
      </c>
      <c r="D7" s="14">
        <f>'Tháng 2 nhà S '!N6+Table7312187916233035384247525910[[#This Row],[LỢI NHUẬN RÒNG]]</f>
        <v>4386633.7257158905</v>
      </c>
      <c r="E7" s="14">
        <f>'Tháng 2 nhà S '!O6+Table7312187916233035384247525910[[#This Row],[TỔNG NHẬN]]</f>
        <v>39599967.059049219</v>
      </c>
      <c r="F7" s="49">
        <f t="shared" si="0"/>
        <v>0.12457308952241264</v>
      </c>
      <c r="I7" s="50"/>
    </row>
    <row r="8" spans="1:10" x14ac:dyDescent="0.3">
      <c r="A8" s="13" t="s">
        <v>17</v>
      </c>
      <c r="B8" s="14">
        <f>'Tháng 2 nhà S '!L7</f>
        <v>6795000</v>
      </c>
      <c r="C8" s="14">
        <f>'Tháng 2 nhà S '!M7</f>
        <v>3212108.5</v>
      </c>
      <c r="D8" s="14">
        <f>'Tháng 2 nhà S '!N7</f>
        <v>2038490.7746744177</v>
      </c>
      <c r="E8" s="14">
        <f>'Tháng 2 nhà S '!O7</f>
        <v>8833490.7746744193</v>
      </c>
      <c r="F8" s="49">
        <f t="shared" si="0"/>
        <v>0.299998642336191</v>
      </c>
    </row>
    <row r="9" spans="1:10" x14ac:dyDescent="0.3">
      <c r="A9" s="13" t="s">
        <v>19</v>
      </c>
      <c r="B9" s="14">
        <f>'Tháng 2 nhà S '!L8+'Tháng 2 nhà T   '!L8+'Tháng 2 nhà G '!L8</f>
        <v>814953333.33333337</v>
      </c>
      <c r="C9" s="14">
        <f>'Tháng 2 nhà S '!M8+'Tháng 2 nhà T   '!M8+'Tháng 2 nhà G '!M8</f>
        <v>204117037.05833337</v>
      </c>
      <c r="D9" s="14">
        <f>'Tháng 2 nhà S '!N8+'Tháng 2 nhà T   '!N8+'Tháng 2 nhà G '!N8</f>
        <v>81864847.877522975</v>
      </c>
      <c r="E9" s="14">
        <f>'Tháng 2 nhà S '!O8+'Tháng 2 nhà T   '!O8+'Tháng 2 nhà G '!O8</f>
        <v>871363503.23231757</v>
      </c>
      <c r="F9" s="49">
        <f t="shared" si="0"/>
        <v>0.10045341804134753</v>
      </c>
      <c r="I9" s="50"/>
    </row>
    <row r="10" spans="1:10" x14ac:dyDescent="0.3">
      <c r="A10" s="16" t="s">
        <v>21</v>
      </c>
      <c r="B10" s="14">
        <f>'Tháng 2 nhà S '!L9+'Tháng 2 nhà T   '!L9+'Tháng 2 nhà G '!L9</f>
        <v>418933333.33333337</v>
      </c>
      <c r="C10" s="14">
        <f>'Tháng 2 nhà S '!M9+'Tháng 2 nhà T   '!M9+'Tháng 2 nhà G '!M9</f>
        <v>112397830.82916667</v>
      </c>
      <c r="D10" s="14">
        <f>'Tháng 2 nhà S '!N9+'Tháng 2 nhà T   '!N9+'Tháng 2 nhà G '!N9</f>
        <v>48777003.343629435</v>
      </c>
      <c r="E10" s="14">
        <f>'Tháng 2 nhà S '!O9+'Tháng 2 nhà T   '!O9+'Tháng 2 nhà G '!O9</f>
        <v>474675770.00725317</v>
      </c>
      <c r="F10" s="49">
        <f t="shared" si="0"/>
        <v>0.11643142109395949</v>
      </c>
      <c r="J10" s="50"/>
    </row>
    <row r="11" spans="1:10" x14ac:dyDescent="0.3">
      <c r="A11" s="13" t="s">
        <v>23</v>
      </c>
      <c r="B11" s="14">
        <f>'Tháng 2 nhà S '!L10+'Tháng 2 nhà T   '!L10</f>
        <v>51435000</v>
      </c>
      <c r="C11" s="14">
        <f>'Tháng 2 nhà S '!M10+'Tháng 2 nhà T   '!M10</f>
        <v>10632358.116666667</v>
      </c>
      <c r="D11" s="14">
        <f>'Tháng 2 nhà S '!N10+'Tháng 2 nhà T   '!N10</f>
        <v>2759321.8982129321</v>
      </c>
      <c r="E11" s="14">
        <f>'Tháng 2 nhà S '!O10+'Tháng 2 nhà T   '!O10</f>
        <v>54194321.898212932</v>
      </c>
      <c r="F11" s="49">
        <f t="shared" si="0"/>
        <v>5.3646775507201948E-2</v>
      </c>
    </row>
    <row r="12" spans="1:10" x14ac:dyDescent="0.3">
      <c r="A12" s="13" t="s">
        <v>25</v>
      </c>
      <c r="B12" s="14">
        <f>'Tháng 2 nhà S '!L11+'Tháng 2 nhà T   '!L16+'Tháng 2 nhà G '!L11</f>
        <v>103901666.66666667</v>
      </c>
      <c r="C12" s="14">
        <f>'Tháng 2 nhà S '!M11+'Tháng 2 nhà T   '!M16+'Tháng 2 nhà G '!M11</f>
        <v>26362381.623333335</v>
      </c>
      <c r="D12" s="14">
        <f>'Tháng 2 nhà S '!N11+'Tháng 2 nhà T   '!N16+'Tháng 2 nhà G '!N11</f>
        <v>10892503.423220979</v>
      </c>
      <c r="E12" s="14">
        <f>'Tháng 2 nhà S '!O11+'Tháng 2 nhà T   '!O16+'Tháng 2 nhà G '!O11</f>
        <v>121706919.4201781</v>
      </c>
      <c r="F12" s="49">
        <f t="shared" si="0"/>
        <v>0.10483473242220348</v>
      </c>
    </row>
    <row r="13" spans="1:10" x14ac:dyDescent="0.3">
      <c r="A13" s="13" t="s">
        <v>27</v>
      </c>
      <c r="B13" s="14">
        <f>'Tháng 2 nhà S '!L12+'Tháng 2 nhà T   '!L11+'Tháng 2 nhà G '!L12</f>
        <v>405718333.33333331</v>
      </c>
      <c r="C13" s="14">
        <f>'Tháng 2 nhà S '!M12+'Tháng 2 nhà T   '!M11+'Tháng 2 nhà G '!M12</f>
        <v>112145174.97499999</v>
      </c>
      <c r="D13" s="14">
        <f>'Tháng 2 nhà S '!N12+'Tháng 2 nhà T   '!N11+'Tháng 2 nhà G '!N12</f>
        <v>49994244.382956453</v>
      </c>
      <c r="E13" s="14">
        <f>'Tháng 2 nhà S '!O12+'Tháng 2 nhà T   '!O11+'Tháng 2 nhà G '!O12</f>
        <v>455712577.71628976</v>
      </c>
      <c r="F13" s="49">
        <f t="shared" si="0"/>
        <v>0.12322402089205513</v>
      </c>
    </row>
    <row r="14" spans="1:10" x14ac:dyDescent="0.3">
      <c r="A14" s="13" t="s">
        <v>29</v>
      </c>
      <c r="B14" s="14">
        <f>'Tháng 2 nhà S '!L13+'Tháng 2 nhà G '!L13</f>
        <v>38973333.333333328</v>
      </c>
      <c r="C14" s="14">
        <f>'Tháng 2 nhà S '!M13+'Tháng 2 nhà G '!M13</f>
        <v>11530686.4</v>
      </c>
      <c r="D14" s="14">
        <f>'Tháng 2 nhà S '!N13+'Tháng 2 nhà G '!N13</f>
        <v>5122350.751218548</v>
      </c>
      <c r="E14" s="14">
        <f>'Tháng 2 nhà S '!O13+'Tháng 2 nhà G '!O13</f>
        <v>48704183.638078853</v>
      </c>
      <c r="F14" s="49">
        <f t="shared" si="0"/>
        <v>0.1314321951219265</v>
      </c>
    </row>
    <row r="15" spans="1:10" x14ac:dyDescent="0.3">
      <c r="A15" s="13" t="s">
        <v>31</v>
      </c>
      <c r="B15" s="14">
        <f>'Tháng 2 nhà S '!L14+'Tháng 2 nhà T   '!L12+'Tháng 2 nhà G '!L14</f>
        <v>197410000</v>
      </c>
      <c r="C15" s="14">
        <f>'Tháng 2 nhà S '!M14+'Tháng 2 nhà T   '!M12+'Tháng 2 nhà G '!M14</f>
        <v>44418485.699999996</v>
      </c>
      <c r="D15" s="14">
        <f>'Tháng 2 nhà S '!N14+'Tháng 2 nhà T   '!N12+'Tháng 2 nhà G '!N14</f>
        <v>15280723.41023037</v>
      </c>
      <c r="E15" s="14">
        <f>'Tháng 2 nhà S '!O14+'Tháng 2 nhà T   '!O12+'Tháng 2 nhà G '!O14</f>
        <v>219656156.74052081</v>
      </c>
      <c r="F15" s="49">
        <f t="shared" si="0"/>
        <v>7.7406025075884552E-2</v>
      </c>
    </row>
    <row r="16" spans="1:10" x14ac:dyDescent="0.3">
      <c r="A16" s="13" t="s">
        <v>91</v>
      </c>
      <c r="B16" s="14">
        <f>'Tháng 2 nhà T   '!L13</f>
        <v>8400000</v>
      </c>
      <c r="C16" s="14">
        <f>'Tháng 2 nhà T   '!M13</f>
        <v>4187536.4333333327</v>
      </c>
      <c r="D16" s="14">
        <f>'Tháng 2 nhà T   '!N13</f>
        <v>2483078.7742298292</v>
      </c>
      <c r="E16" s="14">
        <f>'Tháng 2 nhà T   '!O13</f>
        <v>10883078.774229828</v>
      </c>
      <c r="F16" s="49">
        <f t="shared" si="0"/>
        <v>0.29560461597974158</v>
      </c>
    </row>
    <row r="17" spans="1:6" x14ac:dyDescent="0.3">
      <c r="A17" s="13" t="s">
        <v>33</v>
      </c>
      <c r="B17" s="14">
        <f>'Tháng 2 nhà S '!L15+'Tháng 2 nhà T   '!L14+'Tháng 2 nhà G '!L15</f>
        <v>82218333.333333343</v>
      </c>
      <c r="C17" s="14">
        <f>'Tháng 2 nhà S '!M15+'Tháng 2 nhà T   '!M14+'Tháng 2 nhà G '!M15</f>
        <v>20678300.633333333</v>
      </c>
      <c r="D17" s="14">
        <f>'Tháng 2 nhà S '!N15+'Tháng 2 nhà T   '!N14+'Tháng 2 nhà G '!N15</f>
        <v>8776504.9073235262</v>
      </c>
      <c r="E17" s="14">
        <f>'Tháng 2 nhà S '!O15+'Tháng 2 nhà T   '!O14+'Tháng 2 nhà G '!O15</f>
        <v>93299088.017420352</v>
      </c>
      <c r="F17" s="49">
        <f t="shared" si="0"/>
        <v>0.10674632471253603</v>
      </c>
    </row>
    <row r="18" spans="1:6" x14ac:dyDescent="0.3">
      <c r="A18" s="13" t="s">
        <v>35</v>
      </c>
      <c r="B18" s="14">
        <f>'Tháng 2 nhà S '!L16+'Tháng 2 nhà G '!L16</f>
        <v>52721666.666666672</v>
      </c>
      <c r="C18" s="14">
        <f>'Tháng 2 nhà S '!M16+'Tháng 2 nhà G '!M16</f>
        <v>13695473.883333337</v>
      </c>
      <c r="D18" s="14">
        <f>'Tháng 2 nhà S '!N16+'Tháng 2 nhà G '!N16</f>
        <v>5973345.5218914729</v>
      </c>
      <c r="E18" s="14">
        <f>'Tháng 2 nhà S '!O16+'Tháng 2 nhà G '!O16</f>
        <v>58695012.188558131</v>
      </c>
      <c r="F18" s="49">
        <f t="shared" si="0"/>
        <v>0.11329963370957176</v>
      </c>
    </row>
    <row r="19" spans="1:6" x14ac:dyDescent="0.3">
      <c r="A19" s="16" t="s">
        <v>37</v>
      </c>
      <c r="B19" s="14">
        <f>'Tháng 2 nhà S '!L17+'Tháng 2 nhà T   '!L15+'Tháng 2 nhà G '!L17</f>
        <v>212008333.33333331</v>
      </c>
      <c r="C19" s="14">
        <f>'Tháng 2 nhà S '!M17+'Tháng 2 nhà T   '!M15+'Tháng 2 nhà G '!M17</f>
        <v>55251145.983333334</v>
      </c>
      <c r="D19" s="14">
        <f>'Tháng 2 nhà S '!N17+'Tháng 2 nhà T   '!N15+'Tháng 2 nhà G '!N17</f>
        <v>22545929.708789732</v>
      </c>
      <c r="E19" s="14">
        <f>'Tháng 2 nhà S '!O17+'Tháng 2 nhà T   '!O15+'Tháng 2 nhà G '!O17</f>
        <v>241519696.37241346</v>
      </c>
      <c r="F19" s="51">
        <f t="shared" si="0"/>
        <v>0.10634454483136543</v>
      </c>
    </row>
    <row r="20" spans="1:6" x14ac:dyDescent="0.3">
      <c r="A20" s="13" t="s">
        <v>39</v>
      </c>
      <c r="B20" s="14">
        <f>'Tháng 2 nhà S '!L18</f>
        <v>1583333.3333333335</v>
      </c>
      <c r="C20" s="14">
        <f>'Tháng 2 nhà S '!M18</f>
        <v>600199.46666666644</v>
      </c>
      <c r="D20" s="14">
        <f>'Tháng 2 nhà S '!N18</f>
        <v>386246.54982063471</v>
      </c>
      <c r="E20" s="14">
        <f>'Tháng 2 nhà S '!O18</f>
        <v>1969579.8831539683</v>
      </c>
      <c r="F20" s="51">
        <f t="shared" si="0"/>
        <v>0.24394518936040085</v>
      </c>
    </row>
    <row r="21" spans="1:6" x14ac:dyDescent="0.3">
      <c r="A21" s="13" t="s">
        <v>41</v>
      </c>
      <c r="B21" s="14">
        <f>'Tháng 2 nhà S '!L19</f>
        <v>2533333.3333333335</v>
      </c>
      <c r="C21" s="14">
        <f>'Tháng 2 nhà S '!M19</f>
        <v>994823.31666666642</v>
      </c>
      <c r="D21" s="14">
        <f>'Tháng 2 nhà S '!N19</f>
        <v>593994.88632273918</v>
      </c>
      <c r="E21" s="14">
        <f>'Tháng 2 nhà S '!O19</f>
        <v>3127328.2196560726</v>
      </c>
      <c r="F21" s="51">
        <f t="shared" si="0"/>
        <v>0.23447166565371283</v>
      </c>
    </row>
    <row r="22" spans="1:6" x14ac:dyDescent="0.3">
      <c r="A22" s="13" t="s">
        <v>42</v>
      </c>
      <c r="B22" s="14">
        <f>'Tháng 2 nhà S '!L20</f>
        <v>2083333.3333333335</v>
      </c>
      <c r="C22" s="14">
        <f>'Tháng 2 nhà S '!M20</f>
        <v>795517.26666666637</v>
      </c>
      <c r="D22" s="14">
        <f>'Tháng 2 nhà S '!N20</f>
        <v>456663.99264221149</v>
      </c>
      <c r="E22" s="14">
        <f>'Tháng 2 nhà S '!O20</f>
        <v>2539997.3259755452</v>
      </c>
      <c r="F22" s="51">
        <f t="shared" si="0"/>
        <v>0.2191987164682615</v>
      </c>
    </row>
    <row r="23" spans="1:6" x14ac:dyDescent="0.3">
      <c r="A23" s="13" t="s">
        <v>43</v>
      </c>
      <c r="B23" s="14">
        <f>'Tháng 2 nhà S '!L21+'Tháng 2 nhà G '!L21</f>
        <v>94268333.333333343</v>
      </c>
      <c r="C23" s="14">
        <f>'Tháng 2 nhà S '!M21+'Tháng 2 nhà G '!M21</f>
        <v>22680237.466666665</v>
      </c>
      <c r="D23" s="14">
        <f>'Tháng 2 nhà S '!N21+'Tháng 2 nhà G '!N21</f>
        <v>9135652.5606664326</v>
      </c>
      <c r="E23" s="14">
        <f>'Tháng 2 nhà S '!O21+'Tháng 2 nhà G '!O21</f>
        <v>108012485.44752672</v>
      </c>
      <c r="F23" s="51">
        <f t="shared" si="0"/>
        <v>9.691114966849701E-2</v>
      </c>
    </row>
    <row r="24" spans="1:6" x14ac:dyDescent="0.3">
      <c r="A24" s="13" t="s">
        <v>44</v>
      </c>
      <c r="B24" s="14">
        <f>'Tháng 2 nhà S '!L22</f>
        <v>4700000</v>
      </c>
      <c r="C24" s="14">
        <f>'Tháng 2 nhà S '!M22</f>
        <v>1711388.0333333332</v>
      </c>
      <c r="D24" s="14">
        <f>'Tháng 2 nhà S '!N22</f>
        <v>777886.40496497822</v>
      </c>
      <c r="E24" s="14">
        <f>'Tháng 2 nhà S '!O22</f>
        <v>5477886.4049649788</v>
      </c>
      <c r="F24" s="51">
        <f t="shared" si="0"/>
        <v>0.1655077457372294</v>
      </c>
    </row>
    <row r="25" spans="1:6" x14ac:dyDescent="0.3">
      <c r="A25" s="13" t="s">
        <v>45</v>
      </c>
      <c r="B25" s="14">
        <f>'Tháng 2 nhà S '!L23</f>
        <v>13700000</v>
      </c>
      <c r="C25" s="14">
        <f>'Tháng 2 nhà S '!M23</f>
        <v>3627918.4</v>
      </c>
      <c r="D25" s="14">
        <f>'Tháng 2 nhà S '!N23</f>
        <v>1344874.9434791578</v>
      </c>
      <c r="E25" s="14">
        <f>'Tháng 2 nhà S '!O23</f>
        <v>15044874.943479158</v>
      </c>
      <c r="F25" s="49">
        <f t="shared" si="0"/>
        <v>9.8166054268551656E-2</v>
      </c>
    </row>
    <row r="26" spans="1:6" s="52" customFormat="1" x14ac:dyDescent="0.3">
      <c r="A26" s="13" t="s">
        <v>46</v>
      </c>
      <c r="B26" s="14">
        <f>'Tháng 2 nhà S '!L24</f>
        <v>13350000</v>
      </c>
      <c r="C26" s="14">
        <f>'Tháng 2 nhà S '!M24</f>
        <v>3435156.4</v>
      </c>
      <c r="D26" s="14">
        <f>'Tháng 2 nhà S '!N24</f>
        <v>1668172.8720568586</v>
      </c>
      <c r="E26" s="14">
        <f>'Tháng 2 nhà S '!O24</f>
        <v>15018172.872056859</v>
      </c>
      <c r="F26" s="49">
        <f t="shared" si="0"/>
        <v>0.12495676944246131</v>
      </c>
    </row>
    <row r="27" spans="1:6" x14ac:dyDescent="0.3">
      <c r="A27" s="16" t="s">
        <v>129</v>
      </c>
      <c r="B27" s="14">
        <f>'[1]Tháng 9 nhà S '!L25</f>
        <v>1745166666.6666663</v>
      </c>
      <c r="C27" s="17">
        <f>SUBTOTAL(109,C2:C26)</f>
        <v>923611424.08333337</v>
      </c>
      <c r="D27" s="17">
        <f>SUBTOTAL(109,D2:D26)</f>
        <v>385323927.95359504</v>
      </c>
      <c r="E27" s="17">
        <f>SUBTOTAL(109,E2:E26)</f>
        <v>3979793617.5133681</v>
      </c>
      <c r="F27" s="51">
        <f t="shared" si="0"/>
        <v>0.22079491621827627</v>
      </c>
    </row>
    <row r="28" spans="1:6" x14ac:dyDescent="0.3">
      <c r="A28" s="16"/>
      <c r="B28" s="17"/>
      <c r="C28" s="17"/>
      <c r="D28" s="17"/>
      <c r="E28" s="17"/>
      <c r="F28" s="51"/>
    </row>
    <row r="30" spans="1:6" x14ac:dyDescent="0.3">
      <c r="B30" s="50"/>
      <c r="C30" s="50"/>
      <c r="D30" s="50"/>
      <c r="E30" s="50"/>
    </row>
    <row r="31" spans="1:6" ht="14.5" x14ac:dyDescent="0.35">
      <c r="B31" s="53"/>
      <c r="C31" s="50"/>
      <c r="D31" s="50"/>
      <c r="E31" s="50"/>
    </row>
    <row r="32" spans="1:6" x14ac:dyDescent="0.3">
      <c r="B32" s="50"/>
      <c r="C32" s="50"/>
      <c r="D32" s="50"/>
      <c r="E32" s="50"/>
      <c r="F32" s="54"/>
    </row>
    <row r="33" spans="2:5" x14ac:dyDescent="0.3">
      <c r="B33" s="50"/>
      <c r="C33" s="50"/>
      <c r="D33" s="50"/>
      <c r="E33" s="50"/>
    </row>
    <row r="34" spans="2:5" x14ac:dyDescent="0.3">
      <c r="B34" s="50"/>
      <c r="C34" s="50"/>
      <c r="D34" s="50"/>
      <c r="E34" s="50"/>
    </row>
    <row r="36" spans="2:5" x14ac:dyDescent="0.3">
      <c r="D36" s="50"/>
    </row>
    <row r="37" spans="2:5" x14ac:dyDescent="0.3">
      <c r="D37" s="5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66DA-BE59-4A1E-BA8E-5DC6862E0A02}">
  <sheetPr codeName="Sheet8"/>
  <dimension ref="A1:O427"/>
  <sheetViews>
    <sheetView topLeftCell="A116" workbookViewId="0">
      <selection activeCell="G341" sqref="G341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144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2718450</v>
      </c>
      <c r="F3" s="11">
        <v>1263197.5839855678</v>
      </c>
      <c r="G3" s="12">
        <f>D3+Table841419410132427323943485356714[[#This Row],[LỢI NHUẬN RÒNG]]</f>
        <v>9663197.5839855671</v>
      </c>
      <c r="K3" s="13" t="s">
        <v>10</v>
      </c>
      <c r="L3" s="14">
        <f>SUMIF(Table841419410132427323943485356714[CỔ ĐÔNG],K3,Table841419410132427323943485356714[VỐN CP])</f>
        <v>47388333.333333336</v>
      </c>
      <c r="M3" s="14">
        <f>SUMIF(Table841419410132427323943485356714[CỔ ĐÔNG],K3,Table841419410132427323943485356714[LỢI NHUẬN GỘP])</f>
        <v>16040184.599999998</v>
      </c>
      <c r="N3" s="14">
        <f>SUMIF(Table841419410132427323943485356714[CỔ ĐÔNG],K3,Table841419410132427323943485356714[LỢI NHUẬN RÒNG])</f>
        <v>9687014.5473513044</v>
      </c>
      <c r="O3" s="15">
        <f>SUMIF(Table841419410132427323943485356714[CỔ ĐÔNG],K3,Table841419410132427323943485356714[TỔNG NHẬN])</f>
        <v>60092380.58068464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17850000</v>
      </c>
      <c r="E4" s="11">
        <v>3738484.4</v>
      </c>
      <c r="F4" s="11">
        <v>1521238.459960246</v>
      </c>
      <c r="G4" s="12">
        <f>D4+Table841419410132427323943485356714[[#This Row],[LỢI NHUẬN RÒNG]]</f>
        <v>19371238.459960245</v>
      </c>
      <c r="K4" s="13" t="s">
        <v>9</v>
      </c>
      <c r="L4" s="14">
        <f>SUMIF(Table841419410132427323943485356714[CỔ ĐÔNG],K4,Table841419410132427323943485356714[VỐN CP])</f>
        <v>376789999.99999994</v>
      </c>
      <c r="M4" s="14">
        <f>SUMIF(Table841419410132427323943485356714[CỔ ĐÔNG],K4,Table841419410132427323943485356714[LỢI NHUẬN GỘP])</f>
        <v>120478961.22083333</v>
      </c>
      <c r="N4" s="14">
        <f>SUMIF(Table841419410132427323943485356714[CỔ ĐÔNG],K4,Table841419410132427323943485356714[LỢI NHUẬN RÒNG])</f>
        <v>69998618.697849751</v>
      </c>
      <c r="O4" s="15">
        <f>SUMIF(Table841419410132427323943485356714[CỔ ĐÔNG],Table951520511142528334044495457815[[#This Row],[CỔ ĐÔNG]],Table841419410132427323943485356714[TỔNG NHẬN])</f>
        <v>449805651.39784974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12799999.999999998</v>
      </c>
      <c r="E5" s="11">
        <v>4404552.7</v>
      </c>
      <c r="F5" s="11">
        <v>3183031.8763429103</v>
      </c>
      <c r="G5" s="12">
        <f>D5+Table841419410132427323943485356714[[#This Row],[LỢI NHUẬN RÒNG]]</f>
        <v>15983031.876342908</v>
      </c>
      <c r="K5" s="13" t="s">
        <v>13</v>
      </c>
      <c r="L5" s="14">
        <f>SUMIF(Table841419410132427323943485356714[CỔ ĐÔNG],K5,Table841419410132427323943485356714[VỐN CP])</f>
        <v>63605000</v>
      </c>
      <c r="M5" s="14">
        <f>SUMIF(Table841419410132427323943485356714[CỔ ĐÔNG],K5,Table841419410132427323943485356714[LỢI NHUẬN GỘP])</f>
        <v>23731899.766666666</v>
      </c>
      <c r="N5" s="14">
        <f>SUMIF(Table841419410132427323943485356714[CỔ ĐÔNG],K5,Table841419410132427323943485356714[LỢI NHUẬN RÒNG])</f>
        <v>14910440.726144537</v>
      </c>
      <c r="O5" s="15">
        <f>SUMIF(Table841419410132427323943485356714[CỔ ĐÔNG],Table951520511142528334044495457815[[#This Row],[CỔ ĐÔNG]],Table841419410132427323943485356714[TỔNG NHẬN])</f>
        <v>78515440.726144567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15210000</v>
      </c>
      <c r="E6" s="11">
        <v>3503862</v>
      </c>
      <c r="F6" s="11">
        <v>1367300.7126728476</v>
      </c>
      <c r="G6" s="12">
        <f>D6+Table841419410132427323943485356714[[#This Row],[LỢI NHUẬN RÒNG]]</f>
        <v>16577300.712672848</v>
      </c>
      <c r="K6" s="13" t="s">
        <v>15</v>
      </c>
      <c r="L6" s="14">
        <f>SUMIF(Table841419410132427323943485356714[CỔ ĐÔNG],K6,Table841419410132427323943485356714[VỐN CP])</f>
        <v>27896666.666666668</v>
      </c>
      <c r="M6" s="14">
        <f>SUMIF(Table841419410132427323943485356714[CỔ ĐÔNG],K6,Table841419410132427323943485356714[LỢI NHUẬN GỘP])</f>
        <v>12163343.683333334</v>
      </c>
      <c r="N6" s="14">
        <f>SUMIF(Table841419410132427323943485356714[CỔ ĐÔNG],K6,Table841419410132427323943485356714[LỢI NHUẬN RÒNG])</f>
        <v>7992989.9837711863</v>
      </c>
      <c r="O6" s="15">
        <f>SUMIF(Table841419410132427323943485356714[CỔ ĐÔNG],K6,Table841419410132427323943485356714[TỔNG NHẬN])</f>
        <v>37398173.000437856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7572840.4000000004</v>
      </c>
      <c r="F7" s="11">
        <v>5084134.5274344981</v>
      </c>
      <c r="G7" s="12">
        <f>D7+Table841419410132427323943485356714[[#This Row],[LỢI NHUẬN RÒNG]]</f>
        <v>23084134.527434498</v>
      </c>
      <c r="I7" s="11"/>
      <c r="K7" s="13" t="s">
        <v>17</v>
      </c>
      <c r="L7" s="14">
        <f>SUMIF(Table841419410132427323943485356714[CỔ ĐÔNG],K7,Table841419410132427323943485356714[VỐN CP])</f>
        <v>6795000</v>
      </c>
      <c r="M7" s="14">
        <f>SUMIF(Table841419410132427323943485356714[CỔ ĐÔNG],K7,Table841419410132427323943485356714[LỢI NHUẬN GỘP])</f>
        <v>3766333.5</v>
      </c>
      <c r="N7" s="14">
        <f>SUMIF(Table841419410132427323943485356714[CỔ ĐÔNG],K7,Table841419410132427323943485356714[LỢI NHUẬN RÒNG])</f>
        <v>2748451.4278399134</v>
      </c>
      <c r="O7" s="15">
        <f>SUMIF(Table841419410132427323943485356714[CỔ ĐÔNG],Table951520511142528334044495457815[[#This Row],[CỔ ĐÔNG]],Table841419410132427323943485356714[TỔNG NHẬN])</f>
        <v>9543451.4278399125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9500000</v>
      </c>
      <c r="E8" s="11">
        <v>5304253.8041666653</v>
      </c>
      <c r="F8" s="11">
        <v>3500855.8404859491</v>
      </c>
      <c r="G8" s="12">
        <f>D8+Table841419410132427323943485356714[[#This Row],[LỢI NHUẬN RÒNG]]</f>
        <v>13000855.840485949</v>
      </c>
      <c r="K8" s="13" t="s">
        <v>19</v>
      </c>
      <c r="L8" s="14">
        <f>SUMIF(Table841419410132427323943485356714[CỔ ĐÔNG],K8,Table841419410132427323943485356714[VỐN CP])</f>
        <v>392836666.66666669</v>
      </c>
      <c r="M8" s="14">
        <f>SUMIF(Table841419410132427323943485356714[CỔ ĐÔNG],K8,Table841419410132427323943485356714[LỢI NHUẬN GỘP])</f>
        <v>123169353.10833333</v>
      </c>
      <c r="N8" s="14">
        <f>SUMIF(Table841419410132427323943485356714[CỔ ĐÔNG],K8,Table841419410132427323943485356714[LỢI NHUẬN RÒNG])</f>
        <v>70819007.836346</v>
      </c>
      <c r="O8" s="15">
        <f>SUMIF(Table841419410132427323943485356714[CỔ ĐÔNG],Table951520511142528334044495457815[[#This Row],[CỔ ĐÔNG]],Table841419410132427323943485356714[TỔNG NHẬN])</f>
        <v>466672707.20301259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3849609.9666666668</v>
      </c>
      <c r="F9" s="11">
        <v>2363464.7586959787</v>
      </c>
      <c r="G9" s="12">
        <f>D9+Table841419410132427323943485356714[[#This Row],[LỢI NHUẬN RÒNG]]</f>
        <v>11363464.758695979</v>
      </c>
      <c r="K9" s="13" t="s">
        <v>21</v>
      </c>
      <c r="L9" s="14">
        <f>SUMIF(Table841419410132427323943485356714[CỔ ĐÔNG],K9,Table841419410132427323943485356714[VỐN CP])</f>
        <v>346901666.66666669</v>
      </c>
      <c r="M9" s="14">
        <f>SUMIF(Table841419410132427323943485356714[CỔ ĐÔNG],K9,Table841419410132427323943485356714[LỢI NHUẬN GỘP])</f>
        <v>120417209.7291667</v>
      </c>
      <c r="N9" s="14">
        <f>SUMIF(Table841419410132427323943485356714[CỔ ĐÔNG],K9,Table841419410132427323943485356714[LỢI NHUẬN RÒNG])</f>
        <v>71788830.649910122</v>
      </c>
      <c r="O9" s="15">
        <f>SUMIF(Table841419410132427323943485356714[CỔ ĐÔNG],Table951520511142528334044495457815[[#This Row],[CỔ ĐÔNG]],Table841419410132427323943485356714[TỔNG NHẬN])</f>
        <v>421707530.01657683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2053280.25</v>
      </c>
      <c r="F10" s="11">
        <v>1247542.7516788477</v>
      </c>
      <c r="G10" s="12">
        <f>D10+Table841419410132427323943485356714[[#This Row],[LỢI NHUẬN RÒNG]]</f>
        <v>6747542.7516788477</v>
      </c>
      <c r="I10" s="11"/>
      <c r="K10" s="13" t="s">
        <v>23</v>
      </c>
      <c r="L10" s="14">
        <f>SUMIF(Table841419410132427323943485356714[CỔ ĐÔNG],K10,Table841419410132427323943485356714[VỐN CP])</f>
        <v>35435000</v>
      </c>
      <c r="M10" s="14">
        <f>SUMIF(Table841419410132427323943485356714[CỔ ĐÔNG],K10,Table841419410132427323943485356714[LỢI NHUẬN GỘP])</f>
        <v>13456326.566666666</v>
      </c>
      <c r="N10" s="14">
        <f>SUMIF(Table841419410132427323943485356714[CỔ ĐÔNG],K10,Table841419410132427323943485356714[LỢI NHUẬN RÒNG])</f>
        <v>8432663.2693952825</v>
      </c>
      <c r="O10" s="15">
        <f>SUMIF(Table841419410132427323943485356714[CỔ ĐÔNG],Table951520511142528334044495457815[[#This Row],[CỔ ĐÔNG]],Table841419410132427323943485356714[TỔNG NHẬN])</f>
        <v>43867663.269395277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3857488.2</v>
      </c>
      <c r="F11" s="11">
        <v>2505863.4701842456</v>
      </c>
      <c r="G11" s="12">
        <f>D11+Table841419410132427323943485356714[[#This Row],[LỢI NHUẬN RÒNG]]</f>
        <v>17285863.470184244</v>
      </c>
      <c r="K11" s="13" t="s">
        <v>25</v>
      </c>
      <c r="L11" s="14">
        <f>SUMIF(Table841419410132427323943485356714[CỔ ĐÔNG],K11,Table841419410132427323943485356714[VỐN CP])</f>
        <v>96943333.333333328</v>
      </c>
      <c r="M11" s="14">
        <f>SUMIF(Table841419410132427323943485356714[CỔ ĐÔNG],K11,Table841419410132427323943485356714[LỢI NHUẬN GỘP])</f>
        <v>33107886.050000004</v>
      </c>
      <c r="N11" s="14">
        <f>SUMIF(Table841419410132427323943485356714[CỔ ĐÔNG],K11,Table841419410132427323943485356714[LỢI NHUẬN RÒNG])</f>
        <v>19175792.560387276</v>
      </c>
      <c r="O11" s="15">
        <f>SUMIF(Table841419410132427323943485356714[CỔ ĐÔNG],Table951520511142528334044495457815[[#This Row],[CỔ ĐÔNG]],Table841419410132427323943485356714[TỔNG NHẬN])</f>
        <v>116119125.89372063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1991365.5</v>
      </c>
      <c r="F12" s="11">
        <v>634394.6305860423</v>
      </c>
      <c r="G12" s="12">
        <f>D12+Table841419410132427323943485356714[[#This Row],[LỢI NHUẬN RÒNG]]</f>
        <v>14464394.630586043</v>
      </c>
      <c r="K12" s="13" t="s">
        <v>27</v>
      </c>
      <c r="L12" s="14">
        <f>SUMIF(Table841419410132427323943485356714[CỔ ĐÔNG],K12,Table841419410132427323943485356714[VỐN CP])</f>
        <v>79870000</v>
      </c>
      <c r="M12" s="14">
        <f>SUMIF(Table841419410132427323943485356714[CỔ ĐÔNG],K12,Table841419410132427323943485356714[LỢI NHUẬN GỘP])</f>
        <v>26048951.524999999</v>
      </c>
      <c r="N12" s="14">
        <f>SUMIF(Table841419410132427323943485356714[CỔ ĐÔNG],K12,Table841419410132427323943485356714[LỢI NHUẬN RÒNG])</f>
        <v>15845112.734837189</v>
      </c>
      <c r="O12" s="15">
        <f>SUMIF(Table841419410132427323943485356714[CỔ ĐÔNG],Table951520511142528334044495457815[[#This Row],[CỔ ĐÔNG]],Table841419410132427323943485356714[TỔNG NHẬN])</f>
        <v>95715112.734837189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SUMIF(Table841419410132427323943485356714[CỔ ĐÔNG],K13,Table841419410132427323943485356714[VỐN CP])</f>
        <v>38848333.333333328</v>
      </c>
      <c r="M13" s="14">
        <f>SUMIF(Table841419410132427323943485356714[CỔ ĐÔNG],K13,Table841419410132427323943485356714[LỢI NHUẬN GỘP])</f>
        <v>15216434.449999999</v>
      </c>
      <c r="N13" s="14">
        <f>SUMIF(Table841419410132427323943485356714[CỔ ĐÔNG],K13,Table841419410132427323943485356714[LỢI NHUẬN RÒNG])</f>
        <v>9476016.2755249105</v>
      </c>
      <c r="O13" s="15">
        <f>SUMIF(Table841419410132427323943485356714[CỔ ĐÔNG],Table951520511142528334044495457815[[#This Row],[CỔ ĐÔNG]],Table841419410132427323943485356714[TỔNG NHẬN])</f>
        <v>49832865.958858237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20400000</v>
      </c>
      <c r="E14" s="11">
        <v>2922231.2</v>
      </c>
      <c r="F14" s="11">
        <v>562044.6391624331</v>
      </c>
      <c r="G14" s="12">
        <f>D14+Table841419410132427323943485356714[[#This Row],[LỢI NHUẬN RÒNG]]</f>
        <v>20962044.639162432</v>
      </c>
      <c r="K14" s="13" t="s">
        <v>31</v>
      </c>
      <c r="L14" s="14">
        <f>SUMIF(Table841419410132427323943485356714[CỔ ĐÔNG],K14,Table841419410132427323943485356714[VỐN CP])</f>
        <v>146066666.66666666</v>
      </c>
      <c r="M14" s="14">
        <f>SUMIF(Table841419410132427323943485356714[CỔ ĐÔNG],K14,Table841419410132427323943485356714[LỢI NHUẬN GỘP])</f>
        <v>46602819.166666664</v>
      </c>
      <c r="N14" s="14">
        <f>SUMIF(Table841419410132427323943485356714[CỔ ĐÔNG],K14,Table841419410132427323943485356714[LỢI NHUẬN RÒNG])</f>
        <v>25464144.879468776</v>
      </c>
      <c r="O14" s="15">
        <f>SUMIF(Table841419410132427323943485356714[CỔ ĐÔNG],Table951520511142528334044495457815[[#This Row],[CỔ ĐÔNG]],Table841419410132427323943485356714[TỔNG NHẬN])</f>
        <v>174547844.24613544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2363770.9500000002</v>
      </c>
      <c r="F15" s="11">
        <v>1601118.3425860628</v>
      </c>
      <c r="G15" s="12">
        <f>D15+Table841419410132427323943485356714[[#This Row],[LỢI NHUẬN RÒNG]]</f>
        <v>10751118.342586063</v>
      </c>
      <c r="K15" s="13" t="s">
        <v>33</v>
      </c>
      <c r="L15" s="14">
        <f>SUMIF(Table841419410132427323943485356714[CỔ ĐÔNG],K15,Table841419410132427323943485356714[VỐN CP])</f>
        <v>61608333.333333336</v>
      </c>
      <c r="M15" s="14">
        <f>SUMIF(Table841419410132427323943485356714[CỔ ĐÔNG],K15,Table841419410132427323943485356714[LỢI NHUẬN GỘP])</f>
        <v>23562281.18333333</v>
      </c>
      <c r="N15" s="14">
        <f>SUMIF(Table841419410132427323943485356714[CỔ ĐÔNG],K15,Table841419410132427323943485356714[LỢI NHUẬN RÒNG])</f>
        <v>14828379.759607859</v>
      </c>
      <c r="O15" s="15">
        <f>SUMIF(Table841419410132427323943485356714[CỔ ĐÔNG],Table951520511142528334044495457815[[#This Row],[CỔ ĐÔNG]],Table841419410132427323943485356714[TỔNG NHẬN])</f>
        <v>77945229.442941189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2996721.6</v>
      </c>
      <c r="F16" s="11">
        <v>2388973.9416536661</v>
      </c>
      <c r="G16" s="12">
        <f>D16+Table841419410132427323943485356714[[#This Row],[LỢI NHUẬN RÒNG]]</f>
        <v>8548973.9416536652</v>
      </c>
      <c r="K16" s="13" t="s">
        <v>35</v>
      </c>
      <c r="L16" s="14">
        <f>SUMIF(Table841419410132427323943485356714[CỔ ĐÔNG],K16,Table841419410132427323943485356714[VỐN CP])</f>
        <v>51421666.666666672</v>
      </c>
      <c r="M16" s="14">
        <f>SUMIF(Table841419410132427323943485356714[CỔ ĐÔNG],K16,Table841419410132427323943485356714[LỢI NHUẬN GỘP])</f>
        <v>19789201.116666671</v>
      </c>
      <c r="N16" s="14">
        <f>SUMIF(Table841419410132427323943485356714[CỔ ĐÔNG],K16,Table841419410132427323943485356714[LỢI NHUẬN RÒNG])</f>
        <v>12390799.655320248</v>
      </c>
      <c r="O16" s="15">
        <f>SUMIF(Table841419410132427323943485356714[CỔ ĐÔNG],Table951520511142528334044495457815[[#This Row],[CỔ ĐÔNG]],Table841419410132427323943485356714[TỔNG NHẬN])</f>
        <v>66829499.021986909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2537828.4</v>
      </c>
      <c r="F17" s="11">
        <v>1047912.7683177323</v>
      </c>
      <c r="G17" s="12">
        <f>D17+Table841419410132427323943485356714[[#This Row],[LỢI NHUẬN RÒNG]]</f>
        <v>10047912.768317733</v>
      </c>
      <c r="K17" s="16" t="s">
        <v>37</v>
      </c>
      <c r="L17" s="17">
        <f>SUMIF(Table841419410132427323943485356714[CỔ ĐÔNG],K17,Table841419410132427323943485356714[VỐN CP])</f>
        <v>160675000</v>
      </c>
      <c r="M17" s="17">
        <f>SUMIF(Table841419410132427323943485356714[CỔ ĐÔNG],K17,Table841419410132427323943485356714[LỢI NHUẬN GỘP])</f>
        <v>59383535.266666666</v>
      </c>
      <c r="N17" s="17">
        <f>SUMIF(Table841419410132427323943485356714[CỔ ĐÔNG],K17,Table841419410132427323943485356714[LỢI NHUẬN RÒNG])</f>
        <v>37187471.067263722</v>
      </c>
      <c r="O17" s="15">
        <f>SUMIF(Table841419410132427323943485356714[CỔ ĐÔNG],Table951520511142528334044495457815[[#This Row],[CỔ ĐÔNG]],Table841419410132427323943485356714[TỔNG NHẬN])</f>
        <v>203896536.46726373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2028298.0666666657</v>
      </c>
      <c r="F18" s="11">
        <v>958679.52768505516</v>
      </c>
      <c r="G18" s="12">
        <f>D18+Table841419410132427323943485356714[[#This Row],[LỢI NHUẬN RÒNG]]</f>
        <v>5958679.5276850555</v>
      </c>
      <c r="K18" s="13" t="s">
        <v>39</v>
      </c>
      <c r="L18" s="17">
        <f>SUMIF(Table841419410132427323943485356714[CỔ ĐÔNG],K18,Table841419410132427323943485356714[VỐN CP])</f>
        <v>1583333.3333333335</v>
      </c>
      <c r="M18" s="17">
        <f>SUMIF(Table841419410132427323943485356714[CỔ ĐÔNG],K18,Table841419410132427323943485356714[LỢI NHUẬN GỘP])</f>
        <v>305438.81666666642</v>
      </c>
      <c r="N18" s="17">
        <f>SUMIF(Table841419410132427323943485356714[CỔ ĐÔNG],K18,Table841419410132427323943485356714[LỢI NHUẬN RÒNG])</f>
        <v>158696.55499228538</v>
      </c>
      <c r="O18" s="15">
        <f>SUMIF(Table841419410132427323943485356714[CỔ ĐÔNG],Table951520511142528334044495457815[[#This Row],[CỔ ĐÔNG]],Table841419410132427323943485356714[TỔNG NHẬN])</f>
        <v>1742029.8883256188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781513.5</v>
      </c>
      <c r="F19" s="11">
        <v>451810.42777300661</v>
      </c>
      <c r="G19" s="12">
        <f>D19+Table841419410132427323943485356714[[#This Row],[LỢI NHUẬN RÒNG]]</f>
        <v>1551810.4277730067</v>
      </c>
      <c r="I19" s="11"/>
      <c r="K19" s="13" t="s">
        <v>41</v>
      </c>
      <c r="L19" s="17">
        <f>SUMIF(Table841419410132427323943485356714[CỔ ĐÔNG],K19,Table841419410132427323943485356714[VỐN CP])</f>
        <v>2533333.3333333335</v>
      </c>
      <c r="M19" s="17">
        <f>SUMIF(Table841419410132427323943485356714[CỔ ĐÔNG],K19,Table841419410132427323943485356714[LỢI NHUẬN GỘP])</f>
        <v>772725.4166666664</v>
      </c>
      <c r="N19" s="17">
        <f>SUMIF(Table841419410132427323943485356714[CỔ ĐÔNG],K19,Table841419410132427323943485356714[LỢI NHUẬN RÒNG])</f>
        <v>471324.82019219082</v>
      </c>
      <c r="O19" s="15">
        <f>SUMIF(Table841419410132427323943485356714[CỔ ĐÔNG],Table951520511142528334044495457815[[#This Row],[CỔ ĐÔNG]],Table841419410132427323943485356714[TỔNG NHẬN])</f>
        <v>3004658.1535255243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776700</v>
      </c>
      <c r="F20" s="11">
        <v>360913.59542444797</v>
      </c>
      <c r="G20" s="12">
        <f>D20+Table841419410132427323943485356714[[#This Row],[LỢI NHUẬN RÒNG]]</f>
        <v>2760913.5954244481</v>
      </c>
      <c r="K20" s="13" t="s">
        <v>42</v>
      </c>
      <c r="L20" s="17">
        <f>SUMIF(Table841419410132427323943485356714[CỔ ĐÔNG],K20,Table841419410132427323943485356714[VỐN CP])</f>
        <v>2083333.3333333335</v>
      </c>
      <c r="M20" s="17">
        <f>SUMIF(Table841419410132427323943485356714[CỔ ĐÔNG],K20,Table841419410132427323943485356714[LỢI NHUẬN GỘP])</f>
        <v>952511.76666666637</v>
      </c>
      <c r="N20" s="17">
        <f>SUMIF(Table841419410132427323943485356714[CỔ ĐÔNG],K20,Table841419410132427323943485356714[LỢI NHUẬN RÒNG])</f>
        <v>604960.22594184079</v>
      </c>
      <c r="O20" s="15">
        <f>SUMIF(Table841419410132427323943485356714[CỔ ĐÔNG],Table951520511142528334044495457815[[#This Row],[CỔ ĐÔNG]],Table841419410132427323943485356714[TỔNG NHẬN])</f>
        <v>2688293.5592751745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5100000</v>
      </c>
      <c r="E21" s="11">
        <v>1068138.3999999999</v>
      </c>
      <c r="F21" s="11">
        <v>434639.55998864176</v>
      </c>
      <c r="G21" s="12">
        <f>D21+Table841419410132427323943485356714[[#This Row],[LỢI NHUẬN RÒNG]]</f>
        <v>5534639.5599886421</v>
      </c>
      <c r="K21" s="13" t="s">
        <v>43</v>
      </c>
      <c r="L21" s="17">
        <f>SUMIF(Table841419410132427323943485356714[CỔ ĐÔNG],K21,Table841419410132427323943485356714[VỐN CP])</f>
        <v>90518333.333333343</v>
      </c>
      <c r="M21" s="17">
        <f>SUMIF(Table841419410132427323943485356714[CỔ ĐÔNG],K21,Table841419410132427323943485356714[LỢI NHUẬN GỘP])</f>
        <v>28732593.999999996</v>
      </c>
      <c r="N21" s="17">
        <f>SUMIF(Table841419410132427323943485356714[CỔ ĐÔNG],K21,Table841419410132427323943485356714[LỢI NHUẬN RÒNG])</f>
        <v>16248688.564276338</v>
      </c>
      <c r="O21" s="15">
        <f>SUMIF(Table841419410132427323943485356714[CỔ ĐÔNG],Table951520511142528334044495457815[[#This Row],[CỔ ĐÔNG]],Table841419410132427323943485356714[TỔNG NHẬN])</f>
        <v>106767021.89760967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4266666.666666666</v>
      </c>
      <c r="E22" s="18">
        <v>1468184.2333333336</v>
      </c>
      <c r="F22" s="18">
        <v>1061010.6254476369</v>
      </c>
      <c r="G22" s="12">
        <f>D22+Table841419410132427323943485356714[[#This Row],[LỢI NHUẬN RÒNG]]</f>
        <v>5327677.2921143025</v>
      </c>
      <c r="K22" s="13" t="s">
        <v>44</v>
      </c>
      <c r="L22" s="17">
        <f>SUMIF(Table841419410132427323943485356714[CỔ ĐÔNG],K22,Table841419410132427323943485356714[VỐN CP])</f>
        <v>4700000</v>
      </c>
      <c r="M22" s="17">
        <f>SUMIF(Table841419410132427323943485356714[CỔ ĐÔNG],K22,Table841419410132427323943485356714[LỢI NHUẬN GỘP])</f>
        <v>3336610.5333333332</v>
      </c>
      <c r="N22" s="17">
        <f>SUMIF(Table841419410132427323943485356714[CỔ ĐÔNG],K22,Table841419410132427323943485356714[LỢI NHUẬN RÒNG])</f>
        <v>2250735.0638685361</v>
      </c>
      <c r="O22" s="15">
        <f>SUMIF(Table841419410132427323943485356714[CỔ ĐÔNG],Table951520511142528334044495457815[[#This Row],[CỔ ĐÔNG]],Table841419410132427323943485356714[TỔNG NHẬN])</f>
        <v>6950735.0638685366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5070000</v>
      </c>
      <c r="E23" s="11">
        <v>1167954</v>
      </c>
      <c r="F23" s="11">
        <v>455766.90422428248</v>
      </c>
      <c r="G23" s="12">
        <f>D23+Table841419410132427323943485356714[[#This Row],[LỢI NHUẬN RÒNG]]</f>
        <v>5525766.9042242821</v>
      </c>
      <c r="K23" s="13" t="s">
        <v>45</v>
      </c>
      <c r="L23" s="17">
        <f>SUMIF(Table841419410132427323943485356714[CỔ ĐÔNG],K23,Table841419410132427323943485356714[VỐN CP])</f>
        <v>13050000</v>
      </c>
      <c r="M23" s="17">
        <f>SUMIF(Table841419410132427323943485356714[CỔ ĐÔNG],K23,Table841419410132427323943485356714[LỢI NHUẬN GỘP])</f>
        <v>4849802.75</v>
      </c>
      <c r="N23" s="17">
        <f>SUMIF(Table841419410132427323943485356714[CỔ ĐÔNG],K23,Table841419410132427323943485356714[LỢI NHUẬN RÒNG])</f>
        <v>3239575.8543384904</v>
      </c>
      <c r="O23" s="15">
        <f>SUMIF(Table841419410132427323943485356714[CỔ ĐÔNG],Table951520511142528334044495457815[[#This Row],[CỔ ĐÔNG]],Table841419410132427323943485356714[TỔNG NHẬN])</f>
        <v>17798092.204338491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2718450</v>
      </c>
      <c r="F24" s="11">
        <v>1263197.5839855678</v>
      </c>
      <c r="G24" s="12">
        <f>D24+Table841419410132427323943485356714[[#This Row],[LỢI NHUẬN RÒNG]]</f>
        <v>9663197.5839855671</v>
      </c>
      <c r="K24" s="13" t="s">
        <v>46</v>
      </c>
      <c r="L24" s="17">
        <f>SUMIF(Table841419410132427323943485356714[CỔ ĐÔNG],K24,Table841419410132427323943485356714[VỐN CP])</f>
        <v>13350000</v>
      </c>
      <c r="M24" s="17">
        <f>SUMIF(Table841419410132427323943485356714[CỔ ĐÔNG],K24,Table841419410132427323943485356714[LỢI NHUẬN GỘP])</f>
        <v>5127476.5499999989</v>
      </c>
      <c r="N24" s="17">
        <f>SUMIF(Table841419410132427323943485356714[CỔ ĐÔNG],K24,Table841419410132427323943485356714[LỢI NHUẬN RÒNG])</f>
        <v>3449913.5925158574</v>
      </c>
      <c r="O24" s="15">
        <f>SUMIF(Table841419410132427323943485356714[CỔ ĐÔNG],Table951520511142528334044495457815[[#This Row],[CỔ ĐÔNG]],Table841419410132427323943485356714[TỔNG NHẬN])</f>
        <v>16799913.59251586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17850000</v>
      </c>
      <c r="E25" s="11">
        <v>3738484.4</v>
      </c>
      <c r="F25" s="11">
        <v>1521238.459960246</v>
      </c>
      <c r="G25" s="12">
        <f>D25+Table841419410132427323943485356714[[#This Row],[LỢI NHUẬN RÒNG]]</f>
        <v>19371238.459960245</v>
      </c>
      <c r="K25" s="13" t="s">
        <v>47</v>
      </c>
      <c r="L25" s="14">
        <f>SUM(L2:L24)</f>
        <v>2060899999.9999995</v>
      </c>
      <c r="M25" s="14">
        <f>SUM(M2:M24)</f>
        <v>701011880.76666653</v>
      </c>
      <c r="N25" s="14">
        <f>SUM(N2:N24)</f>
        <v>417169628.74714363</v>
      </c>
      <c r="O25" s="14">
        <f>SUM(O2:O24)</f>
        <v>2508239955.7471437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12799999.999999998</v>
      </c>
      <c r="E26" s="11">
        <v>4404552.7</v>
      </c>
      <c r="F26" s="11">
        <v>3183031.8763429103</v>
      </c>
      <c r="G26" s="12">
        <f>D26+Table841419410132427323943485356714[[#This Row],[LỢI NHUẬN RÒNG]]</f>
        <v>15983031.876342908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15210000</v>
      </c>
      <c r="E27" s="11">
        <v>3503862</v>
      </c>
      <c r="F27" s="11">
        <v>1367300.7126728476</v>
      </c>
      <c r="G27" s="12">
        <f>D27+Table841419410132427323943485356714[[#This Row],[LỢI NHUẬN RÒNG]]</f>
        <v>16577300.712672848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7572840.4000000004</v>
      </c>
      <c r="F28" s="11">
        <v>5084134.5274344981</v>
      </c>
      <c r="G28" s="12">
        <f>D28+Table841419410132427323943485356714[[#This Row],[LỢI NHUẬN RÒNG]]</f>
        <v>23084134.527434498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11400000</v>
      </c>
      <c r="E29" s="11">
        <v>6365104.5649999985</v>
      </c>
      <c r="F29" s="11">
        <v>4201027.0085831396</v>
      </c>
      <c r="G29" s="12">
        <f>D29+Table841419410132427323943485356714[[#This Row],[LỢI NHUẬN RÒNG]]</f>
        <v>15601027.00858314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4619531.96</v>
      </c>
      <c r="F30" s="11">
        <v>2836157.7104351749</v>
      </c>
      <c r="G30" s="12">
        <f>D30+Table841419410132427323943485356714[[#This Row],[LỢI NHUẬN RÒNG]]</f>
        <v>13636157.710435174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1642624.2</v>
      </c>
      <c r="F31" s="11">
        <v>998034.20134307817</v>
      </c>
      <c r="G31" s="12">
        <f>D31+Table841419410132427323943485356714[[#This Row],[LỢI NHUẬN RÒNG]]</f>
        <v>5398034.2013430782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4821860.25</v>
      </c>
      <c r="F32" s="11">
        <v>3132329.3377303071</v>
      </c>
      <c r="G32" s="12">
        <f>D32+Table841419410132427323943485356714[[#This Row],[LỢI NHUẬN RÒNG]]</f>
        <v>21607329.337730307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2655154</v>
      </c>
      <c r="F33" s="11">
        <v>845860</v>
      </c>
      <c r="G33" s="12">
        <f>D33+Table841419410132427323943485356714[[#This Row],[LỢI NHUẬN RÒNG]]</f>
        <v>19285860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25500000</v>
      </c>
      <c r="E35" s="11">
        <v>3652789</v>
      </c>
      <c r="F35" s="11">
        <v>702555.79895304143</v>
      </c>
      <c r="G35" s="12">
        <f>D35+Table841419410132427323943485356714[[#This Row],[LỢI NHUẬN RÒNG]]</f>
        <v>26202555.798953041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3151694.6</v>
      </c>
      <c r="F36" s="11">
        <v>2134824.4567814171</v>
      </c>
      <c r="G36" s="12">
        <f>D36+Table841419410132427323943485356714[[#This Row],[LỢI NHUẬN RÒNG]]</f>
        <v>14334824.456781417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1498360.8</v>
      </c>
      <c r="F37" s="11">
        <v>1194486.970826833</v>
      </c>
      <c r="G37" s="12">
        <f>D37+Table841419410132427323943485356714[[#This Row],[LỢI NHUẬN RÒNG]]</f>
        <v>4274486.9708268326</v>
      </c>
      <c r="L37" s="11">
        <f>N25+'Tháng 1 nhà T  '!N17</f>
        <v>694438288.19686985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2537828.4</v>
      </c>
      <c r="F38" s="11">
        <v>1047912.7683177323</v>
      </c>
      <c r="G38" s="12">
        <f>D38+Table841419410132427323943485356714[[#This Row],[LỢI NHUẬN RÒNG]]</f>
        <v>10047912.768317733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2028298.0666666657</v>
      </c>
      <c r="F39" s="11">
        <v>958679.52768505516</v>
      </c>
      <c r="G39" s="12">
        <f>D39+Table841419410132427323943485356714[[#This Row],[LỢI NHUẬN RÒNG]]</f>
        <v>5958679.5276850555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781513.5</v>
      </c>
      <c r="F40" s="11">
        <v>451810.42777300661</v>
      </c>
      <c r="G40" s="12">
        <f>D40+Table841419410132427323943485356714[[#This Row],[LỢI NHUẬN RÒNG]]</f>
        <v>1551810.4277730067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1553400</v>
      </c>
      <c r="F41" s="11">
        <v>721827.19084889593</v>
      </c>
      <c r="G41" s="12">
        <f>D41+Table841419410132427323943485356714[[#This Row],[LỢI NHUẬN RÒNG]]</f>
        <v>5521827.1908488963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5100000</v>
      </c>
      <c r="E42" s="11">
        <v>1068138.3999999999</v>
      </c>
      <c r="F42" s="11">
        <v>434639.55998864176</v>
      </c>
      <c r="G42" s="12">
        <f>D42+Table841419410132427323943485356714[[#This Row],[LỢI NHUẬN RÒNG]]</f>
        <v>5534639.5599886421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5070000</v>
      </c>
      <c r="E43" s="11">
        <v>1167954</v>
      </c>
      <c r="F43" s="11">
        <v>455766.90422428248</v>
      </c>
      <c r="G43" s="12">
        <f>D43+Table841419410132427323943485356714[[#This Row],[LỢI NHUẬN RÒNG]]</f>
        <v>5525766.9042242821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3786420.2</v>
      </c>
      <c r="F44" s="11">
        <v>2542067.263717249</v>
      </c>
      <c r="G44" s="12">
        <f>D44+Table841419410132427323943485356714[[#This Row],[LỢI NHUẬN RÒNG]]</f>
        <v>11542067.263717249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5700000</v>
      </c>
      <c r="E45" s="11">
        <v>3182552.2824999993</v>
      </c>
      <c r="F45" s="11">
        <v>2100513.5042915698</v>
      </c>
      <c r="G45" s="12">
        <f>D45+Table841419410132427323943485356714[[#This Row],[LỢI NHUẬN RÒNG]]</f>
        <v>7800513.5042915698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2309765.98</v>
      </c>
      <c r="F46" s="11">
        <v>1418078.8552175874</v>
      </c>
      <c r="G46" s="12">
        <f>D46+Table841419410132427323943485356714[[#This Row],[LỢI NHUẬN RÒNG]]</f>
        <v>6818078.8552175872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1231968.1499999999</v>
      </c>
      <c r="F47" s="11">
        <v>748525.65100730862</v>
      </c>
      <c r="G47" s="12">
        <f>D47+Table841419410132427323943485356714[[#This Row],[LỢI NHUẬN RÒNG]]</f>
        <v>4048525.6510073086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2893116.15</v>
      </c>
      <c r="F48" s="11">
        <v>1879397.6026381843</v>
      </c>
      <c r="G48" s="12">
        <f>D48+Table841419410132427323943485356714[[#This Row],[LỢI NHUẬN RÒNG]]</f>
        <v>12964397.602638185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1991365.5</v>
      </c>
      <c r="F49" s="11">
        <v>634394.6305860423</v>
      </c>
      <c r="G49" s="12">
        <f>D49+Table841419410132427323943485356714[[#This Row],[LỢI NHUẬN RÒNG]]</f>
        <v>14464394.630586043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4727541.9000000004</v>
      </c>
      <c r="F51" s="11">
        <v>3202236.6851721257</v>
      </c>
      <c r="G51" s="12">
        <f>D51+Table841419410132427323943485356714[[#This Row],[LỢI NHUẬN RÒNG]]</f>
        <v>21502236.685172126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2996721.6</v>
      </c>
      <c r="F52" s="11">
        <v>2388973.9416536661</v>
      </c>
      <c r="G52" s="12">
        <f>D52+Table841419410132427323943485356714[[#This Row],[LỢI NHUẬN RÒNG]]</f>
        <v>8548973.9416536652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3806742.6</v>
      </c>
      <c r="F53" s="11">
        <v>1571869.1524765983</v>
      </c>
      <c r="G53" s="12">
        <f>D53+Table841419410132427323943485356714[[#This Row],[LỢI NHUẬN RÒNG]]</f>
        <v>15071869.152476598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3042447.0999999987</v>
      </c>
      <c r="F54" s="11">
        <v>1438019.2915275828</v>
      </c>
      <c r="G54" s="12">
        <f>D54+Table841419410132427323943485356714[[#This Row],[LỢI NHUẬN RÒNG]]</f>
        <v>8938019.2915275823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2344540.5</v>
      </c>
      <c r="F55" s="11">
        <v>1355431.2833190199</v>
      </c>
      <c r="G55" s="12">
        <f>D55+Table841419410132427323943485356714[[#This Row],[LỢI NHUẬN RÒNG]]</f>
        <v>4655431.2833190197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4266666.666666666</v>
      </c>
      <c r="E56" s="18">
        <v>1468184.2333333336</v>
      </c>
      <c r="F56" s="18">
        <v>1061010.6254476369</v>
      </c>
      <c r="G56" s="12">
        <f>D56+Table841419410132427323943485356714[[#This Row],[LỢI NHUẬN RÒNG]]</f>
        <v>5327677.2921143025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1498360.8</v>
      </c>
      <c r="F57" s="11">
        <v>1194486.970826833</v>
      </c>
      <c r="G57" s="12">
        <f>D57+Table841419410132427323943485356714[[#This Row],[LỢI NHUẬN RÒNG]]</f>
        <v>4274486.9708268326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634457.1</v>
      </c>
      <c r="F58" s="11">
        <v>261978.19207943307</v>
      </c>
      <c r="G58" s="12">
        <f>D58+Table841419410132427323943485356714[[#This Row],[LỢI NHUẬN RÒNG]]</f>
        <v>2511978.1920794332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4266666.666666666</v>
      </c>
      <c r="E59" s="11">
        <v>1468184.2333333336</v>
      </c>
      <c r="F59" s="11">
        <v>1061010.6254476369</v>
      </c>
      <c r="G59" s="12">
        <f>D59+Table841419410132427323943485356714[[#This Row],[LỢI NHUẬN RÒNG]]</f>
        <v>5327677.2921143025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1014149.0333333329</v>
      </c>
      <c r="F60" s="11">
        <v>479339.76384252758</v>
      </c>
      <c r="G60" s="12">
        <f>D60+Table841419410132427323943485356714[[#This Row],[LỢI NHUẬN RÒNG]]</f>
        <v>2979339.7638425278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11400000</v>
      </c>
      <c r="E61" s="11">
        <v>6365104.5649999985</v>
      </c>
      <c r="F61" s="11">
        <v>4201027.0085831396</v>
      </c>
      <c r="G61" s="12">
        <f>D61+Table841419410132427323943485356714[[#This Row],[LỢI NHUẬN RÒNG]]</f>
        <v>15601027.00858314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4619531.96</v>
      </c>
      <c r="F62" s="11">
        <v>2836157.7104351749</v>
      </c>
      <c r="G62" s="12">
        <f>D62+Table841419410132427323943485356714[[#This Row],[LỢI NHUẬN RÒNG]]</f>
        <v>13636157.710435174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2463936.2999999998</v>
      </c>
      <c r="F63" s="11">
        <v>1497051.3020146172</v>
      </c>
      <c r="G63" s="12">
        <f>D63+Table841419410132427323943485356714[[#This Row],[LỢI NHUẬN RÒNG]]</f>
        <v>8097051.3020146172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5786232.2999999998</v>
      </c>
      <c r="F64" s="11">
        <v>3758795.2052763687</v>
      </c>
      <c r="G64" s="12">
        <f>D64+Table841419410132427323943485356714[[#This Row],[LỢI NHUẬN RÒNG]]</f>
        <v>25928795.20527637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1563027</v>
      </c>
      <c r="F66" s="11">
        <v>903620.85554601322</v>
      </c>
      <c r="G66" s="12">
        <f>D66+Table841419410132427323943485356714[[#This Row],[LỢI NHUẬN RÒNG]]</f>
        <v>3103620.8555460135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5100000</v>
      </c>
      <c r="E67" s="18">
        <v>1068138.3999999999</v>
      </c>
      <c r="F67" s="18">
        <v>434639.55998864176</v>
      </c>
      <c r="G67" s="12">
        <f>D67+Table841419410132427323943485356714[[#This Row],[LỢI NHUẬN RÒNG]]</f>
        <v>5534639.5599886421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4266666.666666666</v>
      </c>
      <c r="E68" s="11">
        <v>1468184.2333333336</v>
      </c>
      <c r="F68" s="11">
        <v>1061010.6254476369</v>
      </c>
      <c r="G68" s="12">
        <f>D68+Table841419410132427323943485356714[[#This Row],[LỢI NHUẬN RÒNG]]</f>
        <v>5327677.2921143025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5070000</v>
      </c>
      <c r="E69" s="11">
        <v>1167954</v>
      </c>
      <c r="F69" s="11">
        <v>455766.90422428248</v>
      </c>
      <c r="G69" s="12">
        <f>D69+Table841419410132427323943485356714[[#This Row],[LỢI NHUẬN RÒNG]]</f>
        <v>5525766.9042242821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5100000</v>
      </c>
      <c r="E70" s="11">
        <v>730557.8</v>
      </c>
      <c r="F70" s="11">
        <v>140511.15979060828</v>
      </c>
      <c r="G70" s="12">
        <f>D70+Table841419410132427323943485356714[[#This Row],[LỢI NHUẬN RÒNG]]</f>
        <v>5240511.1597906081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1575847.3</v>
      </c>
      <c r="F71" s="11">
        <v>1067412.2283907086</v>
      </c>
      <c r="G71" s="12">
        <f>D71+Table841419410132427323943485356714[[#This Row],[LỢI NHUẬN RÒNG]]</f>
        <v>7167412.2283907086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1498360.8</v>
      </c>
      <c r="F72" s="11">
        <v>1194486.970826833</v>
      </c>
      <c r="G72" s="12">
        <f>D72+Table841419410132427323943485356714[[#This Row],[LỢI NHUẬN RÒNG]]</f>
        <v>4274486.9708268326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1268914.2</v>
      </c>
      <c r="F73" s="11">
        <v>523956.38415886613</v>
      </c>
      <c r="G73" s="12">
        <f>D73+Table841419410132427323943485356714[[#This Row],[LỢI NHUẬN RÒNG]]</f>
        <v>5023956.3841588665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1014149.0333333329</v>
      </c>
      <c r="F74" s="11">
        <v>479339.76384252758</v>
      </c>
      <c r="G74" s="12">
        <f>D74+Table841419410132427323943485356714[[#This Row],[LỢI NHUẬN RÒNG]]</f>
        <v>2979339.7638425278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1563027</v>
      </c>
      <c r="F75" s="11">
        <v>903620.85554601322</v>
      </c>
      <c r="G75" s="12">
        <f>D75+Table841419410132427323943485356714[[#This Row],[LỢI NHUẬN RÒNG]]</f>
        <v>3103620.8555460135</v>
      </c>
    </row>
    <row r="76" spans="1:7" ht="15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821312.1</v>
      </c>
      <c r="F76" s="11">
        <v>499017.10067153908</v>
      </c>
      <c r="G76" s="12">
        <f>D76+Table841419410132427323943485356714[[#This Row],[LỢI NHUẬN RÒNG]]</f>
        <v>2699017.1006715391</v>
      </c>
    </row>
    <row r="77" spans="1:7" ht="15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1928744.1</v>
      </c>
      <c r="F77" s="11">
        <v>1252931.7350921228</v>
      </c>
      <c r="G77" s="12">
        <f>D77+Table841419410132427323943485356714[[#This Row],[LỢI NHUẬN RÒNG]]</f>
        <v>8642931.7350921221</v>
      </c>
    </row>
    <row r="78" spans="1:7" ht="15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1575847.3</v>
      </c>
      <c r="F79" s="11">
        <v>1067412.2283907086</v>
      </c>
      <c r="G79" s="12">
        <f>D79+Table841419410132427323943485356714[[#This Row],[LỢI NHUẬN RÒNG]]</f>
        <v>7167412.2283907086</v>
      </c>
    </row>
    <row r="80" spans="1:7" ht="15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1498360.8</v>
      </c>
      <c r="F80" s="11">
        <v>1194486.970826833</v>
      </c>
      <c r="G80" s="12">
        <f>D80+Table841419410132427323943485356714[[#This Row],[LỢI NHUẬN RÒNG]]</f>
        <v>4274486.9708268326</v>
      </c>
    </row>
    <row r="81" spans="1:7" ht="15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1903371.3</v>
      </c>
      <c r="F81" s="11">
        <v>785934.57623829914</v>
      </c>
      <c r="G81" s="12">
        <f>D81+Table841419410132427323943485356714[[#This Row],[LỢI NHUẬN RÒNG]]</f>
        <v>7535934.5762382988</v>
      </c>
    </row>
    <row r="82" spans="1:7" ht="15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1014149.0333333329</v>
      </c>
      <c r="F82" s="11">
        <v>479339.76384252758</v>
      </c>
      <c r="G82" s="12">
        <f>D82+Table841419410132427323943485356714[[#This Row],[LỢI NHUẬN RÒNG]]</f>
        <v>2979339.7638425278</v>
      </c>
    </row>
    <row r="83" spans="1:7" ht="15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781513.5</v>
      </c>
      <c r="F83" s="11">
        <v>451810.42777300661</v>
      </c>
      <c r="G83" s="12">
        <f>D83+Table841419410132427323943485356714[[#This Row],[LỢI NHUẬN RÒNG]]</f>
        <v>1551810.4277730067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5070000</v>
      </c>
      <c r="E84" s="11">
        <v>1167954</v>
      </c>
      <c r="F84" s="11">
        <v>455766.90422428248</v>
      </c>
      <c r="G84" s="12">
        <f>D84+Table841419410132427323943485356714[[#This Row],[LỢI NHUẬN RÒNG]]</f>
        <v>5525766.9042242821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2363770.9500000002</v>
      </c>
      <c r="F85" s="11">
        <v>1601118.3425860628</v>
      </c>
      <c r="G85" s="12">
        <f>D85+Table841419410132427323943485356714[[#This Row],[LỢI NHUẬN RÒNG]]</f>
        <v>10751118.342586063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1498360.8</v>
      </c>
      <c r="F86" s="21">
        <v>1194486.970826833</v>
      </c>
      <c r="G86" s="12">
        <f>D86+Table841419410132427323943485356714[[#This Row],[LỢI NHUẬN RÒNG]]</f>
        <v>4274486.9708268326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3864419.2</v>
      </c>
      <c r="F87" s="21">
        <v>1361735.8843633055</v>
      </c>
      <c r="G87" s="12">
        <f>D87+Table841419410132427323943485356714[[#This Row],[LỢI NHUẬN RÒNG]]</f>
        <v>25361735.884363305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2898314.4</v>
      </c>
      <c r="F88" s="21">
        <v>1021301.9132724792</v>
      </c>
      <c r="G88" s="12">
        <f>D88+Table841419410132427323943485356714[[#This Row],[LỢI NHUẬN RÒNG]]</f>
        <v>19021301.913272478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483052.4</v>
      </c>
      <c r="F89" s="21">
        <v>170216.98554541319</v>
      </c>
      <c r="G89" s="12">
        <f>D89+Table841419410132427323943485356714[[#This Row],[LỢI NHUẬN RÒNG]]</f>
        <v>3170216.9855454131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966104.8</v>
      </c>
      <c r="F90" s="21">
        <v>340433.97109082638</v>
      </c>
      <c r="G90" s="12">
        <f>D90+Table841419410132427323943485356714[[#This Row],[LỢI NHUẬN RÒNG]]</f>
        <v>6340433.9710908262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483052.4</v>
      </c>
      <c r="F91" s="21">
        <v>170216.98554541319</v>
      </c>
      <c r="G91" s="12">
        <f>D91+Table841419410132427323943485356714[[#This Row],[LỢI NHUẬN RÒNG]]</f>
        <v>3170216.9855454131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483052.4</v>
      </c>
      <c r="F92" s="21">
        <v>170216.98554541319</v>
      </c>
      <c r="G92" s="12">
        <f>D92+Table841419410132427323943485356714[[#This Row],[LỢI NHUẬN RÒNG]]</f>
        <v>3170216.9855454131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483052.4</v>
      </c>
      <c r="F93" s="21">
        <v>170216.98554541319</v>
      </c>
      <c r="G93" s="12">
        <f>D93+Table841419410132427323943485356714[[#This Row],[LỢI NHUẬN RÒNG]]</f>
        <v>3170216.9855454131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741633.5833333336</v>
      </c>
      <c r="F94" s="21">
        <v>505685.54448382108</v>
      </c>
      <c r="G94" s="12">
        <f>D94+Table841419410132427323943485356714[[#This Row],[LỢI NHUẬN RÒNG]]</f>
        <v>2155685.5444838209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4449801.5000000009</v>
      </c>
      <c r="F95" s="21">
        <v>3034113.2669029264</v>
      </c>
      <c r="G95" s="12">
        <f>D95+Table841419410132427323943485356714[[#This Row],[LỢI NHUẬN RÒNG]]</f>
        <v>12934113.266902927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741633.5833333336</v>
      </c>
      <c r="F96" s="21">
        <v>505685.54448382108</v>
      </c>
      <c r="G96" s="12">
        <f>D96+Table841419410132427323943485356714[[#This Row],[LỢI NHUẬN RÒNG]]</f>
        <v>2155685.5444838209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1483267.1666666672</v>
      </c>
      <c r="F97" s="21">
        <v>1011371.0889676422</v>
      </c>
      <c r="G97" s="12">
        <f>D97+Table841419410132427323943485356714[[#This Row],[LỢI NHUẬN RÒNG]]</f>
        <v>4311371.0889676418</v>
      </c>
    </row>
    <row r="98" spans="1:7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741633.5833333336</v>
      </c>
      <c r="F98" s="21">
        <v>505685.54448382108</v>
      </c>
      <c r="G98" s="12">
        <f>D98+Table841419410132427323943485356714[[#This Row],[LỢI NHUẬN RÒNG]]</f>
        <v>2155685.5444838209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4449801.5000000009</v>
      </c>
      <c r="F99" s="21">
        <v>3034113.2669029264</v>
      </c>
      <c r="G99" s="12">
        <f>D99+Table841419410132427323943485356714[[#This Row],[LỢI NHUẬN RÒNG]]</f>
        <v>12934113.266902927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741633.5833333336</v>
      </c>
      <c r="F100" s="21">
        <v>505685.54448382108</v>
      </c>
      <c r="G100" s="12">
        <f>D100+Table841419410132427323943485356714[[#This Row],[LỢI NHUẬN RÒNG]]</f>
        <v>2155685.5444838209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741633.5833333336</v>
      </c>
      <c r="F101" s="21">
        <v>505685.54448382108</v>
      </c>
      <c r="G101" s="12">
        <f>D101+Table841419410132427323943485356714[[#This Row],[LỢI NHUẬN RÒNG]]</f>
        <v>2155685.5444838209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741633.5833333336</v>
      </c>
      <c r="F102" s="21">
        <v>505685.54448382108</v>
      </c>
      <c r="G102" s="12">
        <f>D102+Table841419410132427323943485356714[[#This Row],[LỢI NHUẬN RÒNG]]</f>
        <v>2155685.5444838209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570256.96666666679</v>
      </c>
      <c r="F103" s="21">
        <v>265558.85190139001</v>
      </c>
      <c r="G103" s="12">
        <f>D103+Table841419410132427323943485356714[[#This Row],[LỢI NHUẬN RÒNG]]</f>
        <v>2190558.8519013901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3421541.8000000007</v>
      </c>
      <c r="F104" s="21">
        <v>1593353.1114083403</v>
      </c>
      <c r="G104" s="12">
        <f>D104+Table841419410132427323943485356714[[#This Row],[LỢI NHUẬN RÒNG]]</f>
        <v>13143353.11140834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570256.96666666679</v>
      </c>
      <c r="F105" s="21">
        <v>265558.85190139001</v>
      </c>
      <c r="G105" s="12">
        <f>D105+Table841419410132427323943485356714[[#This Row],[LỢI NHUẬN RÒNG]]</f>
        <v>2190558.8519013901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1140513.9333333336</v>
      </c>
      <c r="F106" s="21">
        <v>531117.70380278002</v>
      </c>
      <c r="G106" s="12">
        <f>D106+Table841419410132427323943485356714[[#This Row],[LỢI NHUẬN RÒNG]]</f>
        <v>4381117.7038027802</v>
      </c>
    </row>
    <row r="107" spans="1:7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570256.96666666679</v>
      </c>
      <c r="F107" s="21">
        <v>265558.85190139001</v>
      </c>
      <c r="G107" s="12">
        <f>D107+Table841419410132427323943485356714[[#This Row],[LỢI NHUẬN RÒNG]]</f>
        <v>2190558.8519013901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3421541.8000000007</v>
      </c>
      <c r="F108" s="21">
        <v>1593353.1114083403</v>
      </c>
      <c r="G108" s="12">
        <f>D108+Table841419410132427323943485356714[[#This Row],[LỢI NHUẬN RÒNG]]</f>
        <v>13143353.11140834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570256.96666666679</v>
      </c>
      <c r="F109" s="21">
        <v>265558.85190139001</v>
      </c>
      <c r="G109" s="12">
        <f>D109+Table841419410132427323943485356714[[#This Row],[LỢI NHUẬN RÒNG]]</f>
        <v>2190558.8519013901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570256.96666666679</v>
      </c>
      <c r="F110" s="21">
        <v>265558.85190139001</v>
      </c>
      <c r="G110" s="12">
        <f>D110+Table841419410132427323943485356714[[#This Row],[LỢI NHUẬN RÒNG]]</f>
        <v>2190558.8519013901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570256.96666666679</v>
      </c>
      <c r="F111" s="21">
        <v>265558.85190139001</v>
      </c>
      <c r="G111" s="12">
        <f>D111+Table841419410132427323943485356714[[#This Row],[LỢI NHUẬN RÒNG]]</f>
        <v>2190558.8519013901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490557.91666666657</v>
      </c>
      <c r="F112" s="21">
        <v>292666.07849017362</v>
      </c>
      <c r="G112" s="12">
        <f>D112+Table841419410132427323943485356714[[#This Row],[LỢI NHUẬN RÒNG]]</f>
        <v>1492666.0784901737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2943347.4999999995</v>
      </c>
      <c r="F113" s="21">
        <v>1755996.4709410416</v>
      </c>
      <c r="G113" s="12">
        <f>D113+Table841419410132427323943485356714[[#This Row],[LỢI NHUẬN RÒNG]]</f>
        <v>8955996.4709410407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490557.91666666657</v>
      </c>
      <c r="F114" s="21">
        <v>292666.07849017362</v>
      </c>
      <c r="G114" s="12">
        <f>D114+Table841419410132427323943485356714[[#This Row],[LỢI NHUẬN RÒNG]]</f>
        <v>1492666.0784901737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981115.83333333314</v>
      </c>
      <c r="F115" s="11">
        <v>585332.15698034724</v>
      </c>
      <c r="G115" s="12">
        <f>D115+Table841419410132427323943485356714[[#This Row],[LỢI NHUẬN RÒNG]]</f>
        <v>2985332.1569803474</v>
      </c>
    </row>
    <row r="116" spans="1:7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490557.91666666657</v>
      </c>
      <c r="F116" s="11">
        <v>292666.07849017362</v>
      </c>
      <c r="G116" s="12">
        <f>D116+Table841419410132427323943485356714[[#This Row],[LỢI NHUẬN RÒNG]]</f>
        <v>1492666.0784901737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2943347.4999999995</v>
      </c>
      <c r="F117" s="11">
        <v>1755996.4709410416</v>
      </c>
      <c r="G117" s="12">
        <f>D117+Table841419410132427323943485356714[[#This Row],[LỢI NHUẬN RÒNG]]</f>
        <v>8955996.4709410407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490557.91666666657</v>
      </c>
      <c r="F118" s="11">
        <v>292666.07849017362</v>
      </c>
      <c r="G118" s="12">
        <f>D118+Table841419410132427323943485356714[[#This Row],[LỢI NHUẬN RÒNG]]</f>
        <v>1492666.0784901737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490557.91666666657</v>
      </c>
      <c r="F119" s="11">
        <v>292666.07849017362</v>
      </c>
      <c r="G119" s="12">
        <f>D119+Table841419410132427323943485356714[[#This Row],[LỢI NHUẬN RÒNG]]</f>
        <v>1492666.0784901737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490557.91666666657</v>
      </c>
      <c r="F120" s="21">
        <v>292666.07849017362</v>
      </c>
      <c r="G120" s="12">
        <f>D120+Table841419410132427323943485356714[[#This Row],[LỢI NHUẬN RÒNG]]</f>
        <v>1492666.0784901737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2949727.2</v>
      </c>
      <c r="F121" s="11">
        <v>2190345.624164586</v>
      </c>
      <c r="G121" s="12">
        <f>D121+Table841419410132427323943485356714[[#This Row],[LỢI NHUẬN RÒNG]]</f>
        <v>7090345.624164586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842779.2</v>
      </c>
      <c r="F122" s="11">
        <v>625813.03547559609</v>
      </c>
      <c r="G122" s="12">
        <f>D122+Table841419410132427323943485356714[[#This Row],[LỢI NHUẬN RÒNG]]</f>
        <v>2025813.0354755961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842779.2</v>
      </c>
      <c r="F123" s="11">
        <v>625813.03547559609</v>
      </c>
      <c r="G123" s="12">
        <f>D123+Table841419410132427323943485356714[[#This Row],[LỢI NHUẬN RÒNG]]</f>
        <v>2025813.0354755961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842779.2</v>
      </c>
      <c r="F124" s="11">
        <v>625813.03547559609</v>
      </c>
      <c r="G124" s="12">
        <f>D124+Table841419410132427323943485356714[[#This Row],[LỢI NHUẬN RÒNG]]</f>
        <v>2025813.0354755961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421389.6</v>
      </c>
      <c r="F125" s="11">
        <v>312906.51773779804</v>
      </c>
      <c r="G125" s="12">
        <f>D125+Table841419410132427323943485356714[[#This Row],[LỢI NHUẬN RÒNG]]</f>
        <v>1012906.517737798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1685558.4</v>
      </c>
      <c r="F126" s="11">
        <v>1251626.0709511922</v>
      </c>
      <c r="G126" s="12">
        <f>D126+Table841419410132427323943485356714[[#This Row],[LỢI NHUẬN RÒNG]]</f>
        <v>4051626.0709511922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842779.2</v>
      </c>
      <c r="F127" s="21">
        <v>625813.03547559609</v>
      </c>
      <c r="G127" s="12">
        <f>D127+Table841419410132427323943485356714[[#This Row],[LỢI NHUẬN RÒNG]]</f>
        <v>2025813.0354755961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3877327.6</v>
      </c>
      <c r="F128" s="11">
        <v>2452565.4813006669</v>
      </c>
      <c r="G128" s="12">
        <f>D128+Table841419410132427323943485356714[[#This Row],[LỢI NHUẬN RÒNG]]</f>
        <v>11112565.481300667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1938663.8</v>
      </c>
      <c r="F129" s="11">
        <v>1226282.7406503335</v>
      </c>
      <c r="G129" s="12">
        <f>D129+Table841419410132427323943485356714[[#This Row],[LỢI NHUẬN RÒNG]]</f>
        <v>5556282.7406503335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1938663.8</v>
      </c>
      <c r="F130" s="11">
        <v>1226282.7406503335</v>
      </c>
      <c r="G130" s="12">
        <f>D130+Table841419410132427323943485356714[[#This Row],[LỢI NHUẬN RÒNG]]</f>
        <v>5556282.7406503335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3877327.6</v>
      </c>
      <c r="F131" s="11">
        <v>2452565.4813006669</v>
      </c>
      <c r="G131" s="12">
        <f>D131+Table841419410132427323943485356714[[#This Row],[LỢI NHUẬN RÒNG]]</f>
        <v>11112565.481300667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969331.9</v>
      </c>
      <c r="F132" s="11">
        <v>613141.37032516673</v>
      </c>
      <c r="G132" s="12">
        <f>D132+Table841419410132427323943485356714[[#This Row],[LỢI NHUẬN RÒNG]]</f>
        <v>2778141.3703251667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1938663.8</v>
      </c>
      <c r="F133" s="11">
        <v>1226282.7406503335</v>
      </c>
      <c r="G133" s="12">
        <f>D133+Table841419410132427323943485356714[[#This Row],[LỢI NHUẬN RÒNG]]</f>
        <v>5556282.7406503335</v>
      </c>
    </row>
    <row r="134" spans="1:7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969331.9</v>
      </c>
      <c r="F134" s="11">
        <v>613141.37032516673</v>
      </c>
      <c r="G134" s="12">
        <f>D134+Table841419410132427323943485356714[[#This Row],[LỢI NHUẬN RÒNG]]</f>
        <v>2778141.3703251667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969331.9</v>
      </c>
      <c r="F135" s="11">
        <v>613141.37032516673</v>
      </c>
      <c r="G135" s="12">
        <f>D135+Table841419410132427323943485356714[[#This Row],[LỢI NHUẬN RÒNG]]</f>
        <v>2778141.3703251667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2907995.7</v>
      </c>
      <c r="F136" s="11">
        <v>1839424.1109755004</v>
      </c>
      <c r="G136" s="12">
        <f>D136+Table841419410132427323943485356714[[#This Row],[LỢI NHUẬN RÒNG]]</f>
        <v>8334424.1109755002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1160709.7</v>
      </c>
      <c r="F137" s="11">
        <v>790937.6265448354</v>
      </c>
      <c r="G137" s="12">
        <f>D137+Table841419410132427323943485356714[[#This Row],[LỢI NHUẬN RÒNG]]</f>
        <v>1840937.6265448355</v>
      </c>
    </row>
    <row r="138" spans="1:7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1160709.7</v>
      </c>
      <c r="F138" s="11">
        <v>790937.6265448354</v>
      </c>
      <c r="G138" s="12">
        <f>D138+Table841419410132427323943485356714[[#This Row],[LỢI NHUẬN RÒNG]]</f>
        <v>1840937.6265448355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5223194</v>
      </c>
      <c r="F139" s="11">
        <v>3559219</v>
      </c>
      <c r="G139" s="12">
        <f>D139+Table841419410132427323943485356714[[#This Row],[LỢI NHUẬN RÒNG]]</f>
        <v>8284219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1160709.7</v>
      </c>
      <c r="F140" s="11">
        <v>790937.6265448354</v>
      </c>
      <c r="G140" s="12">
        <f>D140+Table841419410132427323943485356714[[#This Row],[LỢI NHUẬN RÒNG]]</f>
        <v>1840937.6265448355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1498360.8</v>
      </c>
      <c r="F141" s="21">
        <v>1194486.970826833</v>
      </c>
      <c r="G141" s="12">
        <f>D141+Table841419410132427323943485356714[[#This Row],[LỢI NHUẬN RÒNG]]</f>
        <v>4274486.9708268326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1160709.7</v>
      </c>
      <c r="F142" s="21">
        <v>790937.6265448354</v>
      </c>
      <c r="G142" s="12">
        <f>D142+Table841419410132427323943485356714[[#This Row],[LỢI NHUẬN RÒNG]]</f>
        <v>1840937.6265448355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1741064.55</v>
      </c>
      <c r="F143" s="21">
        <v>1186406.439817253</v>
      </c>
      <c r="G143" s="12">
        <f>D143+Table841419410132427323943485356714[[#This Row],[LỢI NHUẬN RÒNG]]</f>
        <v>2761406.439817253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2929373.5333333327</v>
      </c>
      <c r="F144" s="21">
        <v>1976836.1638417661</v>
      </c>
      <c r="G144" s="12">
        <f>D144+Table841419410132427323943485356714[[#This Row],[LỢI NHUẬN RÒNG]]</f>
        <v>10376836.163841765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2197030.15</v>
      </c>
      <c r="F145" s="21">
        <v>1482627.1228813245</v>
      </c>
      <c r="G145" s="12">
        <f>D145+Table841419410132427323943485356714[[#This Row],[LỢI NHUẬN RÒNG]]</f>
        <v>7782627.122881325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1464686.7666666664</v>
      </c>
      <c r="F146" s="21">
        <v>988418.08192088304</v>
      </c>
      <c r="G146" s="12">
        <f>D146+Table841419410132427323943485356714[[#This Row],[LỢI NHUẬN RÒNG]]</f>
        <v>5188418.0819208827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4394060.3</v>
      </c>
      <c r="F147" s="21">
        <v>2965254.245762649</v>
      </c>
      <c r="G147" s="12">
        <f>D147+Table841419410132427323943485356714[[#This Row],[LỢI NHUẬN RÒNG]]</f>
        <v>15565254.24576265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1464686.7666666664</v>
      </c>
      <c r="F148" s="21">
        <v>988418.08192088304</v>
      </c>
      <c r="G148" s="12">
        <f>D148+Table841419410132427323943485356714[[#This Row],[LỢI NHUẬN RÒNG]]</f>
        <v>5188418.0819208827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2197030.15</v>
      </c>
      <c r="F149" s="21">
        <v>1482627.1228813245</v>
      </c>
      <c r="G149" s="12">
        <f>D149+Table841419410132427323943485356714[[#This Row],[LỢI NHUẬN RÒNG]]</f>
        <v>7782627.122881325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1390372.3</v>
      </c>
      <c r="F150" s="21">
        <v>956086.3201877072</v>
      </c>
      <c r="G150" s="12">
        <f>D150+Table841419410132427323943485356714[[#This Row],[LỢI NHUẬN RÒNG]]</f>
        <v>3806086.3201877074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1390372.3</v>
      </c>
      <c r="F151" s="21">
        <v>956086.3201877072</v>
      </c>
      <c r="G151" s="12">
        <f>D151+Table841419410132427323943485356714[[#This Row],[LỢI NHUẬN RÒNG]]</f>
        <v>3806086.3201877074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1390372.3</v>
      </c>
      <c r="F152" s="21">
        <v>956086.3201877072</v>
      </c>
      <c r="G152" s="12">
        <f>D152+Table841419410132427323943485356714[[#This Row],[LỢI NHUẬN RÒNG]]</f>
        <v>3806086.3201877074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2780744.6</v>
      </c>
      <c r="F153" s="21">
        <v>1912172.6403754144</v>
      </c>
      <c r="G153" s="12">
        <f>D153+Table841419410132427323943485356714[[#This Row],[LỢI NHUẬN RÒNG]]</f>
        <v>7612172.6403754149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2780744.6</v>
      </c>
      <c r="F154" s="21">
        <v>1912172.6403754144</v>
      </c>
      <c r="G154" s="12">
        <f>D154+Table841419410132427323943485356714[[#This Row],[LỢI NHUẬN RÒNG]]</f>
        <v>7612172.6403754149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1390372.3</v>
      </c>
      <c r="F155" s="21">
        <v>956086.3201877072</v>
      </c>
      <c r="G155" s="12">
        <f>D155+Table841419410132427323943485356714[[#This Row],[LỢI NHUẬN RÒNG]]</f>
        <v>3806086.3201877074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1390372.3</v>
      </c>
      <c r="F156" s="21">
        <v>956086.3201877072</v>
      </c>
      <c r="G156" s="12">
        <f>D156+Table841419410132427323943485356714[[#This Row],[LỢI NHUẬN RÒNG]]</f>
        <v>3806086.3201877074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1390372.3</v>
      </c>
      <c r="F157" s="21">
        <v>956086.3201877072</v>
      </c>
      <c r="G157" s="12">
        <f>D157+Table841419410132427323943485356714[[#This Row],[LỢI NHUẬN RÒNG]]</f>
        <v>3806086.3201877074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12000000</v>
      </c>
      <c r="E158" s="21">
        <v>-1816221.6</v>
      </c>
      <c r="F158" s="21">
        <v>-2561065.2362714498</v>
      </c>
      <c r="G158" s="12">
        <f>D158+Table841419410132427323943485356714[[#This Row],[LỢI NHUẬN RÒNG]]</f>
        <v>9438934.7637285497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2000000</v>
      </c>
      <c r="E159" s="21">
        <v>-302703.59999999998</v>
      </c>
      <c r="F159" s="21">
        <v>-426844.20604524168</v>
      </c>
      <c r="G159" s="12">
        <f>D159+Table841419410132427323943485356714[[#This Row],[LỢI NHUẬN RÒNG]]</f>
        <v>1573155.7939547584</v>
      </c>
      <c r="H159" s="11"/>
    </row>
    <row r="160" spans="1:10" x14ac:dyDescent="0.3">
      <c r="A160" s="23" t="s">
        <v>57</v>
      </c>
      <c r="B160" s="21" t="s">
        <v>33</v>
      </c>
      <c r="C160" s="21">
        <v>5</v>
      </c>
      <c r="D160" s="21">
        <v>2000000</v>
      </c>
      <c r="E160" s="21">
        <v>-302703.59999999998</v>
      </c>
      <c r="F160" s="21">
        <v>-426844.20604524168</v>
      </c>
      <c r="G160" s="12">
        <f>D160+Table841419410132427323943485356714[[#This Row],[LỢI NHUẬN RÒNG]]</f>
        <v>1573155.7939547584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4000000</v>
      </c>
      <c r="E161" s="21">
        <v>-605407.19999999995</v>
      </c>
      <c r="F161" s="21">
        <v>-853688.41209048335</v>
      </c>
      <c r="G161" s="12">
        <f>D161+Table841419410132427323943485356714[[#This Row],[LỢI NHUẬN RÒNG]]</f>
        <v>3146311.5879095169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8000000</v>
      </c>
      <c r="E162" s="21">
        <v>-1210814.3999999999</v>
      </c>
      <c r="F162" s="21">
        <v>-1707376.8241809667</v>
      </c>
      <c r="G162" s="12">
        <f>D162+Table841419410132427323943485356714[[#This Row],[LỢI NHUẬN RÒNG]]</f>
        <v>6292623.1758190338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2000000</v>
      </c>
      <c r="E163" s="21">
        <v>-302703.59999999998</v>
      </c>
      <c r="F163" s="21">
        <v>-426844.20604524168</v>
      </c>
      <c r="G163" s="12">
        <f>D163+Table841419410132427323943485356714[[#This Row],[LỢI NHUẬN RÒNG]]</f>
        <v>1573155.7939547584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10000000</v>
      </c>
      <c r="E164" s="21">
        <v>-1513518</v>
      </c>
      <c r="F164" s="21">
        <v>-2134221.0302262083</v>
      </c>
      <c r="G164" s="12">
        <f>D164+Table841419410132427323943485356714[[#This Row],[LỢI NHUẬN RÒNG]]</f>
        <v>7865778.9697737917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1875000</v>
      </c>
      <c r="E165" s="21">
        <v>294292.8</v>
      </c>
      <c r="F165" s="21">
        <v>-285048.17723448982</v>
      </c>
      <c r="G165" s="12">
        <f>D165+Table841419410132427323943485356714[[#This Row],[LỢI NHUẬN RÒNG]]</f>
        <v>1589951.8227655101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3750000</v>
      </c>
      <c r="E166" s="21">
        <v>588585.6</v>
      </c>
      <c r="F166" s="21">
        <v>-570096.35446897964</v>
      </c>
      <c r="G166" s="12">
        <f>D166+Table841419410132427323943485356714[[#This Row],[LỢI NHUẬN RÒNG]]</f>
        <v>3179903.6455310201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625000</v>
      </c>
      <c r="E167" s="18">
        <v>98097.600000000006</v>
      </c>
      <c r="F167" s="18">
        <v>-95016.059078163278</v>
      </c>
      <c r="G167" s="12">
        <f>D167+Table841419410132427323943485356714[[#This Row],[LỢI NHUẬN RÒNG]]</f>
        <v>529983.94092183677</v>
      </c>
      <c r="H167" s="11"/>
    </row>
    <row r="168" spans="1:10" x14ac:dyDescent="0.3">
      <c r="A168" s="23" t="s">
        <v>58</v>
      </c>
      <c r="B168" s="21" t="s">
        <v>33</v>
      </c>
      <c r="C168" s="21">
        <v>5</v>
      </c>
      <c r="D168" s="21">
        <v>625000</v>
      </c>
      <c r="E168" s="21">
        <v>98097.600000000006</v>
      </c>
      <c r="F168" s="21">
        <v>-95016.059078163278</v>
      </c>
      <c r="G168" s="12">
        <f>D168+Table841419410132427323943485356714[[#This Row],[LỢI NHUẬN RÒNG]]</f>
        <v>529983.94092183677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1250000</v>
      </c>
      <c r="E169" s="21">
        <v>196195.20000000001</v>
      </c>
      <c r="F169" s="21">
        <v>-190032.11815632656</v>
      </c>
      <c r="G169" s="12">
        <f>D169+Table841419410132427323943485356714[[#This Row],[LỢI NHUẬN RÒNG]]</f>
        <v>1059967.8818436735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2500000</v>
      </c>
      <c r="E170" s="21">
        <v>392390.40000000002</v>
      </c>
      <c r="F170" s="21">
        <v>-380064.23631265311</v>
      </c>
      <c r="G170" s="12">
        <f>D170+Table841419410132427323943485356714[[#This Row],[LỢI NHUẬN RÒNG]]</f>
        <v>2119935.7636873471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625000</v>
      </c>
      <c r="E171" s="21">
        <v>98097.600000000006</v>
      </c>
      <c r="F171" s="21">
        <v>-95016.059078163278</v>
      </c>
      <c r="G171" s="12">
        <f>D171+Table841419410132427323943485356714[[#This Row],[LỢI NHUẬN RÒNG]]</f>
        <v>529983.94092183677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625000</v>
      </c>
      <c r="E172" s="21">
        <v>98097.600000000006</v>
      </c>
      <c r="F172" s="21">
        <v>-95016.059078163278</v>
      </c>
      <c r="G172" s="12">
        <f>D172+Table841419410132427323943485356714[[#This Row],[LỢI NHUẬN RÒNG]]</f>
        <v>529983.94092183677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625000</v>
      </c>
      <c r="E173" s="21">
        <v>98097.600000000006</v>
      </c>
      <c r="F173" s="21">
        <v>-95016.059078163278</v>
      </c>
      <c r="G173" s="12">
        <f>D173+Table841419410132427323943485356714[[#This Row],[LỢI NHUẬN RÒNG]]</f>
        <v>529983.94092183677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3023166</v>
      </c>
      <c r="F174" s="21">
        <v>2395231.1076111123</v>
      </c>
      <c r="G174" s="12">
        <f>D174+Table841419410132427323943485356714[[#This Row],[LỢI NHUẬN RÒNG]]</f>
        <v>9795231.1076111123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755791.5</v>
      </c>
      <c r="F175" s="21">
        <v>598807.77690277807</v>
      </c>
      <c r="G175" s="12">
        <f>D175+Table841419410132427323943485356714[[#This Row],[LỢI NHUẬN RÒNG]]</f>
        <v>2448807.7769027781</v>
      </c>
      <c r="H175" s="11"/>
    </row>
    <row r="176" spans="1:10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1511583</v>
      </c>
      <c r="F176" s="21">
        <v>1197615.5538055561</v>
      </c>
      <c r="G176" s="12">
        <f>D176+Table841419410132427323943485356714[[#This Row],[LỢI NHUẬN RÒNG]]</f>
        <v>4897615.5538055561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1511583</v>
      </c>
      <c r="F177" s="21">
        <v>1197615.5538055561</v>
      </c>
      <c r="G177" s="12">
        <f>D177+Table841419410132427323943485356714[[#This Row],[LỢI NHUẬN RÒNG]]</f>
        <v>4897615.5538055561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755791.5</v>
      </c>
      <c r="F178" s="21">
        <v>598807.77690277807</v>
      </c>
      <c r="G178" s="12">
        <f>D178+Table841419410132427323943485356714[[#This Row],[LỢI NHUẬN RÒNG]]</f>
        <v>2448807.7769027781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3023166</v>
      </c>
      <c r="F179" s="21">
        <v>2395231.1076111123</v>
      </c>
      <c r="G179" s="12">
        <f>D179+Table841419410132427323943485356714[[#This Row],[LỢI NHUẬN RÒNG]]</f>
        <v>9795231.1076111123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1511583</v>
      </c>
      <c r="F180" s="21">
        <v>1197615.5538055561</v>
      </c>
      <c r="G180" s="12">
        <f>D180+Table841419410132427323943485356714[[#This Row],[LỢI NHUẬN RÒNG]]</f>
        <v>4897615.5538055561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755791.5</v>
      </c>
      <c r="F181" s="21">
        <v>598807.77690277807</v>
      </c>
      <c r="G181" s="12">
        <f>D181+Table841419410132427323943485356714[[#This Row],[LỢI NHUẬN RÒNG]]</f>
        <v>2448807.7769027781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2267374.5</v>
      </c>
      <c r="F182" s="21">
        <v>1796423.3307083342</v>
      </c>
      <c r="G182" s="12">
        <f>D182+Table841419410132427323943485356714[[#This Row],[LỢI NHUẬN RÒNG]]</f>
        <v>7346423.3307083342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610877.63333333284</v>
      </c>
      <c r="F183" s="18">
        <v>317393.10998457076</v>
      </c>
      <c r="G183" s="12">
        <f>D183+Table841419410132427323943485356714[[#This Row],[LỢI NHUẬN RÒNG]]</f>
        <v>3484059.7766512376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916316.44999999925</v>
      </c>
      <c r="F184" s="21">
        <v>476089.66497685609</v>
      </c>
      <c r="G184" s="12">
        <f>D184+Table841419410132427323943485356714[[#This Row],[LỢI NHUẬN RÒNG]]</f>
        <v>5226089.6649768557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305438.81666666642</v>
      </c>
      <c r="F185" s="21">
        <v>158696.55499228538</v>
      </c>
      <c r="G185" s="12">
        <f>D185+Table841419410132427323943485356714[[#This Row],[LỢI NHUẬN RÒNG]]</f>
        <v>1742029.8883256188</v>
      </c>
      <c r="H185" s="28"/>
    </row>
    <row r="186" spans="1:9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305438.81666666642</v>
      </c>
      <c r="F186" s="21">
        <v>158696.55499228538</v>
      </c>
      <c r="G186" s="12">
        <f>D186+Table841419410132427323943485356714[[#This Row],[LỢI NHUẬN RÒNG]]</f>
        <v>1742029.8883256188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610877.63333333284</v>
      </c>
      <c r="F187" s="21">
        <v>317393.10998457076</v>
      </c>
      <c r="G187" s="12">
        <f>D187+Table841419410132427323943485356714[[#This Row],[LỢI NHUẬN RÒNG]]</f>
        <v>3484059.7766512376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610877.63333333284</v>
      </c>
      <c r="F188" s="21">
        <v>317393.10998457076</v>
      </c>
      <c r="G188" s="12">
        <f>D188+Table841419410132427323943485356714[[#This Row],[LỢI NHUẬN RÒNG]]</f>
        <v>3484059.7766512376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916316.44999999925</v>
      </c>
      <c r="F189" s="21">
        <v>476089.66497685609</v>
      </c>
      <c r="G189" s="12">
        <f>D189+Table841419410132427323943485356714[[#This Row],[LỢI NHUẬN RÒNG]]</f>
        <v>5226089.6649768557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305438.81666666642</v>
      </c>
      <c r="F190" s="21">
        <v>158696.55499228538</v>
      </c>
      <c r="G190" s="12">
        <f>D190+Table841419410132427323943485356714[[#This Row],[LỢI NHUẬN RÒNG]]</f>
        <v>1742029.8883256188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610877.63333333284</v>
      </c>
      <c r="F191" s="21">
        <v>317393.10998457076</v>
      </c>
      <c r="G191" s="12">
        <f>D191+Table841419410132427323943485356714[[#This Row],[LỢI NHUẬN RÒNG]]</f>
        <v>3484059.7766512376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305438.81666666642</v>
      </c>
      <c r="F192" s="21">
        <v>158696.55499228538</v>
      </c>
      <c r="G192" s="12">
        <f>D192+Table841419410132427323943485356714[[#This Row],[LỢI NHUẬN RÒNG]]</f>
        <v>1742029.8883256188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305438.81666666642</v>
      </c>
      <c r="F193" s="21">
        <v>158696.55499228538</v>
      </c>
      <c r="G193" s="12">
        <f>D193+Table841419410132427323943485356714[[#This Row],[LỢI NHUẬN RÒNG]]</f>
        <v>1742029.8883256188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305438.81666666642</v>
      </c>
      <c r="F194" s="21">
        <v>158696.55499228538</v>
      </c>
      <c r="G194" s="12">
        <f>D194+Table841419410132427323943485356714[[#This Row],[LỢI NHUẬN RÒNG]]</f>
        <v>1742029.8883256188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1941218.85</v>
      </c>
      <c r="F195" s="21">
        <v>1338791.0128486664</v>
      </c>
      <c r="G195" s="12">
        <f>D195+Table841419410132427323943485356714[[#This Row],[LỢI NHUẬN RÒNG]]</f>
        <v>2838791.0128486664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1941218.85</v>
      </c>
      <c r="F196" s="21">
        <v>1338791.0128486664</v>
      </c>
      <c r="G196" s="12">
        <f>D196+Table841419410132427323943485356714[[#This Row],[LỢI NHUẬN RÒNG]]</f>
        <v>2838791.0128486664</v>
      </c>
      <c r="H196" s="28"/>
    </row>
    <row r="197" spans="1:8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647072.94999999995</v>
      </c>
      <c r="F197" s="21">
        <v>446263.67094955547</v>
      </c>
      <c r="G197" s="12">
        <f>D197+Table841419410132427323943485356714[[#This Row],[LỢI NHUẬN RÒNG]]</f>
        <v>946263.67094955547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1294145.8999999999</v>
      </c>
      <c r="F198" s="21">
        <v>892527.34189911094</v>
      </c>
      <c r="G198" s="12">
        <f>D198+Table841419410132427323943485356714[[#This Row],[LỢI NHUẬN RÒNG]]</f>
        <v>1892527.3418991109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1294145.8999999999</v>
      </c>
      <c r="F199" s="21">
        <v>892527.34189911094</v>
      </c>
      <c r="G199" s="12">
        <f>D199+Table841419410132427323943485356714[[#This Row],[LỢI NHUẬN RÒNG]]</f>
        <v>1892527.3418991109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1941218.85</v>
      </c>
      <c r="F200" s="21">
        <v>1338791.0128486664</v>
      </c>
      <c r="G200" s="12">
        <f>D200+Table841419410132427323943485356714[[#This Row],[LỢI NHUẬN RÒNG]]</f>
        <v>2838791.0128486664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647072.94999999995</v>
      </c>
      <c r="F201" s="21">
        <v>446263.67094955547</v>
      </c>
      <c r="G201" s="12">
        <f>D201+Table841419410132427323943485356714[[#This Row],[LỢI NHUẬN RÒNG]]</f>
        <v>946263.67094955547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647072.94999999995</v>
      </c>
      <c r="F202" s="21">
        <v>446263.67094955547</v>
      </c>
      <c r="G202" s="12">
        <f>D202+Table841419410132427323943485356714[[#This Row],[LỢI NHUẬN RÒNG]]</f>
        <v>946263.67094955547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647072.94999999995</v>
      </c>
      <c r="F203" s="21">
        <v>446263.67094955547</v>
      </c>
      <c r="G203" s="12">
        <f>D203+Table841419410132427323943485356714[[#This Row],[LỢI NHUẬN RÒNG]]</f>
        <v>946263.67094955547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1294145.8999999999</v>
      </c>
      <c r="F204" s="21">
        <v>892527.34189911094</v>
      </c>
      <c r="G204" s="12">
        <f>D204+Table841419410132427323943485356714[[#This Row],[LỢI NHUẬN RÒNG]]</f>
        <v>1892527.3418991109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647072.94999999995</v>
      </c>
      <c r="F205" s="21">
        <v>446263.67094955547</v>
      </c>
      <c r="G205" s="12">
        <f>D205+Table841419410132427323943485356714[[#This Row],[LỢI NHUẬN RÒNG]]</f>
        <v>946263.67094955547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2227029.4</v>
      </c>
      <c r="F206" s="21">
        <v>1579955.9542631186</v>
      </c>
      <c r="G206" s="21">
        <f>Table841419410132427323943485356714[[#This Row],[VỐN CP]]+Table841419410132427323943485356714[[#This Row],[LỢI NHUẬN RÒNG]]</f>
        <v>5179955.954263119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5567573.5</v>
      </c>
      <c r="F207" s="21">
        <v>3949889.8856577966</v>
      </c>
      <c r="G207" s="21">
        <f>Table841419410132427323943485356714[[#This Row],[VỐN CP]]+Table841419410132427323943485356714[[#This Row],[LỢI NHUẬN RÒNG]]</f>
        <v>12949889.885657797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2227029.4</v>
      </c>
      <c r="F208" s="21">
        <v>1579955.9542631186</v>
      </c>
      <c r="G208" s="21">
        <f>Table841419410132427323943485356714[[#This Row],[VỐN CP]]+Table841419410132427323943485356714[[#This Row],[LỢI NHUẬN RÒNG]]</f>
        <v>5179955.954263119</v>
      </c>
      <c r="H208" s="28"/>
    </row>
    <row r="209" spans="1:8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1113514.7</v>
      </c>
      <c r="F209" s="21">
        <v>789977.97713155928</v>
      </c>
      <c r="G209" s="21">
        <f>Table841419410132427323943485356714[[#This Row],[VỐN CP]]+Table841419410132427323943485356714[[#This Row],[LỢI NHUẬN RÒNG]]</f>
        <v>2589977.9771315595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1113514.7</v>
      </c>
      <c r="F210" s="21">
        <v>789977.97713155928</v>
      </c>
      <c r="G210" s="21">
        <f>Table841419410132427323943485356714[[#This Row],[VỐN CP]]+Table841419410132427323943485356714[[#This Row],[LỢI NHUẬN RÒNG]]</f>
        <v>2589977.9771315595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4454058.8</v>
      </c>
      <c r="F211" s="21">
        <v>3159911.9085262371</v>
      </c>
      <c r="G211" s="21">
        <f>Table841419410132427323943485356714[[#This Row],[VỐN CP]]+Table841419410132427323943485356714[[#This Row],[LỢI NHUẬN RÒNG]]</f>
        <v>10359911.908526238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2227029.4</v>
      </c>
      <c r="F212" s="21">
        <v>1579955.9542631186</v>
      </c>
      <c r="G212" s="21">
        <f>Table841419410132427323943485356714[[#This Row],[VỐN CP]]+Table841419410132427323943485356714[[#This Row],[LỢI NHUẬN RÒNG]]</f>
        <v>5179955.954263119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1113514.7</v>
      </c>
      <c r="F213" s="21">
        <v>789977.97713155928</v>
      </c>
      <c r="G213" s="21">
        <f>Table841419410132427323943485356714[[#This Row],[VỐN CP]]+Table841419410132427323943485356714[[#This Row],[LỢI NHUẬN RÒNG]]</f>
        <v>2589977.9771315595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2227029.4</v>
      </c>
      <c r="F214" s="21">
        <v>1579955.9542631186</v>
      </c>
      <c r="G214" s="21">
        <f>Table841419410132427323943485356714[[#This Row],[VỐN CP]]+Table841419410132427323943485356714[[#This Row],[LỢI NHUẬN RÒNG]]</f>
        <v>5179955.954263119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2647046.2000000002</v>
      </c>
      <c r="F215" s="21">
        <v>1709044.6761475741</v>
      </c>
      <c r="G215" s="21">
        <f>Table841419410132427323943485356714[[#This Row],[VỐN CP]]+Table841419410132427323943485356714[[#This Row],[LỢI NHUẬN RÒNG]]</f>
        <v>7909044.6761475746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5294092.4000000004</v>
      </c>
      <c r="F216" s="21">
        <v>3418089.3522951482</v>
      </c>
      <c r="G216" s="21">
        <f>Table841419410132427323943485356714[[#This Row],[VỐN CP]]+Table841419410132427323943485356714[[#This Row],[LỢI NHUẬN RÒNG]]</f>
        <v>15818089.352295149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2647046.2000000002</v>
      </c>
      <c r="F217" s="21">
        <v>1709044.6761475741</v>
      </c>
      <c r="G217" s="21">
        <f>Table841419410132427323943485356714[[#This Row],[VỐN CP]]+Table841419410132427323943485356714[[#This Row],[LỢI NHUẬN RÒNG]]</f>
        <v>7909044.6761475746</v>
      </c>
      <c r="H217" s="28"/>
    </row>
    <row r="218" spans="1:8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1323523.1000000001</v>
      </c>
      <c r="F218" s="21">
        <v>854522.33807378705</v>
      </c>
      <c r="G218" s="21">
        <f>Table841419410132427323943485356714[[#This Row],[VỐN CP]]+Table841419410132427323943485356714[[#This Row],[LỢI NHUẬN RÒNG]]</f>
        <v>3954522.3380737873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1323523.1000000001</v>
      </c>
      <c r="F219" s="21">
        <v>854522.33807378705</v>
      </c>
      <c r="G219" s="21">
        <f>Table841419410132427323943485356714[[#This Row],[VỐN CP]]+Table841419410132427323943485356714[[#This Row],[LỢI NHUẬN RÒNG]]</f>
        <v>3954522.3380737873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2647046.2000000002</v>
      </c>
      <c r="F220" s="21">
        <v>1709044.6761475741</v>
      </c>
      <c r="G220" s="21">
        <f>Table841419410132427323943485356714[[#This Row],[VỐN CP]]+Table841419410132427323943485356714[[#This Row],[LỢI NHUẬN RÒNG]]</f>
        <v>7909044.6761475746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1323523.1000000001</v>
      </c>
      <c r="F221" s="21">
        <v>854522.33807378705</v>
      </c>
      <c r="G221" s="21">
        <f>Table841419410132427323943485356714[[#This Row],[VỐN CP]]+Table841419410132427323943485356714[[#This Row],[LỢI NHUẬN RÒNG]]</f>
        <v>3954522.3380737873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2647046.2000000002</v>
      </c>
      <c r="F222" s="21">
        <v>1709044.6761475741</v>
      </c>
      <c r="G222" s="21">
        <f>Table841419410132427323943485356714[[#This Row],[VỐN CP]]+Table841419410132427323943485356714[[#This Row],[LỢI NHUẬN RÒNG]]</f>
        <v>7909044.6761475746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2647046.2000000002</v>
      </c>
      <c r="F223" s="21">
        <v>1709044.6761475741</v>
      </c>
      <c r="G223" s="21">
        <f>Table841419410132427323943485356714[[#This Row],[VỐN CP]]+Table841419410132427323943485356714[[#This Row],[LỢI NHUẬN RÒNG]]</f>
        <v>7909044.6761475746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1323523.1000000001</v>
      </c>
      <c r="F224" s="21">
        <v>854522.33807378705</v>
      </c>
      <c r="G224" s="21">
        <f>Table841419410132427323943485356714[[#This Row],[VỐN CP]]+Table841419410132427323943485356714[[#This Row],[LỢI NHUẬN RÒNG]]</f>
        <v>3954522.3380737873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2647046.2000000002</v>
      </c>
      <c r="F225" s="21">
        <v>1709044.6761475741</v>
      </c>
      <c r="G225" s="21">
        <f>Table841419410132427323943485356714[[#This Row],[VỐN CP]]+Table841419410132427323943485356714[[#This Row],[LỢI NHUẬN RÒNG]]</f>
        <v>7909044.6761475746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1571618.4</v>
      </c>
      <c r="F226" s="21">
        <v>1283607.0072097853</v>
      </c>
      <c r="G226" s="21">
        <f>Table841419410132427323943485356714[[#This Row],[VỐN CP]]+Table841419410132427323943485356714[[#This Row],[LỢI NHUẬN RÒNG]]</f>
        <v>4983607.0072097853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3143236.8</v>
      </c>
      <c r="F227" s="21">
        <v>2567214.0144195706</v>
      </c>
      <c r="G227" s="21">
        <f>Table841419410132427323943485356714[[#This Row],[VỐN CP]]+Table841419410132427323943485356714[[#This Row],[LỢI NHUẬN RÒNG]]</f>
        <v>9967214.0144195706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1571618.4</v>
      </c>
      <c r="F228" s="21">
        <v>1283607.0072097853</v>
      </c>
      <c r="G228" s="21">
        <f>Table841419410132427323943485356714[[#This Row],[VỐN CP]]+Table841419410132427323943485356714[[#This Row],[LỢI NHUẬN RÒNG]]</f>
        <v>4983607.0072097853</v>
      </c>
      <c r="H228" s="28"/>
    </row>
    <row r="229" spans="1:10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785809.2</v>
      </c>
      <c r="F229" s="21">
        <v>641803.50360489264</v>
      </c>
      <c r="G229" s="21">
        <f>Table841419410132427323943485356714[[#This Row],[VỐN CP]]+Table841419410132427323943485356714[[#This Row],[LỢI NHUẬN RÒNG]]</f>
        <v>2491803.5036048926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785809.2</v>
      </c>
      <c r="F230" s="21">
        <v>641803.50360489264</v>
      </c>
      <c r="G230" s="21">
        <f>Table841419410132427323943485356714[[#This Row],[VỐN CP]]+Table841419410132427323943485356714[[#This Row],[LỢI NHUẬN RÒNG]]</f>
        <v>2491803.5036048926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1571618.4</v>
      </c>
      <c r="F231" s="21">
        <v>1283607.0072097853</v>
      </c>
      <c r="G231" s="21">
        <f>Table841419410132427323943485356714[[#This Row],[VỐN CP]]+Table841419410132427323943485356714[[#This Row],[LỢI NHUẬN RÒNG]]</f>
        <v>4983607.0072097853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785809.2</v>
      </c>
      <c r="F232" s="21">
        <v>641803.50360489264</v>
      </c>
      <c r="G232" s="21">
        <f>Table841419410132427323943485356714[[#This Row],[VỐN CP]]+Table841419410132427323943485356714[[#This Row],[LỢI NHUẬN RÒNG]]</f>
        <v>2491803.5036048926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1571618.4</v>
      </c>
      <c r="F233" s="21">
        <v>1283607.0072097853</v>
      </c>
      <c r="G233" s="21">
        <f>Table841419410132427323943485356714[[#This Row],[VỐN CP]]+Table841419410132427323943485356714[[#This Row],[LỢI NHUẬN RÒNG]]</f>
        <v>4983607.0072097853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785809.2</v>
      </c>
      <c r="F234" s="11">
        <v>641803.50360489264</v>
      </c>
      <c r="G234" s="21">
        <f>Table841419410132427323943485356714[[#This Row],[VỐN CP]]+Table841419410132427323943485356714[[#This Row],[LỢI NHUẬN RÒNG]]</f>
        <v>2491803.5036048926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1571618.4</v>
      </c>
      <c r="F235" s="21">
        <v>1283607.0072097853</v>
      </c>
      <c r="G235" s="21">
        <f>Table841419410132427323943485356714[[#This Row],[VỐN CP]]+Table841419410132427323943485356714[[#This Row],[LỢI NHUẬN RÒNG]]</f>
        <v>4983607.0072097853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1571618.4</v>
      </c>
      <c r="F236" s="21">
        <v>1283607.0072097853</v>
      </c>
      <c r="G236" s="21">
        <f>Table841419410132427323943485356714[[#This Row],[VỐN CP]]+Table841419410132427323943485356714[[#This Row],[LỢI NHUẬN RÒNG]]</f>
        <v>4983607.0072097853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1479298.4</v>
      </c>
      <c r="F237" s="21">
        <v>1012104.6447049119</v>
      </c>
      <c r="G237" s="21">
        <f>Table841419410132427323943485356714[[#This Row],[VỐN CP]]+Table841419410132427323943485356714[[#This Row],[LỢI NHUẬN RÒNG]]</f>
        <v>4512104.6447049119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4437895.2</v>
      </c>
      <c r="F238" s="21">
        <v>3036313.9341147356</v>
      </c>
      <c r="G238" s="21">
        <f>Table841419410132427323943485356714[[#This Row],[VỐN CP]]+Table841419410132427323943485356714[[#This Row],[LỢI NHUẬN RÒNG]]</f>
        <v>13536313.934114736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1479298.4</v>
      </c>
      <c r="F239" s="21">
        <v>1012104.6447049119</v>
      </c>
      <c r="G239" s="21">
        <f>Table841419410132427323943485356714[[#This Row],[VỐN CP]]+Table841419410132427323943485356714[[#This Row],[LỢI NHUẬN RÒNG]]</f>
        <v>4512104.6447049119</v>
      </c>
      <c r="H239" s="28"/>
      <c r="I239" s="11"/>
      <c r="J239" s="11"/>
    </row>
    <row r="240" spans="1:10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739649.2</v>
      </c>
      <c r="F240" s="21">
        <v>506052.32235245593</v>
      </c>
      <c r="G240" s="21">
        <f>Table841419410132427323943485356714[[#This Row],[VỐN CP]]+Table841419410132427323943485356714[[#This Row],[LỢI NHUẬN RÒNG]]</f>
        <v>2256052.3223524559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1479298.4</v>
      </c>
      <c r="F241" s="21">
        <v>1012104.6447049119</v>
      </c>
      <c r="G241" s="21">
        <f>Table841419410132427323943485356714[[#This Row],[VỐN CP]]+Table841419410132427323943485356714[[#This Row],[LỢI NHUẬN RÒNG]]</f>
        <v>4512104.6447049119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1479298.4</v>
      </c>
      <c r="F242" s="21">
        <v>1012104.6447049119</v>
      </c>
      <c r="G242" s="21">
        <f>Table841419410132427323943485356714[[#This Row],[VỐN CP]]+Table841419410132427323943485356714[[#This Row],[LỢI NHUẬN RÒNG]]</f>
        <v>4512104.6447049119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1479298.4</v>
      </c>
      <c r="F243" s="21">
        <v>1012104.6447049119</v>
      </c>
      <c r="G243" s="21">
        <f>Table841419410132427323943485356714[[#This Row],[VỐN CP]]+Table841419410132427323943485356714[[#This Row],[LỢI NHUẬN RÒNG]]</f>
        <v>4512104.6447049119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1479298.4</v>
      </c>
      <c r="F244" s="21">
        <v>1012104.6447049119</v>
      </c>
      <c r="G244" s="21">
        <f>Table841419410132427323943485356714[[#This Row],[VỐN CP]]+Table841419410132427323943485356714[[#This Row],[LỢI NHUẬN RÒNG]]</f>
        <v>4512104.6447049119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739649.2</v>
      </c>
      <c r="F245" s="21">
        <v>506052.32235245593</v>
      </c>
      <c r="G245" s="21">
        <f>Table841419410132427323943485356714[[#This Row],[VỐN CP]]+Table841419410132427323943485356714[[#This Row],[LỢI NHUẬN RÒNG]]</f>
        <v>2256052.3223524559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883050.7</v>
      </c>
      <c r="F246" s="21">
        <v>289267.28791718557</v>
      </c>
      <c r="G246" s="21">
        <f>Table841419410132427323943485356714[[#This Row],[VỐN CP]]+Table841419410132427323943485356714[[#This Row],[LỢI NHUẬN RÒNG]]</f>
        <v>5289267.2879171856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1766101.4</v>
      </c>
      <c r="F247" s="21">
        <v>578534.57583437115</v>
      </c>
      <c r="G247" s="21">
        <f>Table841419410132427323943485356714[[#This Row],[VỐN CP]]+Table841419410132427323943485356714[[#This Row],[LỢI NHUẬN RÒNG]]</f>
        <v>10578534.575834371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883050.7</v>
      </c>
      <c r="F248" s="21">
        <v>289267.28791718557</v>
      </c>
      <c r="G248" s="21">
        <f>Table841419410132427323943485356714[[#This Row],[VỐN CP]]+Table841419410132427323943485356714[[#This Row],[LỢI NHUẬN RÒNG]]</f>
        <v>5289267.2879171856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441525.35</v>
      </c>
      <c r="F249" s="21">
        <v>144633.64395859279</v>
      </c>
      <c r="G249" s="21">
        <f>Table841419410132427323943485356714[[#This Row],[VỐN CP]]+Table841419410132427323943485356714[[#This Row],[LỢI NHUẬN RÒNG]]</f>
        <v>2644633.6439585928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883050.7</v>
      </c>
      <c r="F250" s="21">
        <v>289267.28791718557</v>
      </c>
      <c r="G250" s="21">
        <f>Table841419410132427323943485356714[[#This Row],[VỐN CP]]+Table841419410132427323943485356714[[#This Row],[LỢI NHUẬN RÒNG]]</f>
        <v>5289267.2879171856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441525.35</v>
      </c>
      <c r="F251" s="21">
        <v>144633.64395859279</v>
      </c>
      <c r="G251" s="21">
        <f>Table841419410132427323943485356714[[#This Row],[VỐN CP]]+Table841419410132427323943485356714[[#This Row],[LỢI NHUẬN RÒNG]]</f>
        <v>2644633.6439585928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883050.7</v>
      </c>
      <c r="F252" s="21">
        <v>289267.28791718557</v>
      </c>
      <c r="G252" s="21">
        <f>Table841419410132427323943485356714[[#This Row],[VỐN CP]]+Table841419410132427323943485356714[[#This Row],[LỢI NHUẬN RÒNG]]</f>
        <v>5289267.2879171856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441525.35</v>
      </c>
      <c r="F253" s="21">
        <v>144633.64395859279</v>
      </c>
      <c r="G253" s="21">
        <f>Table841419410132427323943485356714[[#This Row],[VỐN CP]]+Table841419410132427323943485356714[[#This Row],[LỢI NHUẬN RÒNG]]</f>
        <v>2644633.6439585928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441525.35</v>
      </c>
      <c r="F254" s="21">
        <v>144633.64395859279</v>
      </c>
      <c r="G254" s="21">
        <f>Table841419410132427323943485356714[[#This Row],[VỐN CP]]+Table841419410132427323943485356714[[#This Row],[LỢI NHUẬN RÒNG]]</f>
        <v>2644633.6439585928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883050.7</v>
      </c>
      <c r="F255" s="21">
        <v>289267.28791718557</v>
      </c>
      <c r="G255" s="21">
        <f>Table841419410132427323943485356714[[#This Row],[VỐN CP]]+Table841419410132427323943485356714[[#This Row],[LỢI NHUẬN RÒNG]]</f>
        <v>5289267.2879171856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441525.35</v>
      </c>
      <c r="F256" s="21">
        <v>144633.64395859279</v>
      </c>
      <c r="G256" s="21">
        <f>Table841419410132427323943485356714[[#This Row],[VỐN CP]]+Table841419410132427323943485356714[[#This Row],[LỢI NHUẬN RÒNG]]</f>
        <v>2644633.6439585928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441525.35</v>
      </c>
      <c r="F257" s="21">
        <v>144633.64395859279</v>
      </c>
      <c r="G257" s="21">
        <f>Table841419410132427323943485356714[[#This Row],[VỐN CP]]+Table841419410132427323943485356714[[#This Row],[LỢI NHUẬN RÒNG]]</f>
        <v>2644633.6439585928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934573.2</v>
      </c>
      <c r="F258" s="21">
        <v>625256.53039981087</v>
      </c>
      <c r="G258" s="21">
        <f>Table841419410132427323943485356714[[#This Row],[VỐN CP]]+Table841419410132427323943485356714[[#This Row],[LỢI NHUẬN RÒNG]]</f>
        <v>2525256.530399811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1869146.4</v>
      </c>
      <c r="F259" s="21">
        <v>1250513.0607996217</v>
      </c>
      <c r="G259" s="21">
        <f>Table841419410132427323943485356714[[#This Row],[VỐN CP]]+Table841419410132427323943485356714[[#This Row],[LỢI NHUẬN RÒNG]]</f>
        <v>5050513.060799622</v>
      </c>
      <c r="H259" s="28"/>
      <c r="I259" s="11"/>
      <c r="J259" s="11"/>
    </row>
    <row r="260" spans="1:10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467286.6</v>
      </c>
      <c r="F260" s="21">
        <v>312628.26519990544</v>
      </c>
      <c r="G260" s="21">
        <f>Table841419410132427323943485356714[[#This Row],[VỐN CP]]+Table841419410132427323943485356714[[#This Row],[LỢI NHUẬN RÒNG]]</f>
        <v>1262628.2651999055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934573.2</v>
      </c>
      <c r="F261" s="21">
        <v>625256.53039981087</v>
      </c>
      <c r="G261" s="21">
        <f>Table841419410132427323943485356714[[#This Row],[VỐN CP]]+Table841419410132427323943485356714[[#This Row],[LỢI NHUẬN RÒNG]]</f>
        <v>2525256.530399811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1401859.8</v>
      </c>
      <c r="F262" s="21">
        <v>937884.79559971625</v>
      </c>
      <c r="G262" s="21">
        <f>Table841419410132427323943485356714[[#This Row],[VỐN CP]]+Table841419410132427323943485356714[[#This Row],[LỢI NHUẬN RÒNG]]</f>
        <v>3787884.7955997162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934573.2</v>
      </c>
      <c r="F263" s="21">
        <v>625256.53039981087</v>
      </c>
      <c r="G263" s="21">
        <f>Table841419410132427323943485356714[[#This Row],[VỐN CP]]+Table841419410132427323943485356714[[#This Row],[LỢI NHUẬN RÒNG]]</f>
        <v>2525256.530399811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467286.6</v>
      </c>
      <c r="F264" s="21">
        <v>312628.26519990544</v>
      </c>
      <c r="G264" s="21">
        <f>Table841419410132427323943485356714[[#This Row],[VỐN CP]]+Table841419410132427323943485356714[[#This Row],[LỢI NHUẬN RÒNG]]</f>
        <v>1262628.2651999055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1869146.4</v>
      </c>
      <c r="F265" s="21">
        <v>1250513.0607996217</v>
      </c>
      <c r="G265" s="21">
        <f>Table841419410132427323943485356714[[#This Row],[VỐN CP]]+Table841419410132427323943485356714[[#This Row],[LỢI NHUẬN RÒNG]]</f>
        <v>5050513.060799622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467286.6</v>
      </c>
      <c r="F266" s="21">
        <v>312628.26519990544</v>
      </c>
      <c r="G266" s="21">
        <f>Table841419410132427323943485356714[[#This Row],[VỐN CP]]+Table841419410132427323943485356714[[#This Row],[LỢI NHUẬN RÒNG]]</f>
        <v>1262628.2651999055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2734887.3</v>
      </c>
      <c r="F267" s="21">
        <v>1955194.8327266872</v>
      </c>
      <c r="G267" s="21">
        <f>Table841419410132427323943485356714[[#This Row],[VỐN CP]]+Table841419410132427323943485356714[[#This Row],[LỢI NHUẬN RÒNG]]</f>
        <v>3455194.8327266872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911629.1</v>
      </c>
      <c r="F268" s="21">
        <v>651731.61090889573</v>
      </c>
      <c r="G268" s="21">
        <f>Table841419410132427323943485356714[[#This Row],[VỐN CP]]+Table841419410132427323943485356714[[#This Row],[LỢI NHUẬN RÒNG]]</f>
        <v>1151731.6109088957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1823258.2</v>
      </c>
      <c r="F269" s="21">
        <v>1303463.2218177915</v>
      </c>
      <c r="G269" s="21">
        <f>Table841419410132427323943485356714[[#This Row],[VỐN CP]]+Table841419410132427323943485356714[[#This Row],[LỢI NHUẬN RÒNG]]</f>
        <v>2303463.2218177915</v>
      </c>
      <c r="H269" s="28"/>
      <c r="I269" s="11"/>
      <c r="J269" s="11"/>
    </row>
    <row r="270" spans="1:10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911629.1</v>
      </c>
      <c r="F270" s="21">
        <v>651731.61090889573</v>
      </c>
      <c r="G270" s="21">
        <f>Table841419410132427323943485356714[[#This Row],[VỐN CP]]+Table841419410132427323943485356714[[#This Row],[LỢI NHUẬN RÒNG]]</f>
        <v>1151731.6109088957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911629.1</v>
      </c>
      <c r="F271" s="21">
        <v>651731.61090889573</v>
      </c>
      <c r="G271" s="21">
        <f>Table841419410132427323943485356714[[#This Row],[VỐN CP]]+Table841419410132427323943485356714[[#This Row],[LỢI NHUẬN RÒNG]]</f>
        <v>1151731.6109088957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911629.1</v>
      </c>
      <c r="F272" s="21">
        <v>651731.61090889573</v>
      </c>
      <c r="G272" s="21">
        <f>Table841419410132427323943485356714[[#This Row],[VỐN CP]]+Table841419410132427323943485356714[[#This Row],[LỢI NHUẬN RÒNG]]</f>
        <v>1151731.6109088957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2734887.3</v>
      </c>
      <c r="F273" s="21">
        <v>1955194.8327266872</v>
      </c>
      <c r="G273" s="21">
        <f>Table841419410132427323943485356714[[#This Row],[VỐN CP]]+Table841419410132427323943485356714[[#This Row],[LỢI NHUẬN RÒNG]]</f>
        <v>3455194.8327266872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911629.1</v>
      </c>
      <c r="F274" s="21">
        <v>651731.61090889573</v>
      </c>
      <c r="G274" s="21">
        <f>Table841419410132427323943485356714[[#This Row],[VỐN CP]]+Table841419410132427323943485356714[[#This Row],[LỢI NHUẬN RÒNG]]</f>
        <v>1151731.6109088957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1823258.2</v>
      </c>
      <c r="F275" s="21">
        <v>1303463.2218177915</v>
      </c>
      <c r="G275" s="21">
        <f>Table841419410132427323943485356714[[#This Row],[VỐN CP]]+Table841419410132427323943485356714[[#This Row],[LỢI NHUẬN RÒNG]]</f>
        <v>2303463.2218177915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1823258.2</v>
      </c>
      <c r="F276" s="21">
        <v>1303463.2218177915</v>
      </c>
      <c r="G276" s="21">
        <f>Table841419410132427323943485356714[[#This Row],[VỐN CP]]+Table841419410132427323943485356714[[#This Row],[LỢI NHUẬN RÒNG]]</f>
        <v>2303463.2218177915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911629.1</v>
      </c>
      <c r="F277" s="21">
        <v>651731.61090889573</v>
      </c>
      <c r="G277" s="21">
        <f>Table841419410132427323943485356714[[#This Row],[VỐN CP]]+Table841419410132427323943485356714[[#This Row],[LỢI NHUẬN RÒNG]]</f>
        <v>1151731.6109088957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1823258.2</v>
      </c>
      <c r="F278" s="21">
        <v>1303463.2218177915</v>
      </c>
      <c r="G278" s="21">
        <f>Table841419410132427323943485356714[[#This Row],[VỐN CP]]+Table841419410132427323943485356714[[#This Row],[LỢI NHUẬN RÒNG]]</f>
        <v>2303463.2218177915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2528554.6</v>
      </c>
      <c r="F279" s="21">
        <v>1366051.817358172</v>
      </c>
      <c r="G279" s="21">
        <f>Table841419410132427323943485356714[[#This Row],[VỐN CP]]+Table841419410132427323943485356714[[#This Row],[LỢI NHUẬN RÒNG]]</f>
        <v>8566051.8173581716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1264277.3</v>
      </c>
      <c r="F280" s="21">
        <v>683025.90867908602</v>
      </c>
      <c r="G280" s="21">
        <f>Table841419410132427323943485356714[[#This Row],[VỐN CP]]+Table841419410132427323943485356714[[#This Row],[LỢI NHUẬN RÒNG]]</f>
        <v>4283025.9086790858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1264277.3</v>
      </c>
      <c r="F281" s="21">
        <v>683025.90867908602</v>
      </c>
      <c r="G281" s="21">
        <f>Table841419410132427323943485356714[[#This Row],[VỐN CP]]+Table841419410132427323943485356714[[#This Row],[LỢI NHUẬN RÒNG]]</f>
        <v>4283025.9086790858</v>
      </c>
      <c r="H281" s="28"/>
      <c r="I281" s="11"/>
      <c r="J281" s="11"/>
    </row>
    <row r="282" spans="1:10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632138.65</v>
      </c>
      <c r="F282" s="21">
        <v>341512.95433954301</v>
      </c>
      <c r="G282" s="21">
        <f>Table841419410132427323943485356714[[#This Row],[VỐN CP]]+Table841419410132427323943485356714[[#This Row],[LỢI NHUẬN RÒNG]]</f>
        <v>2141512.9543395429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632138.65</v>
      </c>
      <c r="F283" s="21">
        <v>341512.95433954301</v>
      </c>
      <c r="G283" s="21">
        <f>Table841419410132427323943485356714[[#This Row],[VỐN CP]]+Table841419410132427323943485356714[[#This Row],[LỢI NHUẬN RÒNG]]</f>
        <v>2141512.9543395429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632138.65</v>
      </c>
      <c r="F284" s="21">
        <v>341512.95433954301</v>
      </c>
      <c r="G284" s="21">
        <f>Table841419410132427323943485356714[[#This Row],[VỐN CP]]+Table841419410132427323943485356714[[#This Row],[LỢI NHUẬN RÒNG]]</f>
        <v>2141512.9543395429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1896415.95</v>
      </c>
      <c r="F285" s="21">
        <v>1024538.8630186289</v>
      </c>
      <c r="G285" s="21">
        <f>Table841419410132427323943485356714[[#This Row],[VỐN CP]]+Table841419410132427323943485356714[[#This Row],[LỢI NHUẬN RÒNG]]</f>
        <v>6424538.8630186291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632138.65</v>
      </c>
      <c r="F286" s="21">
        <v>341512.95433954301</v>
      </c>
      <c r="G286" s="21">
        <f>Table841419410132427323943485356714[[#This Row],[VỐN CP]]+Table841419410132427323943485356714[[#This Row],[LỢI NHUẬN RÒNG]]</f>
        <v>2141512.9543395429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1896415.95</v>
      </c>
      <c r="F287" s="21">
        <v>1024538.8630186289</v>
      </c>
      <c r="G287" s="21">
        <f>Table841419410132427323943485356714[[#This Row],[VỐN CP]]+Table841419410132427323943485356714[[#This Row],[LỢI NHUẬN RÒNG]]</f>
        <v>6424538.8630186291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1264277.3</v>
      </c>
      <c r="F288" s="21">
        <v>683025.90867908602</v>
      </c>
      <c r="G288" s="21">
        <f>Table841419410132427323943485356714[[#This Row],[VỐN CP]]+Table841419410132427323943485356714[[#This Row],[LỢI NHUẬN RÒNG]]</f>
        <v>4283025.9086790858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2214264</v>
      </c>
      <c r="F289" s="21">
        <v>1620385.0114484534</v>
      </c>
      <c r="G289" s="21">
        <f>Table841419410132427323943485356714[[#This Row],[VỐN CP]]+Table841419410132427323943485356714[[#This Row],[LỢI NHUẬN RÒNG]]</f>
        <v>6820385.0114484532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1107132</v>
      </c>
      <c r="F290" s="21">
        <v>810192.50572422671</v>
      </c>
      <c r="G290" s="21">
        <f>Table841419410132427323943485356714[[#This Row],[VỐN CP]]+Table841419410132427323943485356714[[#This Row],[LỢI NHUẬN RÒNG]]</f>
        <v>3410192.5057242266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1107132</v>
      </c>
      <c r="F291" s="21">
        <v>810192.50572422671</v>
      </c>
      <c r="G291" s="21">
        <f>Table841419410132427323943485356714[[#This Row],[VỐN CP]]+Table841419410132427323943485356714[[#This Row],[LỢI NHUẬN RÒNG]]</f>
        <v>3410192.5057242266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2214264</v>
      </c>
      <c r="F292" s="21">
        <v>1620385.0114484534</v>
      </c>
      <c r="G292" s="21">
        <f>Table841419410132427323943485356714[[#This Row],[VỐN CP]]+Table841419410132427323943485356714[[#This Row],[LỢI NHUẬN RÒNG]]</f>
        <v>6820385.0114484532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553566</v>
      </c>
      <c r="F293" s="21">
        <v>405096.25286211335</v>
      </c>
      <c r="G293" s="21">
        <f>Table841419410132427323943485356714[[#This Row],[VỐN CP]]+Table841419410132427323943485356714[[#This Row],[LỢI NHUẬN RÒNG]]</f>
        <v>1705096.2528621133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553566</v>
      </c>
      <c r="F294" s="21">
        <v>405096.25286211335</v>
      </c>
      <c r="G294" s="21">
        <f>Table841419410132427323943485356714[[#This Row],[VỐN CP]]+Table841419410132427323943485356714[[#This Row],[LỢI NHUẬN RÒNG]]</f>
        <v>1705096.2528621133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553566</v>
      </c>
      <c r="F295" s="21">
        <v>405096.25286211335</v>
      </c>
      <c r="G295" s="21">
        <f>Table841419410132427323943485356714[[#This Row],[VỐN CP]]+Table841419410132427323943485356714[[#This Row],[LỢI NHUẬN RÒNG]]</f>
        <v>1705096.2528621133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1660698</v>
      </c>
      <c r="F296" s="21">
        <v>1215288.7585863399</v>
      </c>
      <c r="G296" s="21">
        <f>Table841419410132427323943485356714[[#This Row],[VỐN CP]]+Table841419410132427323943485356714[[#This Row],[LỢI NHUẬN RÒNG]]</f>
        <v>5115288.7585863397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1107132</v>
      </c>
      <c r="F297" s="21">
        <v>810192.50572422671</v>
      </c>
      <c r="G297" s="21">
        <f>Table841419410132427323943485356714[[#This Row],[VỐN CP]]+Table841419410132427323943485356714[[#This Row],[LỢI NHUẬN RÒNG]]</f>
        <v>3410192.5057242266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6909637.6000000024</v>
      </c>
      <c r="F298" s="21">
        <v>4465180.8205995262</v>
      </c>
      <c r="G298" s="21">
        <f>Table841419410132427323943485356714[[#This Row],[VỐN CP]]+Table841419410132427323943485356714[[#This Row],[LỢI NHUẬN RÒNG]]</f>
        <v>23905180.820599526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3454818.8000000012</v>
      </c>
      <c r="F299" s="21">
        <v>2232590.4102997631</v>
      </c>
      <c r="G299" s="21">
        <f>Table841419410132427323943485356714[[#This Row],[VỐN CP]]+Table841419410132427323943485356714[[#This Row],[LỢI NHUẬN RÒNG]]</f>
        <v>11952590.410299763</v>
      </c>
      <c r="H299" s="28"/>
      <c r="I299" s="11"/>
      <c r="J299" s="11"/>
    </row>
    <row r="300" spans="1:10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1151606.2666666671</v>
      </c>
      <c r="F300" s="21">
        <v>744196.80343325436</v>
      </c>
      <c r="G300" s="21">
        <f>Table841419410132427323943485356714[[#This Row],[VỐN CP]]+Table841419410132427323943485356714[[#This Row],[LỢI NHUẬN RÒNG]]</f>
        <v>3984196.8034332544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3454818.8000000012</v>
      </c>
      <c r="F301" s="21">
        <v>2232590.4102997631</v>
      </c>
      <c r="G301" s="21">
        <f>Table841419410132427323943485356714[[#This Row],[VỐN CP]]+Table841419410132427323943485356714[[#This Row],[LỢI NHUẬN RÒNG]]</f>
        <v>11952590.410299763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1151606.2666666671</v>
      </c>
      <c r="F302" s="21">
        <v>744196.80343325436</v>
      </c>
      <c r="G302" s="21">
        <f>Table841419410132427323943485356714[[#This Row],[VỐN CP]]+Table841419410132427323943485356714[[#This Row],[LỢI NHUẬN RÒNG]]</f>
        <v>3984196.8034332544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1151606.2666666671</v>
      </c>
      <c r="F303" s="21">
        <v>744196.80343325436</v>
      </c>
      <c r="G303" s="21">
        <f>Table841419410132427323943485356714[[#This Row],[VỐN CP]]+Table841419410132427323943485356714[[#This Row],[LỢI NHUẬN RÒNG]]</f>
        <v>3984196.8034332544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3454818.8000000012</v>
      </c>
      <c r="F304" s="21">
        <v>2232590.4102997631</v>
      </c>
      <c r="G304" s="21">
        <f>Table841419410132427323943485356714[[#This Row],[VỐN CP]]+Table841419410132427323943485356714[[#This Row],[LỢI NHUẬN RÒNG]]</f>
        <v>11952590.410299763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2303212.5333333341</v>
      </c>
      <c r="F305" s="21">
        <v>1488393.6068665087</v>
      </c>
      <c r="G305" s="21">
        <f>Table841419410132427323943485356714[[#This Row],[VỐN CP]]+Table841419410132427323943485356714[[#This Row],[LỢI NHUẬN RÒNG]]</f>
        <v>7968393.6068665087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4125487.2</v>
      </c>
      <c r="F306" s="21">
        <v>2396900.056375511</v>
      </c>
      <c r="G306" s="21">
        <f>Table841419410132427323943485356714[[#This Row],[VỐN CP]]+Table841419410132427323943485356714[[#This Row],[LỢI NHUẬN RÒNG]]</f>
        <v>14396900.056375511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1375162.4</v>
      </c>
      <c r="F307" s="21">
        <v>798966.68545850366</v>
      </c>
      <c r="G307" s="21">
        <f>Table841419410132427323943485356714[[#This Row],[VỐN CP]]+Table841419410132427323943485356714[[#This Row],[LỢI NHUẬN RÒNG]]</f>
        <v>4798966.6854585037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5500649.5999999996</v>
      </c>
      <c r="F308" s="21">
        <v>3195866.7418340147</v>
      </c>
      <c r="G308" s="21">
        <f>Table841419410132427323943485356714[[#This Row],[VỐN CP]]+Table841419410132427323943485356714[[#This Row],[LỢI NHUẬN RÒNG]]</f>
        <v>19195866.741834015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1375162.4</v>
      </c>
      <c r="F309" s="21">
        <v>798966.68545850366</v>
      </c>
      <c r="G309" s="21">
        <f>Table841419410132427323943485356714[[#This Row],[VỐN CP]]+Table841419410132427323943485356714[[#This Row],[LỢI NHUẬN RÒNG]]</f>
        <v>4798966.6854585037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1375162.4</v>
      </c>
      <c r="F310" s="21">
        <v>798966.68545850366</v>
      </c>
      <c r="G310" s="21">
        <f>Table841419410132427323943485356714[[#This Row],[VỐN CP]]+Table841419410132427323943485356714[[#This Row],[LỢI NHUẬN RÒNG]]</f>
        <v>4798966.6854585037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2750324.8</v>
      </c>
      <c r="F311" s="21">
        <v>1597933.3709170073</v>
      </c>
      <c r="G311" s="21">
        <f>Table841419410132427323943485356714[[#This Row],[VỐN CP]]+Table841419410132427323943485356714[[#This Row],[LỢI NHUẬN RÒNG]]</f>
        <v>9597933.3709170073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1375162.4</v>
      </c>
      <c r="F312" s="21">
        <v>798966.68545850366</v>
      </c>
      <c r="G312" s="21">
        <f>Table841419410132427323943485356714[[#This Row],[VỐN CP]]+Table841419410132427323943485356714[[#This Row],[LỢI NHUẬN RÒNG]]</f>
        <v>4798966.6854585037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2750324.8</v>
      </c>
      <c r="F313" s="21">
        <v>1597933.3709170073</v>
      </c>
      <c r="G313" s="21">
        <f>Table841419410132427323943485356714[[#This Row],[VỐN CP]]+Table841419410132427323943485356714[[#This Row],[LỢI NHUẬN RÒNG]]</f>
        <v>9597933.3709170073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1375162.4</v>
      </c>
      <c r="F314" s="21">
        <v>798966.68545850366</v>
      </c>
      <c r="G314" s="21">
        <f>Table841419410132427323943485356714[[#This Row],[VỐN CP]]+Table841419410132427323943485356714[[#This Row],[LỢI NHUẬN RÒNG]]</f>
        <v>4798966.6854585037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5500649.5999999996</v>
      </c>
      <c r="F315" s="21">
        <v>3195866.7418340147</v>
      </c>
      <c r="G315" s="21">
        <f>Table841419410132427323943485356714[[#This Row],[VỐN CP]]+Table841419410132427323943485356714[[#This Row],[LỢI NHUẬN RÒNG]]</f>
        <v>19195866.741834015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3321789</v>
      </c>
      <c r="F316" s="21">
        <v>2289080.4914047346</v>
      </c>
      <c r="G316" s="21">
        <f>Table841419410132427323943485356714[[#This Row],[VỐN CP]]+Table841419410132427323943485356714[[#This Row],[LỢI NHUẬN RÒNG]]</f>
        <v>10284080.491404735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1107263</v>
      </c>
      <c r="F317" s="21">
        <v>763026.83046824485</v>
      </c>
      <c r="G317" s="21">
        <f>Table841419410132427323943485356714[[#This Row],[VỐN CP]]+Table841419410132427323943485356714[[#This Row],[LỢI NHUẬN RÒNG]]</f>
        <v>3428026.8304682449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2214526</v>
      </c>
      <c r="F318" s="21">
        <v>1526053.6609364897</v>
      </c>
      <c r="G318" s="21">
        <f>Table841419410132427323943485356714[[#This Row],[VỐN CP]]+Table841419410132427323943485356714[[#This Row],[LỢI NHUẬN RÒNG]]</f>
        <v>6856053.6609364897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1107263</v>
      </c>
      <c r="F319" s="21">
        <v>763026.83046824485</v>
      </c>
      <c r="G319" s="21">
        <f>Table841419410132427323943485356714[[#This Row],[VỐN CP]]+Table841419410132427323943485356714[[#This Row],[LỢI NHUẬN RÒNG]]</f>
        <v>3428026.8304682449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1107263</v>
      </c>
      <c r="F320" s="21">
        <v>763026.83046824485</v>
      </c>
      <c r="G320" s="21">
        <f>Table841419410132427323943485356714[[#This Row],[VỐN CP]]+Table841419410132427323943485356714[[#This Row],[LỢI NHUẬN RÒNG]]</f>
        <v>3428026.8304682449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4429052</v>
      </c>
      <c r="F321" s="21">
        <v>3052107.3218729794</v>
      </c>
      <c r="G321" s="21">
        <f>Table841419410132427323943485356714[[#This Row],[VỐN CP]]+Table841419410132427323943485356714[[#This Row],[LỢI NHUẬN RÒNG]]</f>
        <v>13712107.321872979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1107263</v>
      </c>
      <c r="F322" s="21">
        <v>763026.83046824485</v>
      </c>
      <c r="G322" s="21">
        <f>Table841419410132427323943485356714[[#This Row],[VỐN CP]]+Table841419410132427323943485356714[[#This Row],[LỢI NHUẬN RÒNG]]</f>
        <v>3428026.8304682449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1107263</v>
      </c>
      <c r="F323" s="21">
        <v>763026.83046824485</v>
      </c>
      <c r="G323" s="21">
        <f>Table841419410132427323943485356714[[#This Row],[VỐN CP]]+Table841419410132427323943485356714[[#This Row],[LỢI NHUẬN RÒNG]]</f>
        <v>3428026.8304682449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1107263</v>
      </c>
      <c r="F324" s="21">
        <v>763026.83046824485</v>
      </c>
      <c r="G324" s="21">
        <f>Table841419410132427323943485356714[[#This Row],[VỐN CP]]+Table841419410132427323943485356714[[#This Row],[LỢI NHUẬN RÒNG]]</f>
        <v>3428026.8304682449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1107263</v>
      </c>
      <c r="F325" s="21">
        <v>763026.83046824485</v>
      </c>
      <c r="G325" s="21">
        <f>Table841419410132427323943485356714[[#This Row],[VỐN CP]]+Table841419410132427323943485356714[[#This Row],[LỢI NHUẬN RÒNG]]</f>
        <v>3428026.8304682449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1107263</v>
      </c>
      <c r="F326" s="21">
        <v>763026.83046824485</v>
      </c>
      <c r="G326" s="21">
        <f>Table841419410132427323943485356714[[#This Row],[VỐN CP]]+Table841419410132427323943485356714[[#This Row],[LỢI NHUẬN RÒNG]]</f>
        <v>3428026.8304682449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2214526</v>
      </c>
      <c r="F327" s="21">
        <v>1526053.6609364897</v>
      </c>
      <c r="G327" s="21">
        <f>Table841419410132427323943485356714[[#This Row],[VỐN CP]]+Table841419410132427323943485356714[[#This Row],[LỢI NHUẬN RÒNG]]</f>
        <v>6856053.6609364897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1107263</v>
      </c>
      <c r="F328" s="21">
        <v>763026.83046824485</v>
      </c>
      <c r="G328" s="21">
        <f>Table841419410132427323943485356714[[#This Row],[VỐN CP]]+Table841419410132427323943485356714[[#This Row],[LỢI NHUẬN RÒNG]]</f>
        <v>3428026.8304682449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1952026</v>
      </c>
      <c r="F329" s="21">
        <v>777132.08797877131</v>
      </c>
      <c r="G329" s="21">
        <f>Table841419410132427323943485356714[[#This Row],[VỐN CP]]+Table841419410132427323943485356714[[#This Row],[LỢI NHUẬN RÒNG]]</f>
        <v>11277132.087978771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1952026</v>
      </c>
      <c r="F330" s="21">
        <v>777132.08797877131</v>
      </c>
      <c r="G330" s="21">
        <f>Table841419410132427323943485356714[[#This Row],[VỐN CP]]+Table841419410132427323943485356714[[#This Row],[LỢI NHUẬN RÒNG]]</f>
        <v>11277132.087978771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2928039</v>
      </c>
      <c r="F331" s="21">
        <v>1165698.1319681569</v>
      </c>
      <c r="G331" s="21">
        <f>Table841419410132427323943485356714[[#This Row],[VỐN CP]]+Table841419410132427323943485356714[[#This Row],[LỢI NHUẬN RÒNG]]</f>
        <v>16915698.131968156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976013</v>
      </c>
      <c r="F332" s="21">
        <v>388566.04398938565</v>
      </c>
      <c r="G332" s="21">
        <f>Table841419410132427323943485356714[[#This Row],[VỐN CP]]+Table841419410132427323943485356714[[#This Row],[LỢI NHUẬN RÒNG]]</f>
        <v>5638566.0439893855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976013</v>
      </c>
      <c r="F333" s="21">
        <v>388566.04398938565</v>
      </c>
      <c r="G333" s="21">
        <f>Table841419410132427323943485356714[[#This Row],[VỐN CP]]+Table841419410132427323943485356714[[#This Row],[LỢI NHUẬN RÒNG]]</f>
        <v>5638566.0439893855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1952026</v>
      </c>
      <c r="F334" s="21">
        <v>777132.08797877131</v>
      </c>
      <c r="G334" s="21">
        <f>Table841419410132427323943485356714[[#This Row],[VỐN CP]]+Table841419410132427323943485356714[[#This Row],[LỢI NHUẬN RÒNG]]</f>
        <v>11277132.087978771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976013</v>
      </c>
      <c r="F335" s="21">
        <v>388566.04398938565</v>
      </c>
      <c r="G335" s="21">
        <f>Table841419410132427323943485356714[[#This Row],[VỐN CP]]+Table841419410132427323943485356714[[#This Row],[LỢI NHUẬN RÒNG]]</f>
        <v>5638566.0439893855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3904052</v>
      </c>
      <c r="F336" s="21">
        <v>1554264.1759575426</v>
      </c>
      <c r="G336" s="21">
        <f>Table841419410132427323943485356714[[#This Row],[VỐN CP]]+Table841419410132427323943485356714[[#This Row],[LỢI NHUẬN RÒNG]]</f>
        <v>22554264.175957542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3904052</v>
      </c>
      <c r="F337" s="21">
        <v>1554264.1759575426</v>
      </c>
      <c r="G337" s="21">
        <f>Table841419410132427323943485356714[[#This Row],[VỐN CP]]+Table841419410132427323943485356714[[#This Row],[LỢI NHUẬN RÒNG]]</f>
        <v>22554264.175957542</v>
      </c>
      <c r="H337" s="28"/>
      <c r="I337" s="11"/>
      <c r="J337" s="11"/>
    </row>
    <row r="338" spans="1:10" hidden="1" x14ac:dyDescent="0.3">
      <c r="A338" s="23" t="s">
        <v>75</v>
      </c>
      <c r="B338" s="27" t="s">
        <v>9</v>
      </c>
      <c r="C338" s="21">
        <v>10</v>
      </c>
      <c r="D338" s="21"/>
      <c r="E338" s="21"/>
      <c r="F338" s="21"/>
      <c r="G338" s="21">
        <v>3017032.7</v>
      </c>
      <c r="H338" s="28"/>
      <c r="I338" s="11"/>
      <c r="J338" s="11"/>
    </row>
    <row r="339" spans="1:10" hidden="1" x14ac:dyDescent="0.3">
      <c r="A339" s="23" t="s">
        <v>75</v>
      </c>
      <c r="B339" s="27" t="s">
        <v>19</v>
      </c>
      <c r="C339" s="21">
        <v>10</v>
      </c>
      <c r="D339" s="21"/>
      <c r="E339" s="21"/>
      <c r="F339" s="21"/>
      <c r="G339" s="21">
        <v>3017032.7</v>
      </c>
      <c r="H339" s="28"/>
      <c r="I339" s="11"/>
      <c r="J339" s="11"/>
    </row>
    <row r="340" spans="1:10" hidden="1" x14ac:dyDescent="0.3">
      <c r="A340" s="23" t="s">
        <v>75</v>
      </c>
      <c r="B340" s="27" t="s">
        <v>37</v>
      </c>
      <c r="C340" s="21">
        <v>20</v>
      </c>
      <c r="D340" s="21"/>
      <c r="E340" s="21"/>
      <c r="F340" s="21"/>
      <c r="G340" s="21">
        <v>6034065.4000000004</v>
      </c>
      <c r="H340" s="28"/>
      <c r="I340" s="11"/>
      <c r="J340" s="11"/>
    </row>
    <row r="341" spans="1:10" x14ac:dyDescent="0.3">
      <c r="A341" s="23" t="s">
        <v>75</v>
      </c>
      <c r="B341" s="27" t="s">
        <v>33</v>
      </c>
      <c r="C341" s="21">
        <v>5</v>
      </c>
      <c r="D341" s="21"/>
      <c r="E341" s="21"/>
      <c r="F341" s="21"/>
      <c r="G341" s="21">
        <v>1508516.35</v>
      </c>
      <c r="H341" s="28"/>
      <c r="I341" s="11"/>
      <c r="J341" s="11"/>
    </row>
    <row r="342" spans="1:10" hidden="1" x14ac:dyDescent="0.3">
      <c r="A342" s="23" t="s">
        <v>75</v>
      </c>
      <c r="B342" s="27" t="s">
        <v>31</v>
      </c>
      <c r="C342" s="21">
        <v>10</v>
      </c>
      <c r="D342" s="21"/>
      <c r="E342" s="21"/>
      <c r="F342" s="21"/>
      <c r="G342" s="21">
        <v>3017032.7</v>
      </c>
      <c r="H342" s="28"/>
      <c r="I342" s="11"/>
      <c r="J342" s="11"/>
    </row>
    <row r="343" spans="1:10" hidden="1" x14ac:dyDescent="0.3">
      <c r="A343" s="23" t="s">
        <v>75</v>
      </c>
      <c r="B343" s="27" t="s">
        <v>15</v>
      </c>
      <c r="C343" s="21">
        <v>5</v>
      </c>
      <c r="D343" s="21"/>
      <c r="E343" s="21"/>
      <c r="F343" s="21"/>
      <c r="G343" s="21">
        <v>1508516.35</v>
      </c>
      <c r="H343" s="28"/>
      <c r="I343" s="11"/>
      <c r="J343" s="11"/>
    </row>
    <row r="344" spans="1:10" hidden="1" x14ac:dyDescent="0.3">
      <c r="A344" s="23" t="s">
        <v>75</v>
      </c>
      <c r="B344" s="27" t="s">
        <v>21</v>
      </c>
      <c r="C344" s="21">
        <v>10</v>
      </c>
      <c r="D344" s="21"/>
      <c r="E344" s="21"/>
      <c r="F344" s="21"/>
      <c r="G344" s="21">
        <v>3017032.7</v>
      </c>
      <c r="H344" s="28"/>
      <c r="I344" s="11"/>
      <c r="J344" s="11"/>
    </row>
    <row r="345" spans="1:10" hidden="1" x14ac:dyDescent="0.3">
      <c r="A345" s="23" t="s">
        <v>75</v>
      </c>
      <c r="B345" s="27" t="s">
        <v>10</v>
      </c>
      <c r="C345" s="21">
        <v>10</v>
      </c>
      <c r="D345" s="21"/>
      <c r="E345" s="21"/>
      <c r="F345" s="21"/>
      <c r="G345" s="21">
        <v>3017032.7</v>
      </c>
      <c r="H345" s="28"/>
      <c r="I345" s="11"/>
      <c r="J345" s="11"/>
    </row>
    <row r="346" spans="1:10" hidden="1" x14ac:dyDescent="0.3">
      <c r="A346" s="23" t="s">
        <v>75</v>
      </c>
      <c r="B346" s="27" t="s">
        <v>29</v>
      </c>
      <c r="C346" s="21">
        <v>5</v>
      </c>
      <c r="D346" s="21"/>
      <c r="E346" s="21"/>
      <c r="F346" s="21"/>
      <c r="G346" s="21">
        <v>1508516.35</v>
      </c>
      <c r="H346" s="28"/>
      <c r="I346" s="11"/>
      <c r="J346" s="11"/>
    </row>
    <row r="347" spans="1:10" hidden="1" x14ac:dyDescent="0.3">
      <c r="A347" s="23" t="s">
        <v>75</v>
      </c>
      <c r="B347" s="27" t="s">
        <v>35</v>
      </c>
      <c r="C347" s="21">
        <v>10</v>
      </c>
      <c r="D347" s="21"/>
      <c r="E347" s="21"/>
      <c r="F347" s="21"/>
      <c r="G347" s="21">
        <v>3017032.7</v>
      </c>
      <c r="H347" s="28"/>
      <c r="I347" s="11"/>
      <c r="J347" s="11"/>
    </row>
    <row r="348" spans="1:10" hidden="1" x14ac:dyDescent="0.3">
      <c r="A348" s="23" t="s">
        <v>75</v>
      </c>
      <c r="B348" s="27" t="s">
        <v>45</v>
      </c>
      <c r="C348" s="21">
        <v>5</v>
      </c>
      <c r="D348" s="21"/>
      <c r="E348" s="21"/>
      <c r="F348" s="21"/>
      <c r="G348" s="21">
        <v>1508516.35</v>
      </c>
      <c r="H348" s="28"/>
      <c r="I348" s="11"/>
      <c r="J348" s="11"/>
    </row>
    <row r="349" spans="1:10" hidden="1" x14ac:dyDescent="0.3">
      <c r="A349" s="23" t="s">
        <v>76</v>
      </c>
      <c r="B349" s="27" t="s">
        <v>9</v>
      </c>
      <c r="C349" s="21">
        <v>20</v>
      </c>
      <c r="D349" s="21">
        <v>5333333.333333334</v>
      </c>
      <c r="E349" s="21">
        <v>4088646.2666666661</v>
      </c>
      <c r="F349" s="21">
        <v>2706317.6105824886</v>
      </c>
      <c r="G349" s="21">
        <f>Table841419410132427323943485356714[[#This Row],[VỐN CP]]+Table841419410132427323943485356714[[#This Row],[LỢI NHUẬN RÒNG]]</f>
        <v>8039650.9439158225</v>
      </c>
      <c r="H349" s="28"/>
      <c r="I349" s="11"/>
      <c r="J349" s="11"/>
    </row>
    <row r="350" spans="1:10" hidden="1" x14ac:dyDescent="0.3">
      <c r="A350" s="23" t="s">
        <v>76</v>
      </c>
      <c r="B350" s="27" t="s">
        <v>19</v>
      </c>
      <c r="C350" s="21">
        <v>10</v>
      </c>
      <c r="D350" s="21">
        <v>2666666.666666667</v>
      </c>
      <c r="E350" s="21">
        <v>2044323.1333333331</v>
      </c>
      <c r="F350" s="21">
        <v>1353158.8052912443</v>
      </c>
      <c r="G350" s="21">
        <f>Table841419410132427323943485356714[[#This Row],[VỐN CP]]+Table841419410132427323943485356714[[#This Row],[LỢI NHUẬN RÒNG]]</f>
        <v>4019825.4719579113</v>
      </c>
      <c r="H350" s="28"/>
      <c r="I350" s="11"/>
      <c r="J350" s="11"/>
    </row>
    <row r="351" spans="1:10" hidden="1" x14ac:dyDescent="0.3">
      <c r="A351" s="23" t="s">
        <v>76</v>
      </c>
      <c r="B351" s="27" t="s">
        <v>37</v>
      </c>
      <c r="C351" s="21">
        <v>10</v>
      </c>
      <c r="D351" s="21">
        <v>2666666.666666667</v>
      </c>
      <c r="E351" s="21">
        <v>2044323.1333333331</v>
      </c>
      <c r="F351" s="21">
        <v>1353158.8052912443</v>
      </c>
      <c r="G351" s="21">
        <f>Table841419410132427323943485356714[[#This Row],[VỐN CP]]+Table841419410132427323943485356714[[#This Row],[LỢI NHUẬN RÒNG]]</f>
        <v>4019825.4719579113</v>
      </c>
      <c r="H351" s="28"/>
      <c r="I351" s="11"/>
      <c r="J351" s="11"/>
    </row>
    <row r="352" spans="1:10" hidden="1" x14ac:dyDescent="0.3">
      <c r="A352" s="23" t="s">
        <v>76</v>
      </c>
      <c r="B352" s="27" t="s">
        <v>31</v>
      </c>
      <c r="C352" s="21">
        <v>5</v>
      </c>
      <c r="D352" s="21">
        <v>1333333.3333333335</v>
      </c>
      <c r="E352" s="21">
        <v>1022161.5666666665</v>
      </c>
      <c r="F352" s="21">
        <v>676579.40264562215</v>
      </c>
      <c r="G352" s="21">
        <f>Table841419410132427323943485356714[[#This Row],[VỐN CP]]+Table841419410132427323943485356714[[#This Row],[LỢI NHUẬN RÒNG]]</f>
        <v>2009912.7359789556</v>
      </c>
      <c r="H352" s="28"/>
      <c r="I352" s="11"/>
      <c r="J352" s="11"/>
    </row>
    <row r="353" spans="1:10" hidden="1" x14ac:dyDescent="0.3">
      <c r="A353" s="23" t="s">
        <v>76</v>
      </c>
      <c r="B353" s="27" t="s">
        <v>21</v>
      </c>
      <c r="C353" s="21">
        <v>15</v>
      </c>
      <c r="D353" s="21">
        <v>4000000.0000000005</v>
      </c>
      <c r="E353" s="21">
        <v>3066484.7</v>
      </c>
      <c r="F353" s="21">
        <v>2029738.2079368667</v>
      </c>
      <c r="G353" s="21">
        <f>Table841419410132427323943485356714[[#This Row],[VỐN CP]]+Table841419410132427323943485356714[[#This Row],[LỢI NHUẬN RÒNG]]</f>
        <v>6029738.2079368671</v>
      </c>
      <c r="H353" s="28"/>
      <c r="I353" s="11"/>
      <c r="J353" s="11"/>
    </row>
    <row r="354" spans="1:10" hidden="1" x14ac:dyDescent="0.3">
      <c r="A354" s="23" t="s">
        <v>76</v>
      </c>
      <c r="B354" s="27" t="s">
        <v>10</v>
      </c>
      <c r="C354" s="21">
        <v>5</v>
      </c>
      <c r="D354" s="21">
        <v>1333333.3333333335</v>
      </c>
      <c r="E354" s="21">
        <v>1022161.5666666665</v>
      </c>
      <c r="F354" s="21">
        <v>676579.40264562215</v>
      </c>
      <c r="G354" s="21">
        <f>Table841419410132427323943485356714[[#This Row],[VỐN CP]]+Table841419410132427323943485356714[[#This Row],[LỢI NHUẬN RÒNG]]</f>
        <v>2009912.7359789556</v>
      </c>
      <c r="H354" s="28"/>
      <c r="I354" s="11"/>
      <c r="J354" s="11"/>
    </row>
    <row r="355" spans="1:10" hidden="1" x14ac:dyDescent="0.3">
      <c r="A355" s="23" t="s">
        <v>76</v>
      </c>
      <c r="B355" s="27" t="s">
        <v>13</v>
      </c>
      <c r="C355" s="21">
        <v>5</v>
      </c>
      <c r="D355" s="21">
        <v>1333333.3333333335</v>
      </c>
      <c r="E355" s="21">
        <v>1022161.5666666665</v>
      </c>
      <c r="F355" s="21">
        <v>676579.40264562215</v>
      </c>
      <c r="G355" s="21">
        <f>Table841419410132427323943485356714[[#This Row],[VỐN CP]]+Table841419410132427323943485356714[[#This Row],[LỢI NHUẬN RÒNG]]</f>
        <v>2009912.7359789556</v>
      </c>
      <c r="H355" s="28"/>
      <c r="I355" s="11"/>
      <c r="J355" s="11"/>
    </row>
    <row r="356" spans="1:10" hidden="1" x14ac:dyDescent="0.3">
      <c r="A356" s="23" t="s">
        <v>76</v>
      </c>
      <c r="B356" s="27" t="s">
        <v>29</v>
      </c>
      <c r="C356" s="21">
        <v>5</v>
      </c>
      <c r="D356" s="21">
        <v>1333333.3333333335</v>
      </c>
      <c r="E356" s="21">
        <v>1022161.5666666665</v>
      </c>
      <c r="F356" s="21">
        <v>676579.40264562215</v>
      </c>
      <c r="G356" s="21">
        <f>Table841419410132427323943485356714[[#This Row],[VỐN CP]]+Table841419410132427323943485356714[[#This Row],[LỢI NHUẬN RÒNG]]</f>
        <v>2009912.7359789556</v>
      </c>
      <c r="H356" s="28"/>
      <c r="I356" s="11"/>
      <c r="J356" s="11"/>
    </row>
    <row r="357" spans="1:10" hidden="1" x14ac:dyDescent="0.3">
      <c r="A357" s="23" t="s">
        <v>76</v>
      </c>
      <c r="B357" s="27" t="s">
        <v>35</v>
      </c>
      <c r="C357" s="21">
        <v>5</v>
      </c>
      <c r="D357" s="21">
        <v>1333333.3333333335</v>
      </c>
      <c r="E357" s="21">
        <v>1022161.5666666665</v>
      </c>
      <c r="F357" s="21">
        <v>676579.40264562215</v>
      </c>
      <c r="G357" s="21">
        <f>Table841419410132427323943485356714[[#This Row],[VỐN CP]]+Table841419410132427323943485356714[[#This Row],[LỢI NHUẬN RÒNG]]</f>
        <v>2009912.7359789556</v>
      </c>
      <c r="H357" s="28"/>
      <c r="I357" s="11"/>
      <c r="J357" s="11"/>
    </row>
    <row r="358" spans="1:10" hidden="1" x14ac:dyDescent="0.3">
      <c r="A358" s="23" t="s">
        <v>76</v>
      </c>
      <c r="B358" s="27" t="s">
        <v>43</v>
      </c>
      <c r="C358" s="21">
        <v>10</v>
      </c>
      <c r="D358" s="21">
        <v>2666666.666666667</v>
      </c>
      <c r="E358" s="21">
        <v>2044323.1333333331</v>
      </c>
      <c r="F358" s="21">
        <v>1353158.8052912443</v>
      </c>
      <c r="G358" s="21">
        <f>Table841419410132427323943485356714[[#This Row],[VỐN CP]]+Table841419410132427323943485356714[[#This Row],[LỢI NHUẬN RÒNG]]</f>
        <v>4019825.4719579113</v>
      </c>
      <c r="H358" s="28"/>
      <c r="I358" s="11"/>
      <c r="J358" s="11"/>
    </row>
    <row r="359" spans="1:10" hidden="1" x14ac:dyDescent="0.3">
      <c r="A359" s="23" t="s">
        <v>76</v>
      </c>
      <c r="B359" s="27" t="s">
        <v>25</v>
      </c>
      <c r="C359" s="21">
        <v>10</v>
      </c>
      <c r="D359" s="21">
        <v>2666666.666666667</v>
      </c>
      <c r="E359" s="21">
        <v>2044323.1333333331</v>
      </c>
      <c r="F359" s="21">
        <v>1353158.8052912443</v>
      </c>
      <c r="G359" s="21">
        <f>Table841419410132427323943485356714[[#This Row],[VỐN CP]]+Table841419410132427323943485356714[[#This Row],[LỢI NHUẬN RÒNG]]</f>
        <v>4019825.4719579113</v>
      </c>
      <c r="H359" s="28"/>
      <c r="I359" s="11"/>
      <c r="J359" s="11"/>
    </row>
    <row r="360" spans="1:10" hidden="1" x14ac:dyDescent="0.3">
      <c r="A360" s="23" t="s">
        <v>77</v>
      </c>
      <c r="B360" s="27" t="s">
        <v>9</v>
      </c>
      <c r="C360" s="21">
        <v>15</v>
      </c>
      <c r="D360" s="21">
        <v>3300000</v>
      </c>
      <c r="E360" s="21">
        <v>2165542.2000000002</v>
      </c>
      <c r="F360" s="21">
        <v>1518948.5860774582</v>
      </c>
      <c r="G360" s="21">
        <f>Table841419410132427323943485356714[[#This Row],[VỐN CP]]+Table841419410132427323943485356714[[#This Row],[LỢI NHUẬN RÒNG]]</f>
        <v>4818948.5860774582</v>
      </c>
      <c r="H360" s="28"/>
      <c r="I360" s="11"/>
      <c r="J360" s="11"/>
    </row>
    <row r="361" spans="1:10" hidden="1" x14ac:dyDescent="0.3">
      <c r="A361" s="23" t="s">
        <v>77</v>
      </c>
      <c r="B361" s="27" t="s">
        <v>19</v>
      </c>
      <c r="C361" s="21">
        <v>10</v>
      </c>
      <c r="D361" s="21">
        <v>2200000</v>
      </c>
      <c r="E361" s="21">
        <v>1443694.8</v>
      </c>
      <c r="F361" s="21">
        <v>1012632.3907183054</v>
      </c>
      <c r="G361" s="21">
        <f>Table841419410132427323943485356714[[#This Row],[VỐN CP]]+Table841419410132427323943485356714[[#This Row],[LỢI NHUẬN RÒNG]]</f>
        <v>3212632.3907183055</v>
      </c>
      <c r="H361" s="28"/>
      <c r="I361" s="11"/>
      <c r="J361" s="11"/>
    </row>
    <row r="362" spans="1:10" hidden="1" x14ac:dyDescent="0.3">
      <c r="A362" s="23" t="s">
        <v>77</v>
      </c>
      <c r="B362" s="27" t="s">
        <v>37</v>
      </c>
      <c r="C362" s="21">
        <v>15</v>
      </c>
      <c r="D362" s="21">
        <v>3300000</v>
      </c>
      <c r="E362" s="21">
        <v>2165542.2000000002</v>
      </c>
      <c r="F362" s="21">
        <v>1518948.5860774582</v>
      </c>
      <c r="G362" s="21">
        <f>Table841419410132427323943485356714[[#This Row],[VỐN CP]]+Table841419410132427323943485356714[[#This Row],[LỢI NHUẬN RÒNG]]</f>
        <v>4818948.5860774582</v>
      </c>
      <c r="H362" s="28"/>
      <c r="I362" s="11"/>
      <c r="J362" s="11"/>
    </row>
    <row r="363" spans="1:10" x14ac:dyDescent="0.3">
      <c r="A363" s="23" t="s">
        <v>77</v>
      </c>
      <c r="B363" s="27" t="s">
        <v>33</v>
      </c>
      <c r="C363" s="21">
        <v>5</v>
      </c>
      <c r="D363" s="21">
        <v>1100000</v>
      </c>
      <c r="E363" s="21">
        <v>721847.4</v>
      </c>
      <c r="F363" s="21">
        <v>506316.19535915268</v>
      </c>
      <c r="G363" s="21">
        <f>Table841419410132427323943485356714[[#This Row],[VỐN CP]]+Table841419410132427323943485356714[[#This Row],[LỢI NHUẬN RÒNG]]</f>
        <v>1606316.1953591527</v>
      </c>
      <c r="H363" s="28"/>
      <c r="I363" s="11"/>
      <c r="J363" s="11"/>
    </row>
    <row r="364" spans="1:10" hidden="1" x14ac:dyDescent="0.3">
      <c r="A364" s="23" t="s">
        <v>77</v>
      </c>
      <c r="B364" s="27" t="s">
        <v>31</v>
      </c>
      <c r="C364" s="21">
        <v>5</v>
      </c>
      <c r="D364" s="21">
        <v>1100000</v>
      </c>
      <c r="E364" s="21">
        <v>721847.4</v>
      </c>
      <c r="F364" s="21">
        <v>506316.19535915268</v>
      </c>
      <c r="G364" s="21">
        <f>Table841419410132427323943485356714[[#This Row],[VỐN CP]]+Table841419410132427323943485356714[[#This Row],[LỢI NHUẬN RÒNG]]</f>
        <v>1606316.1953591527</v>
      </c>
      <c r="H364" s="28"/>
      <c r="I364" s="11"/>
      <c r="J364" s="11"/>
    </row>
    <row r="365" spans="1:10" hidden="1" x14ac:dyDescent="0.3">
      <c r="A365" s="23" t="s">
        <v>77</v>
      </c>
      <c r="B365" s="27" t="s">
        <v>15</v>
      </c>
      <c r="C365" s="21">
        <v>5</v>
      </c>
      <c r="D365" s="21">
        <v>1100000</v>
      </c>
      <c r="E365" s="21">
        <v>721847.4</v>
      </c>
      <c r="F365" s="21">
        <v>506316.19535915268</v>
      </c>
      <c r="G365" s="21">
        <f>Table841419410132427323943485356714[[#This Row],[VỐN CP]]+Table841419410132427323943485356714[[#This Row],[LỢI NHUẬN RÒNG]]</f>
        <v>1606316.1953591527</v>
      </c>
      <c r="H365" s="28"/>
      <c r="I365" s="11"/>
      <c r="J365" s="11"/>
    </row>
    <row r="366" spans="1:10" hidden="1" x14ac:dyDescent="0.3">
      <c r="A366" s="23" t="s">
        <v>77</v>
      </c>
      <c r="B366" s="27" t="s">
        <v>21</v>
      </c>
      <c r="C366" s="21">
        <v>20</v>
      </c>
      <c r="D366" s="21">
        <v>4400000</v>
      </c>
      <c r="E366" s="21">
        <v>2887389.6</v>
      </c>
      <c r="F366" s="21">
        <v>2025264.7814366107</v>
      </c>
      <c r="G366" s="21">
        <f>Table841419410132427323943485356714[[#This Row],[VỐN CP]]+Table841419410132427323943485356714[[#This Row],[LỢI NHUẬN RÒNG]]</f>
        <v>6425264.781436611</v>
      </c>
      <c r="H366" s="28"/>
      <c r="I366" s="11"/>
      <c r="J366" s="11"/>
    </row>
    <row r="367" spans="1:10" hidden="1" x14ac:dyDescent="0.3">
      <c r="A367" s="23" t="s">
        <v>77</v>
      </c>
      <c r="B367" s="27" t="s">
        <v>43</v>
      </c>
      <c r="C367" s="21">
        <v>10</v>
      </c>
      <c r="D367" s="21">
        <v>2200000</v>
      </c>
      <c r="E367" s="21">
        <v>1443694.8</v>
      </c>
      <c r="F367" s="21">
        <v>1012632.3907183054</v>
      </c>
      <c r="G367" s="21">
        <f>Table841419410132427323943485356714[[#This Row],[VỐN CP]]+Table841419410132427323943485356714[[#This Row],[LỢI NHUẬN RÒNG]]</f>
        <v>3212632.3907183055</v>
      </c>
      <c r="H367" s="28"/>
      <c r="I367" s="11"/>
      <c r="J367" s="11"/>
    </row>
    <row r="368" spans="1:10" hidden="1" x14ac:dyDescent="0.3">
      <c r="A368" s="23" t="s">
        <v>77</v>
      </c>
      <c r="B368" s="27" t="s">
        <v>45</v>
      </c>
      <c r="C368" s="21">
        <v>5</v>
      </c>
      <c r="D368" s="21">
        <v>1100000</v>
      </c>
      <c r="E368" s="21">
        <v>721847.4</v>
      </c>
      <c r="F368" s="21">
        <v>506316.19535915268</v>
      </c>
      <c r="G368" s="21">
        <f>Table841419410132427323943485356714[[#This Row],[VỐN CP]]+Table841419410132427323943485356714[[#This Row],[LỢI NHUẬN RÒNG]]</f>
        <v>1606316.1953591527</v>
      </c>
      <c r="H368" s="28"/>
      <c r="I368" s="11"/>
      <c r="J368" s="11"/>
    </row>
    <row r="369" spans="1:10" hidden="1" x14ac:dyDescent="0.3">
      <c r="A369" s="23" t="s">
        <v>77</v>
      </c>
      <c r="B369" s="27" t="s">
        <v>25</v>
      </c>
      <c r="C369" s="21">
        <v>10</v>
      </c>
      <c r="D369" s="21">
        <v>2200000</v>
      </c>
      <c r="E369" s="21">
        <v>1443694.8</v>
      </c>
      <c r="F369" s="21">
        <v>1012632.3907183054</v>
      </c>
      <c r="G369" s="21">
        <f>Table841419410132427323943485356714[[#This Row],[VỐN CP]]+Table841419410132427323943485356714[[#This Row],[LỢI NHUẬN RÒNG]]</f>
        <v>3212632.3907183055</v>
      </c>
      <c r="H369" s="28"/>
      <c r="I369" s="11"/>
      <c r="J369" s="11"/>
    </row>
    <row r="370" spans="1:10" hidden="1" x14ac:dyDescent="0.3">
      <c r="A370" s="23" t="s">
        <v>78</v>
      </c>
      <c r="B370" s="27" t="s">
        <v>9</v>
      </c>
      <c r="C370" s="21">
        <v>15</v>
      </c>
      <c r="D370" s="21">
        <v>3900000</v>
      </c>
      <c r="E370" s="21">
        <v>588787.00000000012</v>
      </c>
      <c r="F370" s="21">
        <v>243658.74198215603</v>
      </c>
      <c r="G370" s="21">
        <f>Table841419410132427323943485356714[[#This Row],[VỐN CP]]+Table841419410132427323943485356714[[#This Row],[LỢI NHUẬN RÒNG]]</f>
        <v>4143658.7419821559</v>
      </c>
      <c r="H370" s="28"/>
      <c r="I370" s="11"/>
      <c r="J370" s="11"/>
    </row>
    <row r="371" spans="1:10" hidden="1" x14ac:dyDescent="0.3">
      <c r="A371" s="23" t="s">
        <v>78</v>
      </c>
      <c r="B371" s="27" t="s">
        <v>19</v>
      </c>
      <c r="C371" s="21">
        <v>5</v>
      </c>
      <c r="D371" s="21">
        <v>1300000</v>
      </c>
      <c r="E371" s="21">
        <v>196262.3333333334</v>
      </c>
      <c r="F371" s="21">
        <v>81219.580660718682</v>
      </c>
      <c r="G371" s="21">
        <f>Table841419410132427323943485356714[[#This Row],[VỐN CP]]+Table841419410132427323943485356714[[#This Row],[LỢI NHUẬN RÒNG]]</f>
        <v>1381219.5806607187</v>
      </c>
      <c r="H371" s="28"/>
      <c r="I371" s="11"/>
      <c r="J371" s="11"/>
    </row>
    <row r="372" spans="1:10" hidden="1" x14ac:dyDescent="0.3">
      <c r="A372" s="23" t="s">
        <v>78</v>
      </c>
      <c r="B372" s="27" t="s">
        <v>37</v>
      </c>
      <c r="C372" s="21">
        <v>15</v>
      </c>
      <c r="D372" s="21">
        <v>3900000</v>
      </c>
      <c r="E372" s="21">
        <v>588787.00000000012</v>
      </c>
      <c r="F372" s="21">
        <v>243658.74198215603</v>
      </c>
      <c r="G372" s="21">
        <f>Table841419410132427323943485356714[[#This Row],[VỐN CP]]+Table841419410132427323943485356714[[#This Row],[LỢI NHUẬN RÒNG]]</f>
        <v>4143658.7419821559</v>
      </c>
      <c r="H372" s="28"/>
      <c r="I372" s="11"/>
      <c r="J372" s="11"/>
    </row>
    <row r="373" spans="1:10" hidden="1" x14ac:dyDescent="0.3">
      <c r="A373" s="23" t="s">
        <v>78</v>
      </c>
      <c r="B373" s="27" t="s">
        <v>31</v>
      </c>
      <c r="C373" s="21">
        <v>10</v>
      </c>
      <c r="D373" s="21">
        <v>2600000</v>
      </c>
      <c r="E373" s="21">
        <v>392524.6666666668</v>
      </c>
      <c r="F373" s="21">
        <v>162439.16132143736</v>
      </c>
      <c r="G373" s="21">
        <f>Table841419410132427323943485356714[[#This Row],[VỐN CP]]+Table841419410132427323943485356714[[#This Row],[LỢI NHUẬN RÒNG]]</f>
        <v>2762439.1613214375</v>
      </c>
      <c r="H373" s="28"/>
      <c r="I373" s="11"/>
      <c r="J373" s="11"/>
    </row>
    <row r="374" spans="1:10" hidden="1" x14ac:dyDescent="0.3">
      <c r="A374" s="23" t="s">
        <v>78</v>
      </c>
      <c r="B374" s="27" t="s">
        <v>15</v>
      </c>
      <c r="C374" s="21">
        <v>5</v>
      </c>
      <c r="D374" s="21">
        <v>1300000</v>
      </c>
      <c r="E374" s="21">
        <v>196262.3333333334</v>
      </c>
      <c r="F374" s="21">
        <v>81219.580660718682</v>
      </c>
      <c r="G374" s="21">
        <f>Table841419410132427323943485356714[[#This Row],[VỐN CP]]+Table841419410132427323943485356714[[#This Row],[LỢI NHUẬN RÒNG]]</f>
        <v>1381219.5806607187</v>
      </c>
      <c r="H374" s="28"/>
      <c r="I374" s="11"/>
      <c r="J374" s="11"/>
    </row>
    <row r="375" spans="1:10" hidden="1" x14ac:dyDescent="0.3">
      <c r="A375" s="23" t="s">
        <v>78</v>
      </c>
      <c r="B375" s="27" t="s">
        <v>21</v>
      </c>
      <c r="C375" s="21">
        <v>20</v>
      </c>
      <c r="D375" s="21">
        <v>5200000</v>
      </c>
      <c r="E375" s="21">
        <v>785049.3333333336</v>
      </c>
      <c r="F375" s="21">
        <v>324878.32264287473</v>
      </c>
      <c r="G375" s="21">
        <f>Table841419410132427323943485356714[[#This Row],[VỐN CP]]+Table841419410132427323943485356714[[#This Row],[LỢI NHUẬN RÒNG]]</f>
        <v>5524878.3226428749</v>
      </c>
      <c r="H375" s="28"/>
      <c r="I375" s="11"/>
      <c r="J375" s="11"/>
    </row>
    <row r="376" spans="1:10" hidden="1" x14ac:dyDescent="0.3">
      <c r="A376" s="23" t="s">
        <v>78</v>
      </c>
      <c r="B376" s="27" t="s">
        <v>13</v>
      </c>
      <c r="C376" s="21">
        <v>5</v>
      </c>
      <c r="D376" s="21">
        <v>1300000</v>
      </c>
      <c r="E376" s="21">
        <v>196262.3333333334</v>
      </c>
      <c r="F376" s="21">
        <v>81219.580660718682</v>
      </c>
      <c r="G376" s="21">
        <f>Table841419410132427323943485356714[[#This Row],[VỐN CP]]+Table841419410132427323943485356714[[#This Row],[LỢI NHUẬN RÒNG]]</f>
        <v>1381219.5806607187</v>
      </c>
      <c r="H376" s="28"/>
      <c r="I376" s="11"/>
      <c r="J376" s="11"/>
    </row>
    <row r="377" spans="1:10" hidden="1" x14ac:dyDescent="0.3">
      <c r="A377" s="23" t="s">
        <v>78</v>
      </c>
      <c r="B377" s="27" t="s">
        <v>29</v>
      </c>
      <c r="C377" s="21">
        <v>5</v>
      </c>
      <c r="D377" s="21">
        <v>1300000</v>
      </c>
      <c r="E377" s="21">
        <v>196262.3333333334</v>
      </c>
      <c r="F377" s="21">
        <v>81219.580660718682</v>
      </c>
      <c r="G377" s="21">
        <f>Table841419410132427323943485356714[[#This Row],[VỐN CP]]+Table841419410132427323943485356714[[#This Row],[LỢI NHUẬN RÒNG]]</f>
        <v>1381219.5806607187</v>
      </c>
      <c r="H377" s="28"/>
      <c r="I377" s="11"/>
      <c r="J377" s="11"/>
    </row>
    <row r="378" spans="1:10" hidden="1" x14ac:dyDescent="0.3">
      <c r="A378" s="23" t="s">
        <v>78</v>
      </c>
      <c r="B378" s="27" t="s">
        <v>43</v>
      </c>
      <c r="C378" s="21">
        <v>5</v>
      </c>
      <c r="D378" s="21">
        <v>1300000</v>
      </c>
      <c r="E378" s="21">
        <v>196262.3333333334</v>
      </c>
      <c r="F378" s="21">
        <v>81219.580660718682</v>
      </c>
      <c r="G378" s="21">
        <f>Table841419410132427323943485356714[[#This Row],[VỐN CP]]+Table841419410132427323943485356714[[#This Row],[LỢI NHUẬN RÒNG]]</f>
        <v>1381219.5806607187</v>
      </c>
      <c r="H378" s="28"/>
      <c r="I378" s="11"/>
      <c r="J378" s="11"/>
    </row>
    <row r="379" spans="1:10" hidden="1" x14ac:dyDescent="0.3">
      <c r="A379" s="23" t="s">
        <v>78</v>
      </c>
      <c r="B379" s="27" t="s">
        <v>44</v>
      </c>
      <c r="C379" s="21">
        <v>5</v>
      </c>
      <c r="D379" s="21">
        <v>1300000</v>
      </c>
      <c r="E379" s="21">
        <v>196262.3333333334</v>
      </c>
      <c r="F379" s="21">
        <v>81219.580660718682</v>
      </c>
      <c r="G379" s="21">
        <f>Table841419410132427323943485356714[[#This Row],[VỐN CP]]+Table841419410132427323943485356714[[#This Row],[LỢI NHUẬN RÒNG]]</f>
        <v>1381219.5806607187</v>
      </c>
      <c r="H379" s="28"/>
      <c r="I379" s="11"/>
      <c r="J379" s="11"/>
    </row>
    <row r="380" spans="1:10" hidden="1" x14ac:dyDescent="0.3">
      <c r="A380" s="23" t="s">
        <v>78</v>
      </c>
      <c r="B380" s="27" t="s">
        <v>25</v>
      </c>
      <c r="C380" s="21">
        <v>10</v>
      </c>
      <c r="D380" s="21">
        <v>2600000</v>
      </c>
      <c r="E380" s="21">
        <v>392524.6666666668</v>
      </c>
      <c r="F380" s="21">
        <v>162439.16132143736</v>
      </c>
      <c r="G380" s="21">
        <f>Table841419410132427323943485356714[[#This Row],[VỐN CP]]+Table841419410132427323943485356714[[#This Row],[LỢI NHUẬN RÒNG]]</f>
        <v>2762439.1613214375</v>
      </c>
      <c r="H380" s="28"/>
      <c r="I380" s="11"/>
      <c r="J380" s="11"/>
    </row>
    <row r="381" spans="1:10" hidden="1" x14ac:dyDescent="0.3">
      <c r="A381" s="23" t="s">
        <v>79</v>
      </c>
      <c r="B381" s="27" t="s">
        <v>9</v>
      </c>
      <c r="C381" s="21">
        <v>30</v>
      </c>
      <c r="D381" s="21">
        <v>18000000</v>
      </c>
      <c r="E381" s="21">
        <v>4269651.5999999996</v>
      </c>
      <c r="F381" s="21">
        <v>1213149.797090882</v>
      </c>
      <c r="G381" s="21">
        <f>Table841419410132427323943485356714[[#This Row],[VỐN CP]]+Table841419410132427323943485356714[[#This Row],[LỢI NHUẬN RÒNG]]</f>
        <v>19213149.797090881</v>
      </c>
      <c r="H381" s="28"/>
      <c r="I381" s="11"/>
      <c r="J381" s="11"/>
    </row>
    <row r="382" spans="1:10" hidden="1" x14ac:dyDescent="0.3">
      <c r="A382" s="23" t="s">
        <v>79</v>
      </c>
      <c r="B382" s="27" t="s">
        <v>37</v>
      </c>
      <c r="C382" s="21">
        <v>30</v>
      </c>
      <c r="D382" s="21">
        <v>18000000</v>
      </c>
      <c r="E382" s="21">
        <v>4269651.5999999996</v>
      </c>
      <c r="F382" s="21">
        <v>1213149.797090882</v>
      </c>
      <c r="G382" s="21">
        <f>Table841419410132427323943485356714[[#This Row],[VỐN CP]]+Table841419410132427323943485356714[[#This Row],[LỢI NHUẬN RÒNG]]</f>
        <v>19213149.797090881</v>
      </c>
      <c r="H382" s="28"/>
      <c r="I382" s="11"/>
      <c r="J382" s="11"/>
    </row>
    <row r="383" spans="1:10" hidden="1" x14ac:dyDescent="0.3">
      <c r="A383" s="23" t="s">
        <v>79</v>
      </c>
      <c r="B383" s="27" t="s">
        <v>21</v>
      </c>
      <c r="C383" s="21">
        <v>30</v>
      </c>
      <c r="D383" s="21">
        <v>18000000</v>
      </c>
      <c r="E383" s="21">
        <v>4269651.5999999996</v>
      </c>
      <c r="F383" s="21">
        <v>1213149.797090882</v>
      </c>
      <c r="G383" s="21">
        <f>Table841419410132427323943485356714[[#This Row],[VỐN CP]]+Table841419410132427323943485356714[[#This Row],[LỢI NHUẬN RÒNG]]</f>
        <v>19213149.797090881</v>
      </c>
      <c r="H383" s="28"/>
      <c r="I383" s="11"/>
      <c r="J383" s="11"/>
    </row>
    <row r="384" spans="1:10" hidden="1" x14ac:dyDescent="0.3">
      <c r="A384" s="23" t="s">
        <v>79</v>
      </c>
      <c r="B384" s="27" t="s">
        <v>10</v>
      </c>
      <c r="C384" s="21">
        <v>10</v>
      </c>
      <c r="D384" s="21">
        <v>6000000</v>
      </c>
      <c r="E384" s="21">
        <v>1423217.2</v>
      </c>
      <c r="F384" s="21">
        <v>404383.26569696068</v>
      </c>
      <c r="G384" s="21">
        <f>Table841419410132427323943485356714[[#This Row],[VỐN CP]]+Table841419410132427323943485356714[[#This Row],[LỢI NHUẬN RÒNG]]</f>
        <v>6404383.2656969605</v>
      </c>
      <c r="H384" s="28"/>
      <c r="I384" s="11"/>
      <c r="J384" s="11"/>
    </row>
    <row r="385" spans="1:10" hidden="1" x14ac:dyDescent="0.3">
      <c r="A385" s="23" t="s">
        <v>80</v>
      </c>
      <c r="B385" s="27" t="s">
        <v>9</v>
      </c>
      <c r="C385" s="21">
        <v>30</v>
      </c>
      <c r="D385" s="21">
        <v>15000000</v>
      </c>
      <c r="E385" s="21">
        <v>8251484.0999999996</v>
      </c>
      <c r="F385" s="21">
        <v>6545805.6577252056</v>
      </c>
      <c r="G385" s="21">
        <f>Table841419410132427323943485356714[[#This Row],[VỐN CP]]+Table841419410132427323943485356714[[#This Row],[LỢI NHUẬN RÒNG]]</f>
        <v>21545805.657725208</v>
      </c>
      <c r="H385" s="28"/>
      <c r="I385" s="11"/>
      <c r="J385" s="11"/>
    </row>
    <row r="386" spans="1:10" hidden="1" x14ac:dyDescent="0.3">
      <c r="A386" s="23" t="s">
        <v>80</v>
      </c>
      <c r="B386" s="27" t="s">
        <v>37</v>
      </c>
      <c r="C386" s="21">
        <v>40</v>
      </c>
      <c r="D386" s="21">
        <v>20000000</v>
      </c>
      <c r="E386" s="21">
        <v>11001978.800000001</v>
      </c>
      <c r="F386" s="21">
        <v>8727740.8769669421</v>
      </c>
      <c r="G386" s="21">
        <f>Table841419410132427323943485356714[[#This Row],[VỐN CP]]+Table841419410132427323943485356714[[#This Row],[LỢI NHUẬN RÒNG]]</f>
        <v>28727740.876966942</v>
      </c>
      <c r="H386" s="28"/>
      <c r="I386" s="11"/>
      <c r="J386" s="11"/>
    </row>
    <row r="387" spans="1:10" hidden="1" x14ac:dyDescent="0.3">
      <c r="A387" s="23" t="s">
        <v>80</v>
      </c>
      <c r="B387" s="27" t="s">
        <v>21</v>
      </c>
      <c r="C387" s="21">
        <v>20</v>
      </c>
      <c r="D387" s="21">
        <v>10000000</v>
      </c>
      <c r="E387" s="21">
        <v>5500989.4000000004</v>
      </c>
      <c r="F387" s="21">
        <v>4363870.4384834711</v>
      </c>
      <c r="G387" s="21">
        <f>Table841419410132427323943485356714[[#This Row],[VỐN CP]]+Table841419410132427323943485356714[[#This Row],[LỢI NHUẬN RÒNG]]</f>
        <v>14363870.438483471</v>
      </c>
      <c r="H387" s="28"/>
      <c r="I387" s="11"/>
      <c r="J387" s="11"/>
    </row>
    <row r="388" spans="1:10" hidden="1" x14ac:dyDescent="0.3">
      <c r="A388" s="23" t="s">
        <v>80</v>
      </c>
      <c r="B388" s="27" t="s">
        <v>10</v>
      </c>
      <c r="C388" s="21">
        <v>10</v>
      </c>
      <c r="D388" s="21">
        <v>5000000</v>
      </c>
      <c r="E388" s="21">
        <v>2750494.7</v>
      </c>
      <c r="F388" s="21">
        <v>2181935.2192417355</v>
      </c>
      <c r="G388" s="21">
        <f>Table841419410132427323943485356714[[#This Row],[VỐN CP]]+Table841419410132427323943485356714[[#This Row],[LỢI NHUẬN RÒNG]]</f>
        <v>7181935.2192417355</v>
      </c>
      <c r="H388" s="28"/>
      <c r="I388" s="11"/>
      <c r="J388" s="11"/>
    </row>
    <row r="389" spans="1:10" hidden="1" x14ac:dyDescent="0.3">
      <c r="A389" s="23" t="s">
        <v>81</v>
      </c>
      <c r="B389" s="27" t="s">
        <v>9</v>
      </c>
      <c r="C389" s="21">
        <v>15</v>
      </c>
      <c r="D389" s="21">
        <v>4800000</v>
      </c>
      <c r="E389" s="21">
        <v>962109.3</v>
      </c>
      <c r="F389" s="21">
        <v>524568.07212754746</v>
      </c>
      <c r="G389" s="21">
        <f>Table841419410132427323943485356714[[#This Row],[VỐN CP]]+Table841419410132427323943485356714[[#This Row],[LỢI NHUẬN RÒNG]]</f>
        <v>5324568.0721275471</v>
      </c>
      <c r="H389" s="28"/>
      <c r="I389" s="11"/>
      <c r="J389" s="11"/>
    </row>
    <row r="390" spans="1:10" hidden="1" x14ac:dyDescent="0.3">
      <c r="A390" s="23" t="s">
        <v>81</v>
      </c>
      <c r="B390" s="27" t="s">
        <v>19</v>
      </c>
      <c r="C390" s="21">
        <v>5</v>
      </c>
      <c r="D390" s="21">
        <v>1600000</v>
      </c>
      <c r="E390" s="21">
        <v>320703.09999999998</v>
      </c>
      <c r="F390" s="21">
        <v>174856.02404251584</v>
      </c>
      <c r="G390" s="21">
        <f>Table841419410132427323943485356714[[#This Row],[VỐN CP]]+Table841419410132427323943485356714[[#This Row],[LỢI NHUẬN RÒNG]]</f>
        <v>1774856.0240425158</v>
      </c>
      <c r="H390" s="28"/>
      <c r="I390" s="11"/>
      <c r="J390" s="11"/>
    </row>
    <row r="391" spans="1:10" hidden="1" x14ac:dyDescent="0.3">
      <c r="A391" s="23" t="s">
        <v>81</v>
      </c>
      <c r="B391" s="27" t="s">
        <v>37</v>
      </c>
      <c r="C391" s="21">
        <v>15</v>
      </c>
      <c r="D391" s="21">
        <v>4800000</v>
      </c>
      <c r="E391" s="21">
        <v>962109.3</v>
      </c>
      <c r="F391" s="21">
        <v>524568.07212754746</v>
      </c>
      <c r="G391" s="21">
        <f>Table841419410132427323943485356714[[#This Row],[VỐN CP]]+Table841419410132427323943485356714[[#This Row],[LỢI NHUẬN RÒNG]]</f>
        <v>5324568.0721275471</v>
      </c>
      <c r="H391" s="28"/>
      <c r="I391" s="11"/>
      <c r="J391" s="11"/>
    </row>
    <row r="392" spans="1:10" hidden="1" x14ac:dyDescent="0.3">
      <c r="A392" s="23" t="s">
        <v>81</v>
      </c>
      <c r="B392" s="27" t="s">
        <v>31</v>
      </c>
      <c r="C392" s="21">
        <v>5</v>
      </c>
      <c r="D392" s="21">
        <v>1600000</v>
      </c>
      <c r="E392" s="21">
        <v>320703.09999999998</v>
      </c>
      <c r="F392" s="21">
        <v>174856.02404251584</v>
      </c>
      <c r="G392" s="21">
        <f>Table841419410132427323943485356714[[#This Row],[VỐN CP]]+Table841419410132427323943485356714[[#This Row],[LỢI NHUẬN RÒNG]]</f>
        <v>1774856.0240425158</v>
      </c>
      <c r="H392" s="28"/>
      <c r="I392" s="11"/>
      <c r="J392" s="11"/>
    </row>
    <row r="393" spans="1:10" hidden="1" x14ac:dyDescent="0.3">
      <c r="A393" s="23" t="s">
        <v>81</v>
      </c>
      <c r="B393" s="27" t="s">
        <v>15</v>
      </c>
      <c r="C393" s="21">
        <v>5</v>
      </c>
      <c r="D393" s="21">
        <v>1600000</v>
      </c>
      <c r="E393" s="21">
        <v>320703.09999999998</v>
      </c>
      <c r="F393" s="21">
        <v>174856.02404251584</v>
      </c>
      <c r="G393" s="21">
        <f>Table841419410132427323943485356714[[#This Row],[VỐN CP]]+Table841419410132427323943485356714[[#This Row],[LỢI NHUẬN RÒNG]]</f>
        <v>1774856.0240425158</v>
      </c>
      <c r="H393" s="28"/>
      <c r="I393" s="11"/>
      <c r="J393" s="11"/>
    </row>
    <row r="394" spans="1:10" hidden="1" x14ac:dyDescent="0.3">
      <c r="A394" s="23" t="s">
        <v>81</v>
      </c>
      <c r="B394" s="27" t="s">
        <v>21</v>
      </c>
      <c r="C394" s="21">
        <v>15</v>
      </c>
      <c r="D394" s="21">
        <v>4800000</v>
      </c>
      <c r="E394" s="21">
        <v>962109.3</v>
      </c>
      <c r="F394" s="21">
        <v>524568.07212754746</v>
      </c>
      <c r="G394" s="21">
        <f>Table841419410132427323943485356714[[#This Row],[VỐN CP]]+Table841419410132427323943485356714[[#This Row],[LỢI NHUẬN RÒNG]]</f>
        <v>5324568.0721275471</v>
      </c>
      <c r="H394" s="28"/>
      <c r="I394" s="11"/>
      <c r="J394" s="11"/>
    </row>
    <row r="395" spans="1:10" hidden="1" x14ac:dyDescent="0.3">
      <c r="A395" s="23" t="s">
        <v>81</v>
      </c>
      <c r="B395" s="27" t="s">
        <v>10</v>
      </c>
      <c r="C395" s="21">
        <v>5</v>
      </c>
      <c r="D395" s="21">
        <v>1600000</v>
      </c>
      <c r="E395" s="21">
        <v>320703.09999999998</v>
      </c>
      <c r="F395" s="21">
        <v>174856.02404251584</v>
      </c>
      <c r="G395" s="21">
        <f>Table841419410132427323943485356714[[#This Row],[VỐN CP]]+Table841419410132427323943485356714[[#This Row],[LỢI NHUẬN RÒNG]]</f>
        <v>1774856.0240425158</v>
      </c>
      <c r="H395" s="28"/>
      <c r="I395" s="11"/>
      <c r="J395" s="11"/>
    </row>
    <row r="396" spans="1:10" hidden="1" x14ac:dyDescent="0.3">
      <c r="A396" s="23" t="s">
        <v>81</v>
      </c>
      <c r="B396" s="27" t="s">
        <v>13</v>
      </c>
      <c r="C396" s="21">
        <v>10</v>
      </c>
      <c r="D396" s="21">
        <v>3200000</v>
      </c>
      <c r="E396" s="21">
        <v>641406.19999999995</v>
      </c>
      <c r="F396" s="21">
        <v>349712.04808503168</v>
      </c>
      <c r="G396" s="21">
        <f>Table841419410132427323943485356714[[#This Row],[VỐN CP]]+Table841419410132427323943485356714[[#This Row],[LỢI NHUẬN RÒNG]]</f>
        <v>3549712.0480850316</v>
      </c>
      <c r="H396" s="28"/>
      <c r="I396" s="11"/>
      <c r="J396" s="11"/>
    </row>
    <row r="397" spans="1:10" hidden="1" x14ac:dyDescent="0.3">
      <c r="A397" s="23" t="s">
        <v>81</v>
      </c>
      <c r="B397" s="27" t="s">
        <v>35</v>
      </c>
      <c r="C397" s="21">
        <v>5</v>
      </c>
      <c r="D397" s="21">
        <v>1600000</v>
      </c>
      <c r="E397" s="21">
        <v>320703.09999999998</v>
      </c>
      <c r="F397" s="21">
        <v>174856.02404251584</v>
      </c>
      <c r="G397" s="21">
        <f>Table841419410132427323943485356714[[#This Row],[VỐN CP]]+Table841419410132427323943485356714[[#This Row],[LỢI NHUẬN RÒNG]]</f>
        <v>1774856.0240425158</v>
      </c>
      <c r="H397" s="28"/>
      <c r="I397" s="11"/>
      <c r="J397" s="11"/>
    </row>
    <row r="398" spans="1:10" hidden="1" x14ac:dyDescent="0.3">
      <c r="A398" s="23" t="s">
        <v>81</v>
      </c>
      <c r="B398" s="27" t="s">
        <v>43</v>
      </c>
      <c r="C398" s="21">
        <v>10</v>
      </c>
      <c r="D398" s="21">
        <v>3200000</v>
      </c>
      <c r="E398" s="21">
        <v>641406.19999999995</v>
      </c>
      <c r="F398" s="21">
        <v>349712.04808503168</v>
      </c>
      <c r="G398" s="21">
        <f>Table841419410132427323943485356714[[#This Row],[VỐN CP]]+Table841419410132427323943485356714[[#This Row],[LỢI NHUẬN RÒNG]]</f>
        <v>3549712.0480850316</v>
      </c>
      <c r="H398" s="28"/>
      <c r="I398" s="11"/>
      <c r="J398" s="11"/>
    </row>
    <row r="399" spans="1:10" hidden="1" x14ac:dyDescent="0.3">
      <c r="A399" s="23" t="s">
        <v>81</v>
      </c>
      <c r="B399" s="27" t="s">
        <v>25</v>
      </c>
      <c r="C399" s="21">
        <v>10</v>
      </c>
      <c r="D399" s="21">
        <v>3200000</v>
      </c>
      <c r="E399" s="21">
        <v>641406.19999999995</v>
      </c>
      <c r="F399" s="21">
        <v>349712.04808503168</v>
      </c>
      <c r="G399" s="21">
        <f>Table841419410132427323943485356714[[#This Row],[VỐN CP]]+Table841419410132427323943485356714[[#This Row],[LỢI NHUẬN RÒNG]]</f>
        <v>3549712.0480850316</v>
      </c>
      <c r="H399" s="28"/>
      <c r="I399" s="11"/>
      <c r="J399" s="11"/>
    </row>
    <row r="400" spans="1:10" hidden="1" x14ac:dyDescent="0.3">
      <c r="A400" s="23" t="s">
        <v>82</v>
      </c>
      <c r="B400" s="27" t="s">
        <v>9</v>
      </c>
      <c r="C400" s="21">
        <v>25</v>
      </c>
      <c r="D400" s="21">
        <v>4000000</v>
      </c>
      <c r="E400" s="21">
        <v>4564509.25</v>
      </c>
      <c r="F400" s="21">
        <v>3863474.2023215396</v>
      </c>
      <c r="G400" s="21">
        <f>Table841419410132427323943485356714[[#This Row],[VỐN CP]]+Table841419410132427323943485356714[[#This Row],[LỢI NHUẬN RÒNG]]</f>
        <v>7863474.2023215396</v>
      </c>
      <c r="H400" s="28"/>
      <c r="I400" s="11"/>
      <c r="J400" s="11"/>
    </row>
    <row r="401" spans="1:10" hidden="1" x14ac:dyDescent="0.3">
      <c r="A401" s="23" t="s">
        <v>82</v>
      </c>
      <c r="B401" s="27" t="s">
        <v>19</v>
      </c>
      <c r="C401" s="21">
        <v>20</v>
      </c>
      <c r="D401" s="21">
        <v>3200000</v>
      </c>
      <c r="E401" s="21">
        <v>3651607.4</v>
      </c>
      <c r="F401" s="21">
        <v>3090779.3618572317</v>
      </c>
      <c r="G401" s="21">
        <f>Table841419410132427323943485356714[[#This Row],[VỐN CP]]+Table841419410132427323943485356714[[#This Row],[LỢI NHUẬN RÒNG]]</f>
        <v>6290779.3618572317</v>
      </c>
      <c r="H401" s="28"/>
      <c r="I401" s="11"/>
      <c r="J401" s="11"/>
    </row>
    <row r="402" spans="1:10" hidden="1" x14ac:dyDescent="0.3">
      <c r="A402" s="23" t="s">
        <v>82</v>
      </c>
      <c r="B402" s="27" t="s">
        <v>37</v>
      </c>
      <c r="C402" s="21">
        <v>25</v>
      </c>
      <c r="D402" s="21">
        <v>4000000</v>
      </c>
      <c r="E402" s="21">
        <v>4564509.25</v>
      </c>
      <c r="F402" s="21">
        <v>3863474.2023215396</v>
      </c>
      <c r="G402" s="21">
        <f>Table841419410132427323943485356714[[#This Row],[VỐN CP]]+Table841419410132427323943485356714[[#This Row],[LỢI NHUẬN RÒNG]]</f>
        <v>7863474.2023215396</v>
      </c>
      <c r="H402" s="28"/>
      <c r="I402" s="11"/>
      <c r="J402" s="11"/>
    </row>
    <row r="403" spans="1:10" hidden="1" x14ac:dyDescent="0.3">
      <c r="A403" s="23" t="s">
        <v>82</v>
      </c>
      <c r="B403" s="27" t="s">
        <v>21</v>
      </c>
      <c r="C403" s="21">
        <v>25</v>
      </c>
      <c r="D403" s="21">
        <v>4000000</v>
      </c>
      <c r="E403" s="21">
        <v>4564509.25</v>
      </c>
      <c r="F403" s="21">
        <v>3863474.2023215396</v>
      </c>
      <c r="G403" s="21">
        <f>Table841419410132427323943485356714[[#This Row],[VỐN CP]]+Table841419410132427323943485356714[[#This Row],[LỢI NHUẬN RÒNG]]</f>
        <v>7863474.2023215396</v>
      </c>
      <c r="H403" s="28"/>
      <c r="I403" s="11"/>
      <c r="J403" s="11"/>
    </row>
    <row r="404" spans="1:10" hidden="1" x14ac:dyDescent="0.3">
      <c r="A404" s="23" t="s">
        <v>82</v>
      </c>
      <c r="B404" s="27" t="s">
        <v>10</v>
      </c>
      <c r="C404" s="21">
        <v>5</v>
      </c>
      <c r="D404" s="21">
        <v>800000</v>
      </c>
      <c r="E404" s="21">
        <v>912901.85</v>
      </c>
      <c r="F404" s="21">
        <v>772694.84046430793</v>
      </c>
      <c r="G404" s="21">
        <f>Table841419410132427323943485356714[[#This Row],[VỐN CP]]+Table841419410132427323943485356714[[#This Row],[LỢI NHUẬN RÒNG]]</f>
        <v>1572694.8404643079</v>
      </c>
      <c r="H404" s="28"/>
      <c r="I404" s="11"/>
      <c r="J404" s="11"/>
    </row>
    <row r="405" spans="1:10" hidden="1" x14ac:dyDescent="0.3">
      <c r="A405" s="23" t="s">
        <v>83</v>
      </c>
      <c r="B405" s="27" t="s">
        <v>9</v>
      </c>
      <c r="C405" s="21">
        <v>20</v>
      </c>
      <c r="D405" s="21">
        <v>8200000</v>
      </c>
      <c r="E405" s="21">
        <v>4215957.4000000004</v>
      </c>
      <c r="F405" s="21">
        <v>3004611.1124765752</v>
      </c>
      <c r="G405" s="21">
        <f>Table841419410132427323943485356714[[#This Row],[VỐN CP]]+Table841419410132427323943485356714[[#This Row],[LỢI NHUẬN RÒNG]]</f>
        <v>11204611.112476576</v>
      </c>
      <c r="H405" s="28"/>
      <c r="I405" s="11"/>
      <c r="J405" s="11"/>
    </row>
    <row r="406" spans="1:10" hidden="1" x14ac:dyDescent="0.3">
      <c r="A406" s="23" t="s">
        <v>83</v>
      </c>
      <c r="B406" s="27" t="s">
        <v>19</v>
      </c>
      <c r="C406" s="21">
        <v>5</v>
      </c>
      <c r="D406" s="21">
        <v>2050000</v>
      </c>
      <c r="E406" s="21">
        <v>1053989.3500000001</v>
      </c>
      <c r="F406" s="21">
        <v>751152.7781191438</v>
      </c>
      <c r="G406" s="21">
        <f>Table841419410132427323943485356714[[#This Row],[VỐN CP]]+Table841419410132427323943485356714[[#This Row],[LỢI NHUẬN RÒNG]]</f>
        <v>2801152.778119144</v>
      </c>
      <c r="H406" s="28"/>
      <c r="I406" s="11"/>
      <c r="J406" s="11"/>
    </row>
    <row r="407" spans="1:10" hidden="1" x14ac:dyDescent="0.3">
      <c r="A407" s="23" t="s">
        <v>83</v>
      </c>
      <c r="B407" s="27" t="s">
        <v>37</v>
      </c>
      <c r="C407" s="21">
        <v>10</v>
      </c>
      <c r="D407" s="21">
        <v>4100000</v>
      </c>
      <c r="E407" s="21">
        <v>2107978.7000000002</v>
      </c>
      <c r="F407" s="21">
        <v>1502305.5562382876</v>
      </c>
      <c r="G407" s="21">
        <f>Table841419410132427323943485356714[[#This Row],[VỐN CP]]+Table841419410132427323943485356714[[#This Row],[LỢI NHUẬN RÒNG]]</f>
        <v>5602305.5562382881</v>
      </c>
      <c r="H407" s="28"/>
      <c r="I407" s="11"/>
      <c r="J407" s="11"/>
    </row>
    <row r="408" spans="1:10" hidden="1" x14ac:dyDescent="0.3">
      <c r="A408" s="23" t="s">
        <v>83</v>
      </c>
      <c r="B408" s="27" t="s">
        <v>31</v>
      </c>
      <c r="C408" s="21">
        <v>20</v>
      </c>
      <c r="D408" s="21">
        <v>8200000</v>
      </c>
      <c r="E408" s="21">
        <v>4215957.4000000004</v>
      </c>
      <c r="F408" s="21">
        <v>3004611.1124765752</v>
      </c>
      <c r="G408" s="21">
        <f>Table841419410132427323943485356714[[#This Row],[VỐN CP]]+Table841419410132427323943485356714[[#This Row],[LỢI NHUẬN RÒNG]]</f>
        <v>11204611.112476576</v>
      </c>
      <c r="H408" s="28"/>
      <c r="I408" s="11"/>
      <c r="J408" s="11"/>
    </row>
    <row r="409" spans="1:10" hidden="1" x14ac:dyDescent="0.3">
      <c r="A409" s="23" t="s">
        <v>83</v>
      </c>
      <c r="B409" s="27" t="s">
        <v>21</v>
      </c>
      <c r="C409" s="21">
        <v>20</v>
      </c>
      <c r="D409" s="21">
        <v>8200000</v>
      </c>
      <c r="E409" s="21">
        <v>4215957.4000000004</v>
      </c>
      <c r="F409" s="21">
        <v>3004611.1124765752</v>
      </c>
      <c r="G409" s="21">
        <f>Table841419410132427323943485356714[[#This Row],[VỐN CP]]+Table841419410132427323943485356714[[#This Row],[LỢI NHUẬN RÒNG]]</f>
        <v>11204611.112476576</v>
      </c>
      <c r="H409" s="28"/>
      <c r="I409" s="11"/>
      <c r="J409" s="11"/>
    </row>
    <row r="410" spans="1:10" hidden="1" x14ac:dyDescent="0.3">
      <c r="A410" s="23" t="s">
        <v>83</v>
      </c>
      <c r="B410" s="27" t="s">
        <v>35</v>
      </c>
      <c r="C410" s="21">
        <v>5</v>
      </c>
      <c r="D410" s="21">
        <v>2050000</v>
      </c>
      <c r="E410" s="21">
        <v>1053989.3500000001</v>
      </c>
      <c r="F410" s="21">
        <v>751152.7781191438</v>
      </c>
      <c r="G410" s="21">
        <f>Table841419410132427323943485356714[[#This Row],[VỐN CP]]+Table841419410132427323943485356714[[#This Row],[LỢI NHUẬN RÒNG]]</f>
        <v>2801152.778119144</v>
      </c>
      <c r="H410" s="28"/>
      <c r="I410" s="11"/>
      <c r="J410" s="11"/>
    </row>
    <row r="411" spans="1:10" hidden="1" x14ac:dyDescent="0.3">
      <c r="A411" s="23" t="s">
        <v>83</v>
      </c>
      <c r="B411" s="27" t="s">
        <v>43</v>
      </c>
      <c r="C411" s="21">
        <v>10</v>
      </c>
      <c r="D411" s="21">
        <v>4100000</v>
      </c>
      <c r="E411" s="21">
        <v>2107978.7000000002</v>
      </c>
      <c r="F411" s="21">
        <v>1502305.5562382876</v>
      </c>
      <c r="G411" s="21">
        <f>Table841419410132427323943485356714[[#This Row],[VỐN CP]]+Table841419410132427323943485356714[[#This Row],[LỢI NHUẬN RÒNG]]</f>
        <v>5602305.5562382881</v>
      </c>
      <c r="H411" s="28"/>
      <c r="I411" s="11"/>
      <c r="J411" s="11"/>
    </row>
    <row r="412" spans="1:10" hidden="1" x14ac:dyDescent="0.3">
      <c r="A412" s="23" t="s">
        <v>83</v>
      </c>
      <c r="B412" s="27" t="s">
        <v>25</v>
      </c>
      <c r="C412" s="21">
        <v>10</v>
      </c>
      <c r="D412" s="21">
        <v>4100000</v>
      </c>
      <c r="E412" s="21">
        <v>2107978.7000000002</v>
      </c>
      <c r="F412" s="21">
        <v>1502305.5562382876</v>
      </c>
      <c r="G412" s="21">
        <f>Table841419410132427323943485356714[[#This Row],[VỐN CP]]+Table841419410132427323943485356714[[#This Row],[LỢI NHUẬN RÒNG]]</f>
        <v>5602305.5562382881</v>
      </c>
      <c r="H412" s="28"/>
      <c r="I412" s="11"/>
      <c r="J412" s="11"/>
    </row>
    <row r="413" spans="1:10" hidden="1" x14ac:dyDescent="0.3">
      <c r="A413" s="23" t="s">
        <v>84</v>
      </c>
      <c r="B413" s="27" t="s">
        <v>9</v>
      </c>
      <c r="C413" s="21">
        <v>20</v>
      </c>
      <c r="D413" s="21">
        <v>19000000</v>
      </c>
      <c r="E413" s="21">
        <v>-760311.6</v>
      </c>
      <c r="F413" s="21">
        <v>-3300110.2775351019</v>
      </c>
      <c r="G413" s="21">
        <f>Table841419410132427323943485356714[[#This Row],[VỐN CP]]+Table841419410132427323943485356714[[#This Row],[LỢI NHUẬN RÒNG]]</f>
        <v>15699889.722464899</v>
      </c>
      <c r="H413" s="28"/>
      <c r="I413" s="11"/>
      <c r="J413" s="11"/>
    </row>
    <row r="414" spans="1:10" hidden="1" x14ac:dyDescent="0.3">
      <c r="A414" s="23" t="s">
        <v>84</v>
      </c>
      <c r="B414" s="27" t="s">
        <v>19</v>
      </c>
      <c r="C414" s="21">
        <v>10</v>
      </c>
      <c r="D414" s="21">
        <v>9500000</v>
      </c>
      <c r="E414" s="21">
        <v>-380155.8</v>
      </c>
      <c r="F414" s="21">
        <v>-1650055.1387675509</v>
      </c>
      <c r="G414" s="21">
        <f>Table841419410132427323943485356714[[#This Row],[VỐN CP]]+Table841419410132427323943485356714[[#This Row],[LỢI NHUẬN RÒNG]]</f>
        <v>7849944.8612324493</v>
      </c>
      <c r="H414" s="28"/>
      <c r="I414" s="11"/>
      <c r="J414" s="11"/>
    </row>
    <row r="415" spans="1:10" hidden="1" x14ac:dyDescent="0.3">
      <c r="A415" s="23" t="s">
        <v>84</v>
      </c>
      <c r="B415" s="27" t="s">
        <v>37</v>
      </c>
      <c r="C415" s="21">
        <v>10</v>
      </c>
      <c r="D415" s="21">
        <v>9500000</v>
      </c>
      <c r="E415" s="21">
        <v>-380155.8</v>
      </c>
      <c r="F415" s="21">
        <v>-1650055.1387675509</v>
      </c>
      <c r="G415" s="21">
        <f>Table841419410132427323943485356714[[#This Row],[VỐN CP]]+Table841419410132427323943485356714[[#This Row],[LỢI NHUẬN RÒNG]]</f>
        <v>7849944.8612324493</v>
      </c>
      <c r="H415" s="28"/>
      <c r="I415" s="11"/>
      <c r="J415" s="11"/>
    </row>
    <row r="416" spans="1:10" hidden="1" x14ac:dyDescent="0.3">
      <c r="A416" s="23" t="s">
        <v>84</v>
      </c>
      <c r="B416" s="27" t="s">
        <v>31</v>
      </c>
      <c r="C416" s="21">
        <v>20</v>
      </c>
      <c r="D416" s="21">
        <v>19000000</v>
      </c>
      <c r="E416" s="21">
        <v>-760311.6</v>
      </c>
      <c r="F416" s="21">
        <v>-3300110.2775351019</v>
      </c>
      <c r="G416" s="21">
        <f>Table841419410132427323943485356714[[#This Row],[VỐN CP]]+Table841419410132427323943485356714[[#This Row],[LỢI NHUẬN RÒNG]]</f>
        <v>15699889.722464899</v>
      </c>
      <c r="H416" s="28"/>
      <c r="I416" s="11"/>
      <c r="J416" s="11"/>
    </row>
    <row r="417" spans="1:11" hidden="1" x14ac:dyDescent="0.3">
      <c r="A417" s="23" t="s">
        <v>84</v>
      </c>
      <c r="B417" s="27" t="s">
        <v>21</v>
      </c>
      <c r="C417" s="21">
        <v>20</v>
      </c>
      <c r="D417" s="21">
        <v>19000000</v>
      </c>
      <c r="E417" s="21">
        <v>-760311.6</v>
      </c>
      <c r="F417" s="21">
        <v>-3300110.2775351019</v>
      </c>
      <c r="G417" s="21">
        <f>Table841419410132427323943485356714[[#This Row],[VỐN CP]]+Table841419410132427323943485356714[[#This Row],[LỢI NHUẬN RÒNG]]</f>
        <v>15699889.722464899</v>
      </c>
      <c r="H417" s="28"/>
      <c r="I417" s="11"/>
      <c r="J417" s="11"/>
    </row>
    <row r="418" spans="1:11" hidden="1" x14ac:dyDescent="0.3">
      <c r="A418" s="23" t="s">
        <v>84</v>
      </c>
      <c r="B418" s="27" t="s">
        <v>29</v>
      </c>
      <c r="C418" s="21">
        <v>5</v>
      </c>
      <c r="D418" s="21">
        <v>4750000</v>
      </c>
      <c r="E418" s="21">
        <v>-190077.9</v>
      </c>
      <c r="F418" s="21">
        <v>-825027.56938377547</v>
      </c>
      <c r="G418" s="21">
        <f>Table841419410132427323943485356714[[#This Row],[VỐN CP]]+Table841419410132427323943485356714[[#This Row],[LỢI NHUẬN RÒNG]]</f>
        <v>3924972.4306162247</v>
      </c>
      <c r="H418" s="28"/>
      <c r="I418" s="11"/>
      <c r="J418" s="11"/>
    </row>
    <row r="419" spans="1:11" hidden="1" x14ac:dyDescent="0.3">
      <c r="A419" s="23" t="s">
        <v>84</v>
      </c>
      <c r="B419" s="27" t="s">
        <v>43</v>
      </c>
      <c r="C419" s="21">
        <v>10</v>
      </c>
      <c r="D419" s="21">
        <v>9500000</v>
      </c>
      <c r="E419" s="21">
        <v>-380155.8</v>
      </c>
      <c r="F419" s="21">
        <v>-1650055.1387675509</v>
      </c>
      <c r="G419" s="21">
        <f>Table841419410132427323943485356714[[#This Row],[VỐN CP]]+Table841419410132427323943485356714[[#This Row],[LỢI NHUẬN RÒNG]]</f>
        <v>7849944.8612324493</v>
      </c>
      <c r="H419" s="28"/>
      <c r="I419" s="11"/>
      <c r="J419" s="11"/>
    </row>
    <row r="420" spans="1:11" hidden="1" x14ac:dyDescent="0.3">
      <c r="A420" s="23" t="s">
        <v>84</v>
      </c>
      <c r="B420" s="27" t="s">
        <v>25</v>
      </c>
      <c r="C420" s="21">
        <v>5</v>
      </c>
      <c r="D420" s="21">
        <v>4750000</v>
      </c>
      <c r="E420" s="21">
        <v>-190077.9</v>
      </c>
      <c r="F420" s="21">
        <v>-825027.56938377547</v>
      </c>
      <c r="G420" s="21">
        <f>Table841419410132427323943485356714[[#This Row],[VỐN CP]]+Table841419410132427323943485356714[[#This Row],[LỢI NHUẬN RÒNG]]</f>
        <v>3924972.4306162247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SUBTOTAL(109,Table841419410132427323943485356714[VỐN CP])</f>
        <v>61608333.333333336</v>
      </c>
      <c r="E421" s="21">
        <f>SUBTOTAL(109,Table841419410132427323943485356714[LỢI NHUẬN GỘP])</f>
        <v>23562281.18333333</v>
      </c>
      <c r="F421" s="21">
        <f>SUBTOTAL(109,Table841419410132427323943485356714[LỢI NHUẬN RÒNG])</f>
        <v>14828379.759607859</v>
      </c>
      <c r="G421" s="21">
        <f>SUBTOTAL(109,Table841419410132427323943485356714[TỔNG NHẬN])</f>
        <v>77945229.442941189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C802-5A80-49B2-9DF4-2D1CCDA9B360}">
  <sheetPr codeName="Sheet10"/>
  <dimension ref="A1:O427"/>
  <sheetViews>
    <sheetView workbookViewId="0">
      <selection activeCell="G23" sqref="G23:G32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145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2071885.7</v>
      </c>
      <c r="F3" s="18">
        <v>1445325.9798824524</v>
      </c>
      <c r="G3" s="12">
        <f>D3+Table84141941013242732394348535671118[[#This Row],[LỢI NHUẬN RÒNG]]</f>
        <v>6245325.9798824526</v>
      </c>
      <c r="K3" s="13" t="s">
        <v>10</v>
      </c>
      <c r="L3" s="14">
        <f>SUMIF(Table84141941013242732394348535671118[CỔ ĐÔNG],K3,Table84141941013242732394348535671118[VỐN CP])</f>
        <v>2400000</v>
      </c>
      <c r="M3" s="14">
        <f>SUMIF(Table84141941013242732394348535671118[CỔ ĐÔNG],K3,Table84141941013242732394348535671118[LỢI NHUẬN GỘP])</f>
        <v>1035942.85</v>
      </c>
      <c r="N3" s="14">
        <f>SUMIF(Table84141941013242732394348535671118[CỔ ĐÔNG],K3,Table84141941013242732394348535671118[LỢI NHUẬN RÒNG])</f>
        <v>722662.9899412262</v>
      </c>
      <c r="O3" s="15">
        <f>SUMIF(Table84141941013242732394348535671118[CỔ ĐÔNG],K3,Table84141941013242732394348535671118[TỔNG NHẬN])</f>
        <v>3122662.9899412263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4143771.4</v>
      </c>
      <c r="F4" s="18">
        <v>2890651.9597649048</v>
      </c>
      <c r="G4" s="12">
        <f>D4+Table84141941013242732394348535671118[[#This Row],[LỢI NHUẬN RÒNG]]</f>
        <v>12490651.959764905</v>
      </c>
      <c r="K4" s="13" t="s">
        <v>9</v>
      </c>
      <c r="L4" s="14">
        <f>SUMIF(Table84141941013242732394348535671118[CỔ ĐÔNG],K4,Table84141941013242732394348535671118[VỐN CP])</f>
        <v>4800000</v>
      </c>
      <c r="M4" s="14">
        <f>SUMIF(Table84141941013242732394348535671118[CỔ ĐÔNG],K4,Table84141941013242732394348535671118[LỢI NHUẬN GỘP])</f>
        <v>2071885.7</v>
      </c>
      <c r="N4" s="14">
        <f>SUMIF(Table84141941013242732394348535671118[CỔ ĐÔNG],K4,Table84141941013242732394348535671118[LỢI NHUẬN RÒNG])</f>
        <v>1445325.9798824524</v>
      </c>
      <c r="O4" s="15">
        <f>SUMIF(Table84141941013242732394348535671118[CỔ ĐÔNG],Table95152051114252833404449545781219[[#This Row],[CỔ ĐÔNG]],Table84141941013242732394348535671118[TỔNG NHẬN])</f>
        <v>26959897.19719914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3107828.55</v>
      </c>
      <c r="F5" s="18">
        <v>2167988.969823679</v>
      </c>
      <c r="G5" s="12">
        <f>D5+Table84141941013242732394348535671118[[#This Row],[LỢI NHUẬN RÒNG]]</f>
        <v>9367988.969823679</v>
      </c>
      <c r="K5" s="13" t="s">
        <v>13</v>
      </c>
      <c r="L5" s="14">
        <f>SUMIF(Table84141941013242732394348535671118[CỔ ĐÔNG],K5,Table84141941013242732394348535671118[VỐN CP])</f>
        <v>0</v>
      </c>
      <c r="M5" s="14">
        <f>SUMIF(Table84141941013242732394348535671118[CỔ ĐÔNG],K5,Table84141941013242732394348535671118[LỢI NHUẬN GỘP])</f>
        <v>0</v>
      </c>
      <c r="N5" s="14">
        <f>SUMIF(Table84141941013242732394348535671118[CỔ ĐÔNG],K5,Table84141941013242732394348535671118[LỢI NHUẬN RÒNG])</f>
        <v>0</v>
      </c>
      <c r="O5" s="15">
        <f>SUMIF(Table84141941013242732394348535671118[CỔ ĐÔNG],Table95152051114252833404449545781219[[#This Row],[CỔ ĐÔNG]],Table84141941013242732394348535671118[TỔNG NHẬN])</f>
        <v>0</v>
      </c>
    </row>
    <row r="6" spans="1:15" ht="15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1035942.85</v>
      </c>
      <c r="F6" s="18">
        <v>722662.9899412262</v>
      </c>
      <c r="G6" s="12">
        <f>D6+Table84141941013242732394348535671118[[#This Row],[LỢI NHUẬN RÒNG]]</f>
        <v>3122662.9899412263</v>
      </c>
      <c r="K6" s="13" t="s">
        <v>15</v>
      </c>
      <c r="L6" s="14">
        <f>SUMIF(Table84141941013242732394348535671118[CỔ ĐÔNG],K6,Table84141941013242732394348535671118[VỐN CP])</f>
        <v>0</v>
      </c>
      <c r="M6" s="14">
        <f>SUMIF(Table84141941013242732394348535671118[CỔ ĐÔNG],K6,Table84141941013242732394348535671118[LỢI NHUẬN GỘP])</f>
        <v>0</v>
      </c>
      <c r="N6" s="14">
        <f>SUMIF(Table84141941013242732394348535671118[CỔ ĐÔNG],K6,Table84141941013242732394348535671118[LỢI NHUẬN RÒNG])</f>
        <v>0</v>
      </c>
      <c r="O6" s="15">
        <f>SUMIF(Table84141941013242732394348535671118[CỔ ĐÔNG],K6,Table84141941013242732394348535671118[TỔNG NHẬN])</f>
        <v>0</v>
      </c>
    </row>
    <row r="7" spans="1:15" ht="15" hidden="1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3107828.55</v>
      </c>
      <c r="F7" s="18">
        <v>2167988.969823679</v>
      </c>
      <c r="G7" s="12">
        <f>D7+Table84141941013242732394348535671118[[#This Row],[LỢI NHUẬN RÒNG]]</f>
        <v>9367988.969823679</v>
      </c>
      <c r="I7" s="11"/>
      <c r="K7" s="13" t="s">
        <v>17</v>
      </c>
      <c r="L7" s="14">
        <f>SUMIF(Table84141941013242732394348535671118[CỔ ĐÔNG],K7,Table84141941013242732394348535671118[VỐN CP])</f>
        <v>0</v>
      </c>
      <c r="M7" s="14">
        <f>SUMIF(Table84141941013242732394348535671118[CỔ ĐÔNG],K7,Table84141941013242732394348535671118[LỢI NHUẬN GỘP])</f>
        <v>0</v>
      </c>
      <c r="N7" s="14">
        <f>SUMIF(Table84141941013242732394348535671118[CỔ ĐÔNG],K7,Table84141941013242732394348535671118[LỢI NHUẬN RÒNG])</f>
        <v>0</v>
      </c>
      <c r="O7" s="15">
        <f>SUMIF(Table84141941013242732394348535671118[CỔ ĐÔNG],Table95152051114252833404449545781219[[#This Row],[CỔ ĐÔNG]],Table84141941013242732394348535671118[TỔNG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2071885.7</v>
      </c>
      <c r="F8" s="18">
        <v>1445325.9798824524</v>
      </c>
      <c r="G8" s="12">
        <f>D8+Table84141941013242732394348535671118[[#This Row],[LỢI NHUẬN RÒNG]]</f>
        <v>6245325.9798824526</v>
      </c>
      <c r="K8" s="13" t="s">
        <v>19</v>
      </c>
      <c r="L8" s="14">
        <f>SUMIF(Table84141941013242732394348535671118[CỔ ĐÔNG],K8,Table84141941013242732394348535671118[VỐN CP])</f>
        <v>12150000</v>
      </c>
      <c r="M8" s="14">
        <f>SUMIF(Table84141941013242732394348535671118[CỔ ĐÔNG],K8,Table84141941013242732394348535671118[LỢI NHUẬN GỘP])</f>
        <v>5757464.2000000002</v>
      </c>
      <c r="N8" s="14">
        <f>SUMIF(Table84141941013242732394348535671118[CỔ ĐÔNG],K8,Table84141941013242732394348535671118[LỢI NHUẬN RÒNG])</f>
        <v>3447651.1180903083</v>
      </c>
      <c r="O8" s="15">
        <f>SUMIF(Table84141941013242732394348535671118[CỔ ĐÔNG],Table95152051114252833404449545781219[[#This Row],[CỔ ĐÔNG]],Table84141941013242732394348535671118[TỔNG NHẬN])</f>
        <v>43574453.144065335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1035942.85</v>
      </c>
      <c r="F9" s="18">
        <v>722662.9899412262</v>
      </c>
      <c r="G9" s="12">
        <f>D9+Table84141941013242732394348535671118[[#This Row],[LỢI NHUẬN RÒNG]]</f>
        <v>3122662.9899412263</v>
      </c>
      <c r="K9" s="13" t="s">
        <v>21</v>
      </c>
      <c r="L9" s="14">
        <f>SUMIF(Table84141941013242732394348535671118[CỔ ĐÔNG],K9,Table84141941013242732394348535671118[VỐN CP])</f>
        <v>7350000</v>
      </c>
      <c r="M9" s="14">
        <f>SUMIF(Table84141941013242732394348535671118[CỔ ĐÔNG],K9,Table84141941013242732394348535671118[LỢI NHUẬN GỘP])</f>
        <v>3685578.5</v>
      </c>
      <c r="N9" s="14">
        <f>SUMIF(Table84141941013242732394348535671118[CỔ ĐÔNG],K9,Table84141941013242732394348535671118[LỢI NHUẬN RÒNG])</f>
        <v>2002325.1382078556</v>
      </c>
      <c r="O9" s="15">
        <f>SUMIF(Table84141941013242732394348535671118[CỔ ĐÔNG],Table95152051114252833404449545781219[[#This Row],[CỔ ĐÔNG]],Table84141941013242732394348535671118[TỔNG NHẬN])</f>
        <v>30066896.355524544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2071885.7</v>
      </c>
      <c r="F10" s="18">
        <v>1445325.9798824524</v>
      </c>
      <c r="G10" s="12">
        <f>D10+Table84141941013242732394348535671118[[#This Row],[LỢI NHUẬN RÒNG]]</f>
        <v>6245325.9798824526</v>
      </c>
      <c r="I10" s="11"/>
      <c r="K10" s="13" t="s">
        <v>23</v>
      </c>
      <c r="L10" s="14">
        <f>SUMIF(Table84141941013242732394348535671118[CỔ ĐÔNG],K10,Table84141941013242732394348535671118[VỐN CP])</f>
        <v>0</v>
      </c>
      <c r="M10" s="14">
        <f>SUMIF(Table84141941013242732394348535671118[CỔ ĐÔNG],K10,Table84141941013242732394348535671118[LỢI NHUẬN GỘP])</f>
        <v>0</v>
      </c>
      <c r="N10" s="14">
        <f>SUMIF(Table84141941013242732394348535671118[CỔ ĐÔNG],K10,Table84141941013242732394348535671118[LỢI NHUẬN RÒNG])</f>
        <v>0</v>
      </c>
      <c r="O10" s="15">
        <f>SUMIF(Table84141941013242732394348535671118[CỔ ĐÔNG],Table95152051114252833404449545781219[[#This Row],[CỔ ĐÔNG]],Table84141941013242732394348535671118[TỔNG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2071885.7</v>
      </c>
      <c r="F11" s="18">
        <v>1445325.9798824524</v>
      </c>
      <c r="G11" s="12">
        <f>D11+Table84141941013242732394348535671118[[#This Row],[LỢI NHUẬN RÒNG]]</f>
        <v>6245325.9798824526</v>
      </c>
      <c r="K11" s="13" t="s">
        <v>25</v>
      </c>
      <c r="L11" s="14">
        <f>SUMIF(Table84141941013242732394348535671118[CỔ ĐÔNG],K11,Table84141941013242732394348535671118[VỐN CP])</f>
        <v>7350000</v>
      </c>
      <c r="M11" s="14">
        <f>SUMIF(Table84141941013242732394348535671118[CỔ ĐÔNG],K11,Table84141941013242732394348535671118[LỢI NHUẬN GỘP])</f>
        <v>3685578.5</v>
      </c>
      <c r="N11" s="14">
        <f>SUMIF(Table84141941013242732394348535671118[CỔ ĐÔNG],K11,Table84141941013242732394348535671118[LỢI NHUẬN RÒNG])</f>
        <v>2002325.1382078556</v>
      </c>
      <c r="O11" s="15">
        <f>SUMIF(Table84141941013242732394348535671118[CỔ ĐÔNG],Table95152051114252833404449545781219[[#This Row],[CỔ ĐÔNG]],Table84141941013242732394348535671118[TỔNG NHẬN])</f>
        <v>30066896.355524544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D12" s="11">
        <v>2550000</v>
      </c>
      <c r="E12" s="11">
        <v>1613692.8</v>
      </c>
      <c r="F12" s="11">
        <v>556999.15832540323</v>
      </c>
      <c r="G12" s="12">
        <f>D12+Table84141941013242732394348535671118[[#This Row],[LỢI NHUẬN RÒNG]]</f>
        <v>3106999.158325403</v>
      </c>
      <c r="K12" s="13" t="s">
        <v>27</v>
      </c>
      <c r="L12" s="14">
        <f>SUMIF(Table84141941013242732394348535671118[CỔ ĐÔNG],K12,Table84141941013242732394348535671118[VỐN CP])</f>
        <v>0</v>
      </c>
      <c r="M12" s="14">
        <f>SUMIF(Table84141941013242732394348535671118[CỔ ĐÔNG],K12,Table84141941013242732394348535671118[LỢI NHUẬN GỘP])</f>
        <v>0</v>
      </c>
      <c r="N12" s="14">
        <f>SUMIF(Table84141941013242732394348535671118[CỔ ĐÔNG],K12,Table84141941013242732394348535671118[LỢI NHUẬN RÒNG])</f>
        <v>0</v>
      </c>
      <c r="O12" s="15">
        <f>SUMIF(Table84141941013242732394348535671118[CỔ ĐÔNG],Table95152051114252833404449545781219[[#This Row],[CỔ ĐÔNG]],Table84141941013242732394348535671118[TỔNG NHẬN])</f>
        <v>0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D13" s="11">
        <v>2550000</v>
      </c>
      <c r="E13" s="11">
        <v>1613692.8</v>
      </c>
      <c r="F13" s="11">
        <v>556999.15832540323</v>
      </c>
      <c r="G13" s="12">
        <f>D13+Table84141941013242732394348535671118[[#This Row],[LỢI NHUẬN RÒNG]]</f>
        <v>3106999.158325403</v>
      </c>
      <c r="K13" s="13" t="s">
        <v>29</v>
      </c>
      <c r="L13" s="14">
        <f>SUMIF(Table84141941013242732394348535671118[CỔ ĐÔNG],K13,Table84141941013242732394348535671118[VỐN CP])</f>
        <v>1700000</v>
      </c>
      <c r="M13" s="14">
        <f>SUMIF(Table84141941013242732394348535671118[CỔ ĐÔNG],K13,Table84141941013242732394348535671118[LỢI NHUẬN GỘP])</f>
        <v>1075795.2</v>
      </c>
      <c r="N13" s="14">
        <f>SUMIF(Table84141941013242732394348535671118[CỔ ĐÔNG],K13,Table84141941013242732394348535671118[LỢI NHUẬN RÒNG])</f>
        <v>371332.77221693547</v>
      </c>
      <c r="O13" s="15">
        <f>SUMIF(Table84141941013242732394348535671118[CỔ ĐÔNG],Table95152051114252833404449545781219[[#This Row],[CỔ ĐÔNG]],Table84141941013242732394348535671118[TỔNG NHẬN])</f>
        <v>19154788.585204449</v>
      </c>
    </row>
    <row r="14" spans="1:15" ht="15" customHeight="1" x14ac:dyDescent="0.3">
      <c r="A14" s="10" t="s">
        <v>138</v>
      </c>
      <c r="B14" s="11" t="s">
        <v>33</v>
      </c>
      <c r="C14" s="11">
        <v>5</v>
      </c>
      <c r="D14" s="11">
        <v>850000</v>
      </c>
      <c r="E14" s="11">
        <v>537897.6</v>
      </c>
      <c r="F14" s="11">
        <v>185666.38610846773</v>
      </c>
      <c r="G14" s="12">
        <f>D14+Table84141941013242732394348535671118[[#This Row],[LỢI NHUẬN RÒNG]]</f>
        <v>1035666.3861084677</v>
      </c>
      <c r="K14" s="13" t="s">
        <v>31</v>
      </c>
      <c r="L14" s="14">
        <f>SUMIF(Table84141941013242732394348535671118[CỔ ĐÔNG],K14,Table84141941013242732394348535671118[VỐN CP])</f>
        <v>9750000</v>
      </c>
      <c r="M14" s="14">
        <f>SUMIF(Table84141941013242732394348535671118[CỔ ĐÔNG],K14,Table84141941013242732394348535671118[LỢI NHUẬN GỘP])</f>
        <v>4721521.3499999996</v>
      </c>
      <c r="N14" s="14">
        <f>SUMIF(Table84141941013242732394348535671118[CỔ ĐÔNG],K14,Table84141941013242732394348535671118[LỢI NHUẬN RÒNG])</f>
        <v>2724988.128149082</v>
      </c>
      <c r="O14" s="15">
        <f>SUMIF(Table84141941013242732394348535671118[CỔ ĐÔNG],Table95152051114252833404449545781219[[#This Row],[CỔ ĐÔNG]],Table84141941013242732394348535671118[TỔNG NHẬN])</f>
        <v>50273015.158453286</v>
      </c>
    </row>
    <row r="15" spans="1:15" ht="15" hidden="1" customHeight="1" x14ac:dyDescent="0.3">
      <c r="A15" s="10" t="s">
        <v>138</v>
      </c>
      <c r="B15" s="11" t="s">
        <v>31</v>
      </c>
      <c r="C15" s="11">
        <v>15</v>
      </c>
      <c r="D15" s="11">
        <v>2550000</v>
      </c>
      <c r="E15" s="11">
        <v>1613692.8</v>
      </c>
      <c r="F15" s="11">
        <v>556999.15832540323</v>
      </c>
      <c r="G15" s="12">
        <f>D15+Table84141941013242732394348535671118[[#This Row],[LỢI NHUẬN RÒNG]]</f>
        <v>3106999.158325403</v>
      </c>
      <c r="K15" s="13" t="s">
        <v>33</v>
      </c>
      <c r="L15" s="14">
        <f>SUMIF(Table84141941013242732394348535671118[CỔ ĐÔNG],K15,Table84141941013242732394348535671118[VỐN CP])</f>
        <v>3250000</v>
      </c>
      <c r="M15" s="14">
        <f>SUMIF(Table84141941013242732394348535671118[CỔ ĐÔNG],K15,Table84141941013242732394348535671118[LỢI NHUẬN GỘP])</f>
        <v>1573840.45</v>
      </c>
      <c r="N15" s="14">
        <f>SUMIF(Table84141941013242732394348535671118[CỔ ĐÔNG],K15,Table84141941013242732394348535671118[LỢI NHUẬN RÒNG])</f>
        <v>908329.37604969391</v>
      </c>
      <c r="O15" s="15">
        <f>SUMIF(Table84141941013242732394348535671118[CỔ ĐÔNG],Table95152051114252833404449545781219[[#This Row],[CỔ ĐÔNG]],Table84141941013242732394348535671118[TỔNG NHẬN])</f>
        <v>14515614.984708037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D16" s="11">
        <v>2550000</v>
      </c>
      <c r="E16" s="11">
        <v>1613692.8</v>
      </c>
      <c r="F16" s="11">
        <v>556999.15832540323</v>
      </c>
      <c r="G16" s="12">
        <f>D16+Table84141941013242732394348535671118[[#This Row],[LỢI NHUẬN RÒNG]]</f>
        <v>3106999.158325403</v>
      </c>
      <c r="K16" s="13" t="s">
        <v>35</v>
      </c>
      <c r="L16" s="14">
        <f>SUMIF(Table84141941013242732394348535671118[CỔ ĐÔNG],K16,Table84141941013242732394348535671118[VỐN CP])</f>
        <v>0</v>
      </c>
      <c r="M16" s="14">
        <f>SUMIF(Table84141941013242732394348535671118[CỔ ĐÔNG],K16,Table84141941013242732394348535671118[LỢI NHUẬN GỘP])</f>
        <v>0</v>
      </c>
      <c r="N16" s="14">
        <f>SUMIF(Table84141941013242732394348535671118[CỔ ĐÔNG],K16,Table84141941013242732394348535671118[LỢI NHUẬN RÒNG])</f>
        <v>0</v>
      </c>
      <c r="O16" s="15">
        <f>SUMIF(Table84141941013242732394348535671118[CỔ ĐÔNG],Table95152051114252833404449545781219[[#This Row],[CỔ ĐÔNG]],Table84141941013242732394348535671118[TỔNG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D17" s="11">
        <v>1700000</v>
      </c>
      <c r="E17" s="11">
        <v>1075795.2</v>
      </c>
      <c r="F17" s="11">
        <v>371332.77221693547</v>
      </c>
      <c r="G17" s="12">
        <f>D17+Table84141941013242732394348535671118[[#This Row],[LỢI NHUẬN RÒNG]]</f>
        <v>2071332.7722169354</v>
      </c>
      <c r="K17" s="16" t="s">
        <v>37</v>
      </c>
      <c r="L17" s="17">
        <f>SUMIF(Table84141941013242732394348535671118[CỔ ĐÔNG],K17,Table84141941013242732394348535671118[VỐN CP])</f>
        <v>9750000</v>
      </c>
      <c r="M17" s="17">
        <f>SUMIF(Table84141941013242732394348535671118[CỔ ĐÔNG],K17,Table84141941013242732394348535671118[LỢI NHUẬN GỘP])</f>
        <v>4721521.3499999996</v>
      </c>
      <c r="N17" s="17">
        <f>SUMIF(Table84141941013242732394348535671118[CỔ ĐÔNG],K17,Table84141941013242732394348535671118[LỢI NHUẬN RÒNG])</f>
        <v>2724988.128149082</v>
      </c>
      <c r="O17" s="15">
        <f>SUMIF(Table84141941013242732394348535671118[CỔ ĐÔNG],Table95152051114252833404449545781219[[#This Row],[CỔ ĐÔNG]],Table84141941013242732394348535671118[TỔNG NHẬN])</f>
        <v>33189559.345465768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D18" s="11">
        <v>1700000</v>
      </c>
      <c r="E18" s="11">
        <v>1075795.2</v>
      </c>
      <c r="F18" s="11">
        <v>371332.77221693547</v>
      </c>
      <c r="G18" s="12">
        <f>D18+Table84141941013242732394348535671118[[#This Row],[LỢI NHUẬN RÒNG]]</f>
        <v>2071332.7722169354</v>
      </c>
      <c r="K18" s="13" t="s">
        <v>39</v>
      </c>
      <c r="L18" s="17">
        <f>SUMIF(Table84141941013242732394348535671118[CỔ ĐÔNG],K18,Table84141941013242732394348535671118[VỐN CP])</f>
        <v>0</v>
      </c>
      <c r="M18" s="17">
        <f>SUMIF(Table84141941013242732394348535671118[CỔ ĐÔNG],K18,Table84141941013242732394348535671118[LỢI NHUẬN GỘP])</f>
        <v>0</v>
      </c>
      <c r="N18" s="17">
        <f>SUMIF(Table84141941013242732394348535671118[CỔ ĐÔNG],K18,Table84141941013242732394348535671118[LỢI NHUẬN RÒNG])</f>
        <v>0</v>
      </c>
      <c r="O18" s="15">
        <f>SUMIF(Table84141941013242732394348535671118[CỔ ĐÔNG],Table95152051114252833404449545781219[[#This Row],[CỔ ĐÔNG]],Table84141941013242732394348535671118[TỔNG NHẬN])</f>
        <v>0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D19" s="11">
        <v>2550000</v>
      </c>
      <c r="E19" s="11">
        <v>1613692.8</v>
      </c>
      <c r="F19" s="11">
        <v>556999.15832540323</v>
      </c>
      <c r="G19" s="12">
        <f>D19+Table84141941013242732394348535671118[[#This Row],[LỢI NHUẬN RÒNG]]</f>
        <v>3106999.158325403</v>
      </c>
      <c r="I19" s="11"/>
      <c r="K19" s="13" t="s">
        <v>41</v>
      </c>
      <c r="L19" s="17">
        <f>SUMIF(Table84141941013242732394348535671118[CỔ ĐÔNG],K19,Table84141941013242732394348535671118[VỐN CP])</f>
        <v>0</v>
      </c>
      <c r="M19" s="17">
        <f>SUMIF(Table84141941013242732394348535671118[CỔ ĐÔNG],K19,Table84141941013242732394348535671118[LỢI NHUẬN GỘP])</f>
        <v>0</v>
      </c>
      <c r="N19" s="17">
        <f>SUMIF(Table84141941013242732394348535671118[CỔ ĐÔNG],K19,Table84141941013242732394348535671118[LỢI NHUẬN RÒNG])</f>
        <v>0</v>
      </c>
      <c r="O19" s="15">
        <f>SUMIF(Table84141941013242732394348535671118[CỔ ĐÔNG],Table95152051114252833404449545781219[[#This Row],[CỔ ĐÔNG]],Table84141941013242732394348535671118[TỔNG NHẬN])</f>
        <v>0</v>
      </c>
    </row>
    <row r="20" spans="1:15" ht="15" hidden="1" customHeight="1" x14ac:dyDescent="0.3">
      <c r="A20" s="10" t="s">
        <v>140</v>
      </c>
      <c r="B20" s="11" t="s">
        <v>9</v>
      </c>
      <c r="C20" s="11">
        <v>10</v>
      </c>
      <c r="G20" s="12">
        <v>13452340.408658342</v>
      </c>
      <c r="K20" s="13" t="s">
        <v>42</v>
      </c>
      <c r="L20" s="17">
        <f>SUMIF(Table84141941013242732394348535671118[CỔ ĐÔNG],K20,Table84141941013242732394348535671118[VỐN CP])</f>
        <v>0</v>
      </c>
      <c r="M20" s="17">
        <f>SUMIF(Table84141941013242732394348535671118[CỔ ĐÔNG],K20,Table84141941013242732394348535671118[LỢI NHUẬN GỘP])</f>
        <v>0</v>
      </c>
      <c r="N20" s="17">
        <f>SUMIF(Table84141941013242732394348535671118[CỔ ĐÔNG],K20,Table84141941013242732394348535671118[LỢI NHUẬN RÒNG])</f>
        <v>0</v>
      </c>
      <c r="O20" s="15">
        <f>SUMIF(Table84141941013242732394348535671118[CỔ ĐÔNG],Table95152051114252833404449545781219[[#This Row],[CỔ ĐÔNG]],Table84141941013242732394348535671118[TỔNG NHẬN])</f>
        <v>0</v>
      </c>
    </row>
    <row r="21" spans="1:15" ht="15" hidden="1" customHeight="1" x14ac:dyDescent="0.3">
      <c r="A21" s="10" t="s">
        <v>140</v>
      </c>
      <c r="B21" s="11" t="s">
        <v>19</v>
      </c>
      <c r="C21" s="11">
        <v>10</v>
      </c>
      <c r="G21" s="12">
        <v>13452340.408658342</v>
      </c>
      <c r="K21" s="13" t="s">
        <v>43</v>
      </c>
      <c r="L21" s="17">
        <f>SUMIF(Table84141941013242732394348535671118[CỔ ĐÔNG],K21,Table84141941013242732394348535671118[VỐN CP])</f>
        <v>6500000</v>
      </c>
      <c r="M21" s="17">
        <f>SUMIF(Table84141941013242732394348535671118[CỔ ĐÔNG],K21,Table84141941013242732394348535671118[LỢI NHUẬN GỘP])</f>
        <v>3147680.9</v>
      </c>
      <c r="N21" s="17">
        <f>SUMIF(Table84141941013242732394348535671118[CỔ ĐÔNG],K21,Table84141941013242732394348535671118[LỢI NHUẬN RÒNG])</f>
        <v>1816658.7520993878</v>
      </c>
      <c r="O21" s="15">
        <f>SUMIF(Table84141941013242732394348535671118[CỔ ĐÔNG],Table95152051114252833404449545781219[[#This Row],[CỔ ĐÔNG]],Table84141941013242732394348535671118[TỔNG NHẬN])</f>
        <v>39388515.578074425</v>
      </c>
    </row>
    <row r="22" spans="1:15" ht="15" hidden="1" customHeight="1" x14ac:dyDescent="0.3">
      <c r="A22" s="10" t="s">
        <v>140</v>
      </c>
      <c r="B22" s="11" t="s">
        <v>37</v>
      </c>
      <c r="C22" s="18">
        <v>10</v>
      </c>
      <c r="D22" s="18"/>
      <c r="E22" s="18"/>
      <c r="F22" s="18"/>
      <c r="G22" s="12">
        <v>13452340.408658342</v>
      </c>
      <c r="K22" s="13" t="s">
        <v>44</v>
      </c>
      <c r="L22" s="17">
        <f>SUMIF(Table84141941013242732394348535671118[CỔ ĐÔNG],K22,Table84141941013242732394348535671118[VỐN CP])</f>
        <v>0</v>
      </c>
      <c r="M22" s="17">
        <f>SUMIF(Table84141941013242732394348535671118[CỔ ĐÔNG],K22,Table84141941013242732394348535671118[LỢI NHUẬN GỘP])</f>
        <v>0</v>
      </c>
      <c r="N22" s="17">
        <f>SUMIF(Table84141941013242732394348535671118[CỔ ĐÔNG],K22,Table84141941013242732394348535671118[LỢI NHUẬN RÒNG])</f>
        <v>0</v>
      </c>
      <c r="O22" s="15">
        <f>SUMIF(Table84141941013242732394348535671118[CỔ ĐÔNG],Table95152051114252833404449545781219[[#This Row],[CỔ ĐÔNG]],Table84141941013242732394348535671118[TỔNG NHẬN])</f>
        <v>0</v>
      </c>
    </row>
    <row r="23" spans="1:15" ht="15" customHeight="1" x14ac:dyDescent="0.3">
      <c r="A23" s="10" t="s">
        <v>140</v>
      </c>
      <c r="B23" s="11" t="s">
        <v>33</v>
      </c>
      <c r="C23" s="11">
        <v>5</v>
      </c>
      <c r="G23" s="12">
        <v>6726170.2043291712</v>
      </c>
      <c r="K23" s="13" t="s">
        <v>45</v>
      </c>
      <c r="L23" s="17">
        <f>SUMIF(Table84141941013242732394348535671118[CỔ ĐÔNG],K23,Table84141941013242732394348535671118[VỐN CP])</f>
        <v>0</v>
      </c>
      <c r="M23" s="17">
        <f>SUMIF(Table84141941013242732394348535671118[CỔ ĐÔNG],K23,Table84141941013242732394348535671118[LỢI NHUẬN GỘP])</f>
        <v>0</v>
      </c>
      <c r="N23" s="17">
        <f>SUMIF(Table84141941013242732394348535671118[CỔ ĐÔNG],K23,Table84141941013242732394348535671118[LỢI NHUẬN RÒNG])</f>
        <v>0</v>
      </c>
      <c r="O23" s="15">
        <f>SUMIF(Table84141941013242732394348535671118[CỔ ĐÔNG],Table95152051114252833404449545781219[[#This Row],[CỔ ĐÔNG]],Table84141941013242732394348535671118[TỔNG NHẬN])</f>
        <v>0</v>
      </c>
    </row>
    <row r="24" spans="1:15" ht="15" hidden="1" customHeight="1" x14ac:dyDescent="0.3">
      <c r="A24" s="10" t="s">
        <v>140</v>
      </c>
      <c r="B24" s="11" t="s">
        <v>31</v>
      </c>
      <c r="C24" s="11">
        <v>20</v>
      </c>
      <c r="G24" s="12">
        <v>26904680.817316685</v>
      </c>
      <c r="K24" s="13" t="s">
        <v>46</v>
      </c>
      <c r="L24" s="17">
        <f>SUMIF(Table84141941013242732394348535671118[CỔ ĐÔNG],K24,Table84141941013242732394348535671118[VỐN CP])</f>
        <v>0</v>
      </c>
      <c r="M24" s="17">
        <f>SUMIF(Table84141941013242732394348535671118[CỔ ĐÔNG],K24,Table84141941013242732394348535671118[LỢI NHUẬN GỘP])</f>
        <v>0</v>
      </c>
      <c r="N24" s="17">
        <f>SUMIF(Table84141941013242732394348535671118[CỔ ĐÔNG],K24,Table84141941013242732394348535671118[LỢI NHUẬN RÒNG])</f>
        <v>0</v>
      </c>
      <c r="O24" s="15">
        <f>SUMIF(Table84141941013242732394348535671118[CỔ ĐÔNG],Table95152051114252833404449545781219[[#This Row],[CỔ ĐÔNG]],Table84141941013242732394348535671118[TỔNG NHẬN])</f>
        <v>0</v>
      </c>
    </row>
    <row r="25" spans="1:15" ht="15" hidden="1" customHeight="1" x14ac:dyDescent="0.3">
      <c r="A25" s="10" t="s">
        <v>140</v>
      </c>
      <c r="B25" s="11" t="s">
        <v>21</v>
      </c>
      <c r="C25" s="11">
        <v>10</v>
      </c>
      <c r="G25" s="12">
        <v>13452340.408658342</v>
      </c>
      <c r="K25" s="13" t="s">
        <v>47</v>
      </c>
      <c r="L25" s="14">
        <f>SUM(L2:L24)</f>
        <v>65000000</v>
      </c>
      <c r="M25" s="14">
        <f>SUM(M2:M24)</f>
        <v>31476808.999999993</v>
      </c>
      <c r="N25" s="14">
        <f>SUM(N2:N24)</f>
        <v>18166587.520993877</v>
      </c>
      <c r="O25" s="14">
        <f>SUM(O2:O24)</f>
        <v>290312299.69416076</v>
      </c>
    </row>
    <row r="26" spans="1:15" ht="15" hidden="1" customHeight="1" x14ac:dyDescent="0.3">
      <c r="A26" s="10" t="s">
        <v>140</v>
      </c>
      <c r="B26" s="11" t="s">
        <v>29</v>
      </c>
      <c r="C26" s="11">
        <v>10</v>
      </c>
      <c r="G26" s="12">
        <v>13452340.408658342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140</v>
      </c>
      <c r="B27" s="11" t="s">
        <v>43</v>
      </c>
      <c r="C27" s="11">
        <v>15</v>
      </c>
      <c r="G27" s="12">
        <v>20178510.612987515</v>
      </c>
    </row>
    <row r="28" spans="1:15" ht="15" hidden="1" customHeight="1" x14ac:dyDescent="0.3">
      <c r="A28" s="10" t="s">
        <v>140</v>
      </c>
      <c r="B28" s="11" t="s">
        <v>25</v>
      </c>
      <c r="C28" s="11">
        <v>10</v>
      </c>
      <c r="G28" s="12">
        <v>13452340.408658342</v>
      </c>
      <c r="K28" s="11"/>
    </row>
    <row r="29" spans="1:15" ht="15" hidden="1" customHeight="1" x14ac:dyDescent="0.3">
      <c r="A29" s="10" t="s">
        <v>141</v>
      </c>
      <c r="B29" s="11" t="s">
        <v>9</v>
      </c>
      <c r="C29" s="11">
        <v>10</v>
      </c>
      <c r="G29" s="12">
        <v>7262230.8086583428</v>
      </c>
    </row>
    <row r="30" spans="1:15" ht="15" hidden="1" customHeight="1" x14ac:dyDescent="0.3">
      <c r="A30" s="10" t="s">
        <v>141</v>
      </c>
      <c r="B30" s="11" t="s">
        <v>19</v>
      </c>
      <c r="C30" s="11">
        <v>20</v>
      </c>
      <c r="G30" s="12">
        <v>14524461.617316686</v>
      </c>
      <c r="M30" s="11"/>
    </row>
    <row r="31" spans="1:15" ht="15" hidden="1" customHeight="1" x14ac:dyDescent="0.3">
      <c r="A31" s="10" t="s">
        <v>141</v>
      </c>
      <c r="B31" s="11" t="s">
        <v>37</v>
      </c>
      <c r="C31" s="11">
        <v>10</v>
      </c>
      <c r="G31" s="12">
        <v>7262230.8086583428</v>
      </c>
    </row>
    <row r="32" spans="1:15" ht="15" customHeight="1" x14ac:dyDescent="0.3">
      <c r="A32" s="10" t="s">
        <v>141</v>
      </c>
      <c r="B32" s="11" t="s">
        <v>33</v>
      </c>
      <c r="C32" s="11">
        <v>5</v>
      </c>
      <c r="G32" s="12">
        <v>3631115.4043291714</v>
      </c>
    </row>
    <row r="33" spans="1:12" ht="15" hidden="1" customHeight="1" x14ac:dyDescent="0.3">
      <c r="A33" s="10" t="s">
        <v>141</v>
      </c>
      <c r="B33" s="11" t="s">
        <v>31</v>
      </c>
      <c r="C33" s="11">
        <v>15</v>
      </c>
      <c r="G33" s="12">
        <v>10893346.21298752</v>
      </c>
    </row>
    <row r="34" spans="1:12" ht="15" hidden="1" customHeight="1" x14ac:dyDescent="0.3">
      <c r="A34" s="10" t="s">
        <v>141</v>
      </c>
      <c r="B34" s="11" t="s">
        <v>21</v>
      </c>
      <c r="C34" s="11">
        <v>10</v>
      </c>
      <c r="G34" s="12">
        <v>7262230.8086583428</v>
      </c>
    </row>
    <row r="35" spans="1:12" ht="15" hidden="1" customHeight="1" x14ac:dyDescent="0.3">
      <c r="A35" s="10" t="s">
        <v>141</v>
      </c>
      <c r="B35" s="11" t="s">
        <v>29</v>
      </c>
      <c r="C35" s="11">
        <v>5</v>
      </c>
      <c r="G35" s="12">
        <v>3631115.4043291714</v>
      </c>
    </row>
    <row r="36" spans="1:12" ht="15" hidden="1" customHeight="1" x14ac:dyDescent="0.3">
      <c r="A36" s="10" t="s">
        <v>141</v>
      </c>
      <c r="B36" s="11" t="s">
        <v>43</v>
      </c>
      <c r="C36" s="11">
        <v>15</v>
      </c>
      <c r="G36" s="12">
        <v>10893346.21298752</v>
      </c>
    </row>
    <row r="37" spans="1:12" ht="15" hidden="1" customHeight="1" x14ac:dyDescent="0.3">
      <c r="A37" s="10" t="s">
        <v>141</v>
      </c>
      <c r="B37" s="11" t="s">
        <v>25</v>
      </c>
      <c r="C37" s="11">
        <v>10</v>
      </c>
      <c r="G37" s="12">
        <v>7262230.8086583428</v>
      </c>
      <c r="L37" s="11"/>
    </row>
    <row r="38" spans="1:12" ht="15" hidden="1" customHeight="1" x14ac:dyDescent="0.3">
      <c r="A38" s="10"/>
      <c r="G38" s="12">
        <f>D38+Table84141941013242732394348535671118[[#This Row],[LỢI NHUẬN RÒNG]]</f>
        <v>0</v>
      </c>
    </row>
    <row r="39" spans="1:12" ht="15" hidden="1" customHeight="1" x14ac:dyDescent="0.3">
      <c r="A39" s="10"/>
      <c r="G39" s="12">
        <f>D39+Table84141941013242732394348535671118[[#This Row],[LỢI NHUẬN RÒNG]]</f>
        <v>0</v>
      </c>
    </row>
    <row r="40" spans="1:12" ht="15" hidden="1" customHeight="1" x14ac:dyDescent="0.3">
      <c r="A40" s="10"/>
      <c r="G40" s="12">
        <f>D40+Table84141941013242732394348535671118[[#This Row],[LỢI NHUẬN RÒNG]]</f>
        <v>0</v>
      </c>
    </row>
    <row r="41" spans="1:12" ht="15" hidden="1" customHeight="1" x14ac:dyDescent="0.3">
      <c r="A41" s="10"/>
      <c r="G41" s="12">
        <f>D41+Table84141941013242732394348535671118[[#This Row],[LỢI NHUẬN RÒNG]]</f>
        <v>0</v>
      </c>
    </row>
    <row r="42" spans="1:12" ht="15" hidden="1" customHeight="1" x14ac:dyDescent="0.3">
      <c r="A42" s="10"/>
      <c r="G42" s="12">
        <f>D42+Table84141941013242732394348535671118[[#This Row],[LỢI NHUẬN RÒNG]]</f>
        <v>0</v>
      </c>
    </row>
    <row r="43" spans="1:12" ht="15" hidden="1" customHeight="1" x14ac:dyDescent="0.3">
      <c r="A43" s="10"/>
      <c r="G43" s="12">
        <f>D43+Table84141941013242732394348535671118[[#This Row],[LỢI NHUẬN RÒNG]]</f>
        <v>0</v>
      </c>
    </row>
    <row r="44" spans="1:12" ht="15" hidden="1" customHeight="1" x14ac:dyDescent="0.3">
      <c r="A44" s="10"/>
      <c r="G44" s="12">
        <f>D44+Table84141941013242732394348535671118[[#This Row],[LỢI NHUẬN RÒNG]]</f>
        <v>0</v>
      </c>
    </row>
    <row r="45" spans="1:12" ht="15" hidden="1" customHeight="1" x14ac:dyDescent="0.3">
      <c r="A45" s="10"/>
      <c r="G45" s="12">
        <f>D45+Table84141941013242732394348535671118[[#This Row],[LỢI NHUẬN RÒNG]]</f>
        <v>0</v>
      </c>
    </row>
    <row r="46" spans="1:12" ht="15" hidden="1" customHeight="1" x14ac:dyDescent="0.3">
      <c r="A46" s="10"/>
      <c r="G46" s="12">
        <f>D46+Table84141941013242732394348535671118[[#This Row],[LỢI NHUẬN RÒNG]]</f>
        <v>0</v>
      </c>
    </row>
    <row r="47" spans="1:12" ht="15" hidden="1" customHeight="1" x14ac:dyDescent="0.3">
      <c r="A47" s="10"/>
      <c r="G47" s="12">
        <f>D47+Table84141941013242732394348535671118[[#This Row],[LỢI NHUẬN RÒNG]]</f>
        <v>0</v>
      </c>
    </row>
    <row r="48" spans="1:12" ht="15" hidden="1" customHeight="1" x14ac:dyDescent="0.3">
      <c r="A48" s="10"/>
      <c r="G48" s="12">
        <f>D48+Table84141941013242732394348535671118[[#This Row],[LỢI NHUẬN RÒNG]]</f>
        <v>0</v>
      </c>
    </row>
    <row r="49" spans="1:7" ht="15" hidden="1" customHeight="1" x14ac:dyDescent="0.3">
      <c r="A49" s="10"/>
      <c r="G49" s="12">
        <f>D49+Table84141941013242732394348535671118[[#This Row],[LỢI NHUẬN RÒNG]]</f>
        <v>0</v>
      </c>
    </row>
    <row r="50" spans="1:7" ht="15" hidden="1" customHeight="1" x14ac:dyDescent="0.3">
      <c r="A50" s="10"/>
      <c r="G50" s="12"/>
    </row>
    <row r="51" spans="1:7" ht="15" hidden="1" customHeight="1" x14ac:dyDescent="0.3">
      <c r="A51" s="10"/>
      <c r="G51" s="12">
        <f>D51+Table84141941013242732394348535671118[[#This Row],[LỢI NHUẬN RÒNG]]</f>
        <v>0</v>
      </c>
    </row>
    <row r="52" spans="1:7" ht="15" hidden="1" customHeight="1" x14ac:dyDescent="0.3">
      <c r="A52" s="10"/>
      <c r="G52" s="12">
        <f>D52+Table84141941013242732394348535671118[[#This Row],[LỢI NHUẬN RÒNG]]</f>
        <v>0</v>
      </c>
    </row>
    <row r="53" spans="1:7" ht="12" hidden="1" customHeight="1" x14ac:dyDescent="0.3">
      <c r="A53" s="10"/>
      <c r="G53" s="12">
        <f>D53+Table84141941013242732394348535671118[[#This Row],[LỢI NHUẬN RÒNG]]</f>
        <v>0</v>
      </c>
    </row>
    <row r="54" spans="1:7" ht="15" hidden="1" customHeight="1" x14ac:dyDescent="0.3">
      <c r="A54" s="10"/>
      <c r="G54" s="12">
        <f>D54+Table84141941013242732394348535671118[[#This Row],[LỢI NHUẬN RÒNG]]</f>
        <v>0</v>
      </c>
    </row>
    <row r="55" spans="1:7" ht="15" hidden="1" customHeight="1" x14ac:dyDescent="0.3">
      <c r="A55" s="10"/>
      <c r="G55" s="12">
        <f>D55+Table84141941013242732394348535671118[[#This Row],[LỢI NHUẬN RÒNG]]</f>
        <v>0</v>
      </c>
    </row>
    <row r="56" spans="1:7" ht="15" hidden="1" customHeight="1" x14ac:dyDescent="0.3">
      <c r="A56" s="10"/>
      <c r="C56" s="18"/>
      <c r="D56" s="18"/>
      <c r="E56" s="18"/>
      <c r="F56" s="18"/>
      <c r="G56" s="12">
        <f>D56+Table84141941013242732394348535671118[[#This Row],[LỢI NHUẬN RÒNG]]</f>
        <v>0</v>
      </c>
    </row>
    <row r="57" spans="1:7" ht="15" hidden="1" customHeight="1" x14ac:dyDescent="0.3">
      <c r="A57" s="10"/>
      <c r="G57" s="12">
        <f>D57+Table84141941013242732394348535671118[[#This Row],[LỢI NHUẬN RÒNG]]</f>
        <v>0</v>
      </c>
    </row>
    <row r="58" spans="1:7" ht="15" hidden="1" customHeight="1" x14ac:dyDescent="0.3">
      <c r="A58" s="10"/>
      <c r="G58" s="12">
        <f>D58+Table84141941013242732394348535671118[[#This Row],[LỢI NHUẬN RÒNG]]</f>
        <v>0</v>
      </c>
    </row>
    <row r="59" spans="1:7" ht="15" hidden="1" customHeight="1" x14ac:dyDescent="0.3">
      <c r="A59" s="10"/>
      <c r="G59" s="12">
        <f>D59+Table84141941013242732394348535671118[[#This Row],[LỢI NHUẬN RÒNG]]</f>
        <v>0</v>
      </c>
    </row>
    <row r="60" spans="1:7" ht="15" hidden="1" customHeight="1" x14ac:dyDescent="0.3">
      <c r="A60" s="10"/>
      <c r="G60" s="12">
        <f>D60+Table84141941013242732394348535671118[[#This Row],[LỢI NHUẬN RÒNG]]</f>
        <v>0</v>
      </c>
    </row>
    <row r="61" spans="1:7" ht="15" hidden="1" customHeight="1" x14ac:dyDescent="0.3">
      <c r="A61" s="10"/>
      <c r="G61" s="12">
        <f>D61+Table84141941013242732394348535671118[[#This Row],[LỢI NHUẬN RÒNG]]</f>
        <v>0</v>
      </c>
    </row>
    <row r="62" spans="1:7" ht="15" hidden="1" customHeight="1" x14ac:dyDescent="0.3">
      <c r="A62" s="10"/>
      <c r="G62" s="12">
        <f>D62+Table84141941013242732394348535671118[[#This Row],[LỢI NHUẬN RÒNG]]</f>
        <v>0</v>
      </c>
    </row>
    <row r="63" spans="1:7" ht="15" hidden="1" customHeight="1" x14ac:dyDescent="0.3">
      <c r="A63" s="10"/>
      <c r="G63" s="12">
        <f>D63+Table84141941013242732394348535671118[[#This Row],[LỢI NHUẬN RÒNG]]</f>
        <v>0</v>
      </c>
    </row>
    <row r="64" spans="1:7" ht="15" hidden="1" customHeight="1" x14ac:dyDescent="0.3">
      <c r="A64" s="10"/>
      <c r="G64" s="12">
        <f>D64+Table84141941013242732394348535671118[[#This Row],[LỢI NHUẬN RÒNG]]</f>
        <v>0</v>
      </c>
    </row>
    <row r="65" spans="1:7" ht="15" hidden="1" customHeight="1" x14ac:dyDescent="0.3">
      <c r="A65" s="10"/>
      <c r="G65" s="12"/>
    </row>
    <row r="66" spans="1:7" ht="15" hidden="1" customHeight="1" x14ac:dyDescent="0.3">
      <c r="A66" s="10"/>
      <c r="G66" s="12">
        <f>D66+Table84141941013242732394348535671118[[#This Row],[LỢI NHUẬN RÒNG]]</f>
        <v>0</v>
      </c>
    </row>
    <row r="67" spans="1:7" ht="15" hidden="1" customHeight="1" x14ac:dyDescent="0.3">
      <c r="A67" s="10"/>
      <c r="D67" s="18"/>
      <c r="E67" s="18"/>
      <c r="F67" s="18"/>
      <c r="G67" s="12">
        <f>D67+Table84141941013242732394348535671118[[#This Row],[LỢI NHUẬN RÒNG]]</f>
        <v>0</v>
      </c>
    </row>
    <row r="68" spans="1:7" ht="15" hidden="1" customHeight="1" x14ac:dyDescent="0.3">
      <c r="A68" s="10"/>
      <c r="G68" s="12">
        <f>D68+Table84141941013242732394348535671118[[#This Row],[LỢI NHUẬN RÒNG]]</f>
        <v>0</v>
      </c>
    </row>
    <row r="69" spans="1:7" ht="15" hidden="1" customHeight="1" x14ac:dyDescent="0.3">
      <c r="A69" s="10"/>
      <c r="G69" s="12">
        <f>D69+Table84141941013242732394348535671118[[#This Row],[LỢI NHUẬN RÒNG]]</f>
        <v>0</v>
      </c>
    </row>
    <row r="70" spans="1:7" ht="15" hidden="1" customHeight="1" x14ac:dyDescent="0.3">
      <c r="A70" s="10"/>
      <c r="G70" s="12">
        <f>D70+Table84141941013242732394348535671118[[#This Row],[LỢI NHUẬN RÒNG]]</f>
        <v>0</v>
      </c>
    </row>
    <row r="71" spans="1:7" ht="15" hidden="1" customHeight="1" x14ac:dyDescent="0.3">
      <c r="A71" s="10"/>
      <c r="G71" s="12">
        <f>D71+Table84141941013242732394348535671118[[#This Row],[LỢI NHUẬN RÒNG]]</f>
        <v>0</v>
      </c>
    </row>
    <row r="72" spans="1:7" ht="15" hidden="1" customHeight="1" x14ac:dyDescent="0.3">
      <c r="A72" s="10"/>
      <c r="G72" s="12">
        <f>D72+Table84141941013242732394348535671118[[#This Row],[LỢI NHUẬN RÒNG]]</f>
        <v>0</v>
      </c>
    </row>
    <row r="73" spans="1:7" ht="15" hidden="1" customHeight="1" x14ac:dyDescent="0.3">
      <c r="A73" s="10"/>
      <c r="G73" s="12">
        <f>D73+Table84141941013242732394348535671118[[#This Row],[LỢI NHUẬN RÒNG]]</f>
        <v>0</v>
      </c>
    </row>
    <row r="74" spans="1:7" ht="15" hidden="1" customHeight="1" x14ac:dyDescent="0.3">
      <c r="A74" s="10"/>
      <c r="G74" s="12">
        <f>D74+Table84141941013242732394348535671118[[#This Row],[LỢI NHUẬN RÒNG]]</f>
        <v>0</v>
      </c>
    </row>
    <row r="75" spans="1:7" ht="15" hidden="1" customHeight="1" x14ac:dyDescent="0.3">
      <c r="A75" s="10"/>
      <c r="G75" s="12">
        <f>D75+Table84141941013242732394348535671118[[#This Row],[LỢI NHUẬN RÒNG]]</f>
        <v>0</v>
      </c>
    </row>
    <row r="76" spans="1:7" ht="15" hidden="1" customHeight="1" x14ac:dyDescent="0.3">
      <c r="A76" s="10"/>
      <c r="G76" s="12">
        <f>D76+Table84141941013242732394348535671118[[#This Row],[LỢI NHUẬN RÒNG]]</f>
        <v>0</v>
      </c>
    </row>
    <row r="77" spans="1:7" ht="15" hidden="1" customHeight="1" x14ac:dyDescent="0.3">
      <c r="A77" s="10"/>
      <c r="G77" s="12">
        <f>D77+Table84141941013242732394348535671118[[#This Row],[LỢI NHUẬN RÒNG]]</f>
        <v>0</v>
      </c>
    </row>
    <row r="78" spans="1:7" ht="15" hidden="1" customHeight="1" x14ac:dyDescent="0.3">
      <c r="A78" s="10"/>
      <c r="G78" s="12"/>
    </row>
    <row r="79" spans="1:7" ht="15" hidden="1" customHeight="1" x14ac:dyDescent="0.3">
      <c r="A79" s="10"/>
      <c r="G79" s="12">
        <f>D79+Table84141941013242732394348535671118[[#This Row],[LỢI NHUẬN RÒNG]]</f>
        <v>0</v>
      </c>
    </row>
    <row r="80" spans="1:7" ht="15" hidden="1" customHeight="1" x14ac:dyDescent="0.3">
      <c r="A80" s="10"/>
      <c r="G80" s="12">
        <f>D80+Table84141941013242732394348535671118[[#This Row],[LỢI NHUẬN RÒNG]]</f>
        <v>0</v>
      </c>
    </row>
    <row r="81" spans="1:7" ht="15" hidden="1" customHeight="1" x14ac:dyDescent="0.3">
      <c r="A81" s="10"/>
      <c r="G81" s="12">
        <f>D81+Table84141941013242732394348535671118[[#This Row],[LỢI NHUẬN RÒNG]]</f>
        <v>0</v>
      </c>
    </row>
    <row r="82" spans="1:7" ht="15" hidden="1" customHeight="1" x14ac:dyDescent="0.3">
      <c r="A82" s="10"/>
      <c r="G82" s="12">
        <f>D82+Table84141941013242732394348535671118[[#This Row],[LỢI NHUẬN RÒNG]]</f>
        <v>0</v>
      </c>
    </row>
    <row r="83" spans="1:7" ht="15" hidden="1" customHeight="1" x14ac:dyDescent="0.3">
      <c r="A83" s="10"/>
      <c r="G83" s="12">
        <f>D83+Table84141941013242732394348535671118[[#This Row],[LỢI NHUẬN RÒNG]]</f>
        <v>0</v>
      </c>
    </row>
    <row r="84" spans="1:7" ht="15" hidden="1" customHeight="1" x14ac:dyDescent="0.3">
      <c r="A84" s="10"/>
      <c r="G84" s="12">
        <f>D84+Table84141941013242732394348535671118[[#This Row],[LỢI NHUẬN RÒNG]]</f>
        <v>0</v>
      </c>
    </row>
    <row r="85" spans="1:7" ht="15" hidden="1" customHeight="1" x14ac:dyDescent="0.3">
      <c r="A85" s="10"/>
      <c r="G85" s="12">
        <f>D85+Table84141941013242732394348535671118[[#This Row],[LỢI NHUẬN RÒNG]]</f>
        <v>0</v>
      </c>
    </row>
    <row r="86" spans="1:7" ht="15" hidden="1" customHeight="1" x14ac:dyDescent="0.3">
      <c r="A86" s="20"/>
      <c r="B86" s="21"/>
      <c r="C86" s="21"/>
      <c r="D86" s="21"/>
      <c r="E86" s="21"/>
      <c r="F86" s="21"/>
      <c r="G86" s="12">
        <f>D86+Table84141941013242732394348535671118[[#This Row],[LỢI NHUẬN RÒNG]]</f>
        <v>0</v>
      </c>
    </row>
    <row r="87" spans="1:7" ht="15" hidden="1" customHeight="1" x14ac:dyDescent="0.3">
      <c r="A87" s="22"/>
      <c r="B87" s="21"/>
      <c r="C87" s="21"/>
      <c r="D87" s="21"/>
      <c r="E87" s="21"/>
      <c r="F87" s="21"/>
      <c r="G87" s="12">
        <f>D87+Table84141941013242732394348535671118[[#This Row],[LỢI NHUẬN RÒNG]]</f>
        <v>0</v>
      </c>
    </row>
    <row r="88" spans="1:7" hidden="1" x14ac:dyDescent="0.3">
      <c r="A88" s="23"/>
      <c r="C88" s="21"/>
      <c r="D88" s="21"/>
      <c r="E88" s="21"/>
      <c r="F88" s="21"/>
      <c r="G88" s="12">
        <f>D88+Table84141941013242732394348535671118[[#This Row],[LỢI NHUẬN RÒNG]]</f>
        <v>0</v>
      </c>
    </row>
    <row r="89" spans="1:7" hidden="1" x14ac:dyDescent="0.3">
      <c r="A89" s="23"/>
      <c r="B89" s="21"/>
      <c r="C89" s="21"/>
      <c r="D89" s="21"/>
      <c r="E89" s="21"/>
      <c r="F89" s="21"/>
      <c r="G89" s="12">
        <f>D89+Table84141941013242732394348535671118[[#This Row],[LỢI NHUẬN RÒNG]]</f>
        <v>0</v>
      </c>
    </row>
    <row r="90" spans="1:7" hidden="1" x14ac:dyDescent="0.3">
      <c r="A90" s="23"/>
      <c r="B90" s="21"/>
      <c r="C90" s="21"/>
      <c r="D90" s="21"/>
      <c r="E90" s="21"/>
      <c r="F90" s="21"/>
      <c r="G90" s="12">
        <f>D90+Table84141941013242732394348535671118[[#This Row],[LỢI NHUẬN RÒNG]]</f>
        <v>0</v>
      </c>
    </row>
    <row r="91" spans="1:7" hidden="1" x14ac:dyDescent="0.3">
      <c r="A91" s="23"/>
      <c r="B91" s="24"/>
      <c r="C91" s="21"/>
      <c r="D91" s="21"/>
      <c r="E91" s="21"/>
      <c r="F91" s="21"/>
      <c r="G91" s="12">
        <f>D91+Table84141941013242732394348535671118[[#This Row],[LỢI NHUẬN RÒNG]]</f>
        <v>0</v>
      </c>
    </row>
    <row r="92" spans="1:7" hidden="1" x14ac:dyDescent="0.3">
      <c r="A92" s="23"/>
      <c r="C92" s="21"/>
      <c r="D92" s="21"/>
      <c r="E92" s="21"/>
      <c r="F92" s="21"/>
      <c r="G92" s="12">
        <f>D92+Table84141941013242732394348535671118[[#This Row],[LỢI NHUẬN RÒNG]]</f>
        <v>0</v>
      </c>
    </row>
    <row r="93" spans="1:7" hidden="1" x14ac:dyDescent="0.3">
      <c r="A93" s="23"/>
      <c r="B93" s="25"/>
      <c r="C93" s="21"/>
      <c r="D93" s="21"/>
      <c r="E93" s="21"/>
      <c r="F93" s="21"/>
      <c r="G93" s="12">
        <f>D93+Table84141941013242732394348535671118[[#This Row],[LỢI NHUẬN RÒNG]]</f>
        <v>0</v>
      </c>
    </row>
    <row r="94" spans="1:7" hidden="1" x14ac:dyDescent="0.3">
      <c r="A94" s="23"/>
      <c r="B94" s="21"/>
      <c r="C94" s="21"/>
      <c r="D94" s="21"/>
      <c r="E94" s="21"/>
      <c r="F94" s="21"/>
      <c r="G94" s="12">
        <f>D94+Table84141941013242732394348535671118[[#This Row],[LỢI NHUẬN RÒNG]]</f>
        <v>0</v>
      </c>
    </row>
    <row r="95" spans="1:7" hidden="1" x14ac:dyDescent="0.3">
      <c r="A95" s="23"/>
      <c r="C95" s="21"/>
      <c r="D95" s="21"/>
      <c r="E95" s="21"/>
      <c r="F95" s="21"/>
      <c r="G95" s="12">
        <f>D95+Table84141941013242732394348535671118[[#This Row],[LỢI NHUẬN RÒNG]]</f>
        <v>0</v>
      </c>
    </row>
    <row r="96" spans="1:7" hidden="1" x14ac:dyDescent="0.3">
      <c r="A96" s="23"/>
      <c r="B96" s="21"/>
      <c r="C96" s="21"/>
      <c r="D96" s="21"/>
      <c r="E96" s="21"/>
      <c r="F96" s="21"/>
      <c r="G96" s="12">
        <f>D96+Table84141941013242732394348535671118[[#This Row],[LỢI NHUẬN RÒNG]]</f>
        <v>0</v>
      </c>
    </row>
    <row r="97" spans="1:7" hidden="1" x14ac:dyDescent="0.3">
      <c r="A97" s="23"/>
      <c r="C97" s="21"/>
      <c r="D97" s="21"/>
      <c r="E97" s="21"/>
      <c r="F97" s="21"/>
      <c r="G97" s="12">
        <f>D97+Table84141941013242732394348535671118[[#This Row],[LỢI NHUẬN RÒNG]]</f>
        <v>0</v>
      </c>
    </row>
    <row r="98" spans="1:7" hidden="1" x14ac:dyDescent="0.3">
      <c r="A98" s="23"/>
      <c r="C98" s="21"/>
      <c r="D98" s="21"/>
      <c r="E98" s="21"/>
      <c r="F98" s="21"/>
      <c r="G98" s="12">
        <f>D98+Table84141941013242732394348535671118[[#This Row],[LỢI NHUẬN RÒNG]]</f>
        <v>0</v>
      </c>
    </row>
    <row r="99" spans="1:7" hidden="1" x14ac:dyDescent="0.3">
      <c r="A99" s="23"/>
      <c r="C99" s="21"/>
      <c r="D99" s="21"/>
      <c r="E99" s="21"/>
      <c r="F99" s="21"/>
      <c r="G99" s="12">
        <f>D99+Table84141941013242732394348535671118[[#This Row],[LỢI NHUẬN RÒNG]]</f>
        <v>0</v>
      </c>
    </row>
    <row r="100" spans="1:7" hidden="1" x14ac:dyDescent="0.3">
      <c r="A100" s="23"/>
      <c r="C100" s="21"/>
      <c r="D100" s="21"/>
      <c r="E100" s="21"/>
      <c r="F100" s="21"/>
      <c r="G100" s="12">
        <f>D100+Table84141941013242732394348535671118[[#This Row],[LỢI NHUẬN RÒNG]]</f>
        <v>0</v>
      </c>
    </row>
    <row r="101" spans="1:7" hidden="1" x14ac:dyDescent="0.3">
      <c r="A101" s="23"/>
      <c r="C101" s="21"/>
      <c r="D101" s="21"/>
      <c r="E101" s="21"/>
      <c r="F101" s="21"/>
      <c r="G101" s="12">
        <f>D101+Table84141941013242732394348535671118[[#This Row],[LỢI NHUẬN RÒNG]]</f>
        <v>0</v>
      </c>
    </row>
    <row r="102" spans="1:7" hidden="1" x14ac:dyDescent="0.3">
      <c r="A102" s="23"/>
      <c r="B102" s="21"/>
      <c r="C102" s="21"/>
      <c r="D102" s="21"/>
      <c r="E102" s="21"/>
      <c r="F102" s="21"/>
      <c r="G102" s="12">
        <f>D102+Table84141941013242732394348535671118[[#This Row],[LỢI NHUẬN RÒNG]]</f>
        <v>0</v>
      </c>
    </row>
    <row r="103" spans="1:7" hidden="1" x14ac:dyDescent="0.3">
      <c r="A103" s="23"/>
      <c r="B103" s="21"/>
      <c r="C103" s="21"/>
      <c r="D103" s="21"/>
      <c r="E103" s="21"/>
      <c r="F103" s="21"/>
      <c r="G103" s="12">
        <f>D103+Table84141941013242732394348535671118[[#This Row],[LỢI NHUẬN RÒNG]]</f>
        <v>0</v>
      </c>
    </row>
    <row r="104" spans="1:7" hidden="1" x14ac:dyDescent="0.3">
      <c r="A104" s="23"/>
      <c r="C104" s="21"/>
      <c r="D104" s="21"/>
      <c r="E104" s="21"/>
      <c r="F104" s="21"/>
      <c r="G104" s="12">
        <f>D104+Table84141941013242732394348535671118[[#This Row],[LỢI NHUẬN RÒNG]]</f>
        <v>0</v>
      </c>
    </row>
    <row r="105" spans="1:7" hidden="1" x14ac:dyDescent="0.3">
      <c r="A105" s="23"/>
      <c r="B105" s="21"/>
      <c r="C105" s="21"/>
      <c r="D105" s="21"/>
      <c r="E105" s="21"/>
      <c r="F105" s="21"/>
      <c r="G105" s="12">
        <f>D105+Table84141941013242732394348535671118[[#This Row],[LỢI NHUẬN RÒNG]]</f>
        <v>0</v>
      </c>
    </row>
    <row r="106" spans="1:7" hidden="1" x14ac:dyDescent="0.3">
      <c r="A106" s="23"/>
      <c r="C106" s="21"/>
      <c r="D106" s="21"/>
      <c r="E106" s="21"/>
      <c r="F106" s="21"/>
      <c r="G106" s="12">
        <f>D106+Table84141941013242732394348535671118[[#This Row],[LỢI NHUẬN RÒNG]]</f>
        <v>0</v>
      </c>
    </row>
    <row r="107" spans="1:7" hidden="1" x14ac:dyDescent="0.3">
      <c r="A107" s="23"/>
      <c r="C107" s="21"/>
      <c r="D107" s="21"/>
      <c r="E107" s="21"/>
      <c r="F107" s="21"/>
      <c r="G107" s="12">
        <f>D107+Table84141941013242732394348535671118[[#This Row],[LỢI NHUẬN RÒNG]]</f>
        <v>0</v>
      </c>
    </row>
    <row r="108" spans="1:7" hidden="1" x14ac:dyDescent="0.3">
      <c r="A108" s="23"/>
      <c r="C108" s="21"/>
      <c r="D108" s="21"/>
      <c r="E108" s="21"/>
      <c r="F108" s="21"/>
      <c r="G108" s="12">
        <f>D108+Table84141941013242732394348535671118[[#This Row],[LỢI NHUẬN RÒNG]]</f>
        <v>0</v>
      </c>
    </row>
    <row r="109" spans="1:7" hidden="1" x14ac:dyDescent="0.3">
      <c r="A109" s="23"/>
      <c r="C109" s="21"/>
      <c r="D109" s="21"/>
      <c r="E109" s="21"/>
      <c r="F109" s="21"/>
      <c r="G109" s="12">
        <f>D109+Table84141941013242732394348535671118[[#This Row],[LỢI NHUẬN RÒNG]]</f>
        <v>0</v>
      </c>
    </row>
    <row r="110" spans="1:7" hidden="1" x14ac:dyDescent="0.3">
      <c r="A110" s="23"/>
      <c r="C110" s="21"/>
      <c r="D110" s="21"/>
      <c r="E110" s="21"/>
      <c r="F110" s="21"/>
      <c r="G110" s="12">
        <f>D110+Table84141941013242732394348535671118[[#This Row],[LỢI NHUẬN RÒNG]]</f>
        <v>0</v>
      </c>
    </row>
    <row r="111" spans="1:7" hidden="1" x14ac:dyDescent="0.3">
      <c r="A111" s="23"/>
      <c r="B111" s="21"/>
      <c r="C111" s="21"/>
      <c r="D111" s="21"/>
      <c r="E111" s="21"/>
      <c r="F111" s="21"/>
      <c r="G111" s="12">
        <f>D111+Table84141941013242732394348535671118[[#This Row],[LỢI NHUẬN RÒNG]]</f>
        <v>0</v>
      </c>
    </row>
    <row r="112" spans="1:7" hidden="1" x14ac:dyDescent="0.3">
      <c r="A112" s="23"/>
      <c r="B112" s="21"/>
      <c r="C112" s="21"/>
      <c r="D112" s="21"/>
      <c r="E112" s="21"/>
      <c r="F112" s="21"/>
      <c r="G112" s="12">
        <f>D112+Table84141941013242732394348535671118[[#This Row],[LỢI NHUẬN RÒNG]]</f>
        <v>0</v>
      </c>
    </row>
    <row r="113" spans="1:7" hidden="1" x14ac:dyDescent="0.3">
      <c r="A113" s="23"/>
      <c r="C113" s="21"/>
      <c r="D113" s="21"/>
      <c r="E113" s="21"/>
      <c r="F113" s="21"/>
      <c r="G113" s="12">
        <f>D113+Table84141941013242732394348535671118[[#This Row],[LỢI NHUẬN RÒNG]]</f>
        <v>0</v>
      </c>
    </row>
    <row r="114" spans="1:7" hidden="1" x14ac:dyDescent="0.3">
      <c r="A114" s="23"/>
      <c r="B114" s="21"/>
      <c r="C114" s="21"/>
      <c r="D114" s="21"/>
      <c r="E114" s="21"/>
      <c r="F114" s="21"/>
      <c r="G114" s="12">
        <f>D114+Table84141941013242732394348535671118[[#This Row],[LỢI NHUẬN RÒNG]]</f>
        <v>0</v>
      </c>
    </row>
    <row r="115" spans="1:7" hidden="1" x14ac:dyDescent="0.3">
      <c r="A115" s="23"/>
      <c r="G115" s="12">
        <f>D115+Table84141941013242732394348535671118[[#This Row],[LỢI NHUẬN RÒNG]]</f>
        <v>0</v>
      </c>
    </row>
    <row r="116" spans="1:7" hidden="1" x14ac:dyDescent="0.3">
      <c r="A116" s="23"/>
      <c r="G116" s="12">
        <f>D116+Table84141941013242732394348535671118[[#This Row],[LỢI NHUẬN RÒNG]]</f>
        <v>0</v>
      </c>
    </row>
    <row r="117" spans="1:7" hidden="1" x14ac:dyDescent="0.3">
      <c r="A117" s="23"/>
      <c r="G117" s="12">
        <f>D117+Table84141941013242732394348535671118[[#This Row],[LỢI NHUẬN RÒNG]]</f>
        <v>0</v>
      </c>
    </row>
    <row r="118" spans="1:7" hidden="1" x14ac:dyDescent="0.3">
      <c r="A118" s="23"/>
      <c r="G118" s="12">
        <f>D118+Table84141941013242732394348535671118[[#This Row],[LỢI NHUẬN RÒNG]]</f>
        <v>0</v>
      </c>
    </row>
    <row r="119" spans="1:7" hidden="1" x14ac:dyDescent="0.3">
      <c r="A119" s="23"/>
      <c r="G119" s="12">
        <f>D119+Table84141941013242732394348535671118[[#This Row],[LỢI NHUẬN RÒNG]]</f>
        <v>0</v>
      </c>
    </row>
    <row r="120" spans="1:7" hidden="1" x14ac:dyDescent="0.3">
      <c r="A120" s="23"/>
      <c r="B120" s="21"/>
      <c r="C120" s="21"/>
      <c r="D120" s="21"/>
      <c r="E120" s="21"/>
      <c r="F120" s="21"/>
      <c r="G120" s="12">
        <f>D120+Table84141941013242732394348535671118[[#This Row],[LỢI NHUẬN RÒNG]]</f>
        <v>0</v>
      </c>
    </row>
    <row r="121" spans="1:7" hidden="1" x14ac:dyDescent="0.3">
      <c r="G121" s="12">
        <f>D121+Table84141941013242732394348535671118[[#This Row],[LỢI NHUẬN RÒNG]]</f>
        <v>0</v>
      </c>
    </row>
    <row r="122" spans="1:7" hidden="1" x14ac:dyDescent="0.3">
      <c r="G122" s="12">
        <f>D122+Table84141941013242732394348535671118[[#This Row],[LỢI NHUẬN RÒNG]]</f>
        <v>0</v>
      </c>
    </row>
    <row r="123" spans="1:7" hidden="1" x14ac:dyDescent="0.3">
      <c r="G123" s="12">
        <f>D123+Table84141941013242732394348535671118[[#This Row],[LỢI NHUẬN RÒNG]]</f>
        <v>0</v>
      </c>
    </row>
    <row r="124" spans="1:7" hidden="1" x14ac:dyDescent="0.3">
      <c r="G124" s="12">
        <f>D124+Table84141941013242732394348535671118[[#This Row],[LỢI NHUẬN RÒNG]]</f>
        <v>0</v>
      </c>
    </row>
    <row r="125" spans="1:7" hidden="1" x14ac:dyDescent="0.3">
      <c r="B125" s="24"/>
      <c r="G125" s="12">
        <f>D125+Table84141941013242732394348535671118[[#This Row],[LỢI NHUẬN RÒNG]]</f>
        <v>0</v>
      </c>
    </row>
    <row r="126" spans="1:7" hidden="1" x14ac:dyDescent="0.3">
      <c r="G126" s="12">
        <f>D126+Table84141941013242732394348535671118[[#This Row],[LỢI NHUẬN RÒNG]]</f>
        <v>0</v>
      </c>
    </row>
    <row r="127" spans="1:7" hidden="1" x14ac:dyDescent="0.3">
      <c r="B127" s="21"/>
      <c r="C127" s="21"/>
      <c r="D127" s="21"/>
      <c r="E127" s="21"/>
      <c r="F127" s="21"/>
      <c r="G127" s="12">
        <f>D127+Table84141941013242732394348535671118[[#This Row],[LỢI NHUẬN RÒNG]]</f>
        <v>0</v>
      </c>
    </row>
    <row r="128" spans="1:7" hidden="1" x14ac:dyDescent="0.3">
      <c r="G128" s="12">
        <f>D128+Table84141941013242732394348535671118[[#This Row],[LỢI NHUẬN RÒNG]]</f>
        <v>0</v>
      </c>
    </row>
    <row r="129" spans="1:7" hidden="1" x14ac:dyDescent="0.3">
      <c r="G129" s="12">
        <f>D129+Table84141941013242732394348535671118[[#This Row],[LỢI NHUẬN RÒNG]]</f>
        <v>0</v>
      </c>
    </row>
    <row r="130" spans="1:7" hidden="1" x14ac:dyDescent="0.3">
      <c r="G130" s="12">
        <f>D130+Table84141941013242732394348535671118[[#This Row],[LỢI NHUẬN RÒNG]]</f>
        <v>0</v>
      </c>
    </row>
    <row r="131" spans="1:7" hidden="1" x14ac:dyDescent="0.3">
      <c r="G131" s="12">
        <f>D131+Table84141941013242732394348535671118[[#This Row],[LỢI NHUẬN RÒNG]]</f>
        <v>0</v>
      </c>
    </row>
    <row r="132" spans="1:7" hidden="1" x14ac:dyDescent="0.3">
      <c r="B132" s="24"/>
      <c r="G132" s="12">
        <f>D132+Table84141941013242732394348535671118[[#This Row],[LỢI NHUẬN RÒNG]]</f>
        <v>0</v>
      </c>
    </row>
    <row r="133" spans="1:7" hidden="1" x14ac:dyDescent="0.3">
      <c r="G133" s="12">
        <f>D133+Table84141941013242732394348535671118[[#This Row],[LỢI NHUẬN RÒNG]]</f>
        <v>0</v>
      </c>
    </row>
    <row r="134" spans="1:7" hidden="1" x14ac:dyDescent="0.3">
      <c r="G134" s="12">
        <f>D134+Table84141941013242732394348535671118[[#This Row],[LỢI NHUẬN RÒNG]]</f>
        <v>0</v>
      </c>
    </row>
    <row r="135" spans="1:7" hidden="1" x14ac:dyDescent="0.3">
      <c r="G135" s="12">
        <f>D135+Table84141941013242732394348535671118[[#This Row],[LỢI NHUẬN RÒNG]]</f>
        <v>0</v>
      </c>
    </row>
    <row r="136" spans="1:7" hidden="1" x14ac:dyDescent="0.3">
      <c r="B136" s="21"/>
      <c r="G136" s="12">
        <f>D136+Table84141941013242732394348535671118[[#This Row],[LỢI NHUẬN RÒNG]]</f>
        <v>0</v>
      </c>
    </row>
    <row r="137" spans="1:7" hidden="1" x14ac:dyDescent="0.3">
      <c r="G137" s="12">
        <f>D137+Table84141941013242732394348535671118[[#This Row],[LỢI NHUẬN RÒNG]]</f>
        <v>0</v>
      </c>
    </row>
    <row r="138" spans="1:7" hidden="1" x14ac:dyDescent="0.3">
      <c r="G138" s="12">
        <f>D138+Table84141941013242732394348535671118[[#This Row],[LỢI NHUẬN RÒNG]]</f>
        <v>0</v>
      </c>
    </row>
    <row r="139" spans="1:7" hidden="1" x14ac:dyDescent="0.3">
      <c r="G139" s="12">
        <f>D139+Table84141941013242732394348535671118[[#This Row],[LỢI NHUẬN RÒNG]]</f>
        <v>0</v>
      </c>
    </row>
    <row r="140" spans="1:7" hidden="1" x14ac:dyDescent="0.3">
      <c r="B140" s="24"/>
      <c r="G140" s="12">
        <f>D140+Table84141941013242732394348535671118[[#This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D141+Table84141941013242732394348535671118[[#This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D142+Table84141941013242732394348535671118[[#This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D143+Table84141941013242732394348535671118[[#This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D144+Table84141941013242732394348535671118[[#This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D145+Table84141941013242732394348535671118[[#This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D146+Table84141941013242732394348535671118[[#This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D147+Table84141941013242732394348535671118[[#This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D148+Table84141941013242732394348535671118[[#This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D149+Table84141941013242732394348535671118[[#This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D150+Table84141941013242732394348535671118[[#This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D151+Table84141941013242732394348535671118[[#This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D152+Table84141941013242732394348535671118[[#This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D153+Table84141941013242732394348535671118[[#This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D154+Table84141941013242732394348535671118[[#This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D155+Table84141941013242732394348535671118[[#This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D156+Table84141941013242732394348535671118[[#This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D157+Table84141941013242732394348535671118[[#This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D158+Table84141941013242732394348535671118[[#This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D159+Table84141941013242732394348535671118[[#This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D160+Table84141941013242732394348535671118[[#This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D161+Table84141941013242732394348535671118[[#This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D162+Table84141941013242732394348535671118[[#This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D163+Table84141941013242732394348535671118[[#This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D164+Table84141941013242732394348535671118[[#This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D165+Table84141941013242732394348535671118[[#This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D166+Table84141941013242732394348535671118[[#This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D167+Table84141941013242732394348535671118[[#This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D168+Table84141941013242732394348535671118[[#This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D169+Table84141941013242732394348535671118[[#This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D170+Table84141941013242732394348535671118[[#This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D171+Table84141941013242732394348535671118[[#This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D172+Table84141941013242732394348535671118[[#This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D173+Table84141941013242732394348535671118[[#This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D174+Table84141941013242732394348535671118[[#This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D175+Table84141941013242732394348535671118[[#This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D176+Table84141941013242732394348535671118[[#This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D177+Table84141941013242732394348535671118[[#This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D178+Table84141941013242732394348535671118[[#This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D179+Table84141941013242732394348535671118[[#This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D180+Table84141941013242732394348535671118[[#This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D181+Table84141941013242732394348535671118[[#This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D182+Table84141941013242732394348535671118[[#This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D183+Table84141941013242732394348535671118[[#This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D184+Table84141941013242732394348535671118[[#This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D185+Table84141941013242732394348535671118[[#This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D186+Table84141941013242732394348535671118[[#This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D187+Table84141941013242732394348535671118[[#This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D188+Table84141941013242732394348535671118[[#This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D189+Table84141941013242732394348535671118[[#This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D190+Table84141941013242732394348535671118[[#This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D191+Table84141941013242732394348535671118[[#This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D192+Table84141941013242732394348535671118[[#This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D193+Table84141941013242732394348535671118[[#This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D194+Table84141941013242732394348535671118[[#This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D195+Table84141941013242732394348535671118[[#This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D196+Table84141941013242732394348535671118[[#This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D197+Table84141941013242732394348535671118[[#This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D198+Table84141941013242732394348535671118[[#This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D199+Table84141941013242732394348535671118[[#This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D200+Table84141941013242732394348535671118[[#This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D201+Table84141941013242732394348535671118[[#This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D202+Table84141941013242732394348535671118[[#This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D203+Table84141941013242732394348535671118[[#This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D204+Table84141941013242732394348535671118[[#This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D205+Table84141941013242732394348535671118[[#This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Table84141941013242732394348535671118[[#This Row],[VỐN CP]]+Table84141941013242732394348535671118[[#This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Table84141941013242732394348535671118[[#This Row],[VỐN CP]]+Table84141941013242732394348535671118[[#This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Table84141941013242732394348535671118[[#This Row],[VỐN CP]]+Table84141941013242732394348535671118[[#This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Table84141941013242732394348535671118[[#This Row],[VỐN CP]]+Table84141941013242732394348535671118[[#This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Table84141941013242732394348535671118[[#This Row],[VỐN CP]]+Table84141941013242732394348535671118[[#This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Table84141941013242732394348535671118[[#This Row],[VỐN CP]]+Table84141941013242732394348535671118[[#This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Table84141941013242732394348535671118[[#This Row],[VỐN CP]]+Table84141941013242732394348535671118[[#This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Table84141941013242732394348535671118[[#This Row],[VỐN CP]]+Table84141941013242732394348535671118[[#This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Table84141941013242732394348535671118[[#This Row],[VỐN CP]]+Table84141941013242732394348535671118[[#This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Table84141941013242732394348535671118[[#This Row],[VỐN CP]]+Table84141941013242732394348535671118[[#This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Table84141941013242732394348535671118[[#This Row],[VỐN CP]]+Table84141941013242732394348535671118[[#This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Table84141941013242732394348535671118[[#This Row],[VỐN CP]]+Table84141941013242732394348535671118[[#This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Table84141941013242732394348535671118[[#This Row],[VỐN CP]]+Table84141941013242732394348535671118[[#This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Table84141941013242732394348535671118[[#This Row],[VỐN CP]]+Table84141941013242732394348535671118[[#This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Table84141941013242732394348535671118[[#This Row],[VỐN CP]]+Table84141941013242732394348535671118[[#This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Table84141941013242732394348535671118[[#This Row],[VỐN CP]]+Table84141941013242732394348535671118[[#This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Table84141941013242732394348535671118[[#This Row],[VỐN CP]]+Table84141941013242732394348535671118[[#This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Table84141941013242732394348535671118[[#This Row],[VỐN CP]]+Table84141941013242732394348535671118[[#This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Table84141941013242732394348535671118[[#This Row],[VỐN CP]]+Table84141941013242732394348535671118[[#This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Table84141941013242732394348535671118[[#This Row],[VỐN CP]]+Table84141941013242732394348535671118[[#This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Table84141941013242732394348535671118[[#This Row],[VỐN CP]]+Table84141941013242732394348535671118[[#This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Table84141941013242732394348535671118[[#This Row],[VỐN CP]]+Table84141941013242732394348535671118[[#This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Table84141941013242732394348535671118[[#This Row],[VỐN CP]]+Table84141941013242732394348535671118[[#This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Table84141941013242732394348535671118[[#This Row],[VỐN CP]]+Table84141941013242732394348535671118[[#This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Table84141941013242732394348535671118[[#This Row],[VỐN CP]]+Table84141941013242732394348535671118[[#This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Table84141941013242732394348535671118[[#This Row],[VỐN CP]]+Table84141941013242732394348535671118[[#This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Table84141941013242732394348535671118[[#This Row],[VỐN CP]]+Table84141941013242732394348535671118[[#This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Table84141941013242732394348535671118[[#This Row],[VỐN CP]]+Table84141941013242732394348535671118[[#This Row],[LỢI NHUẬN RÒNG]]</f>
        <v>0</v>
      </c>
      <c r="H233" s="28"/>
    </row>
    <row r="234" spans="1:10" hidden="1" x14ac:dyDescent="0.3">
      <c r="A234" s="23"/>
      <c r="G234" s="21">
        <f>Table84141941013242732394348535671118[[#This Row],[VỐN CP]]+Table84141941013242732394348535671118[[#This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Table84141941013242732394348535671118[[#This Row],[VỐN CP]]+Table84141941013242732394348535671118[[#This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Table84141941013242732394348535671118[[#This Row],[VỐN CP]]+Table84141941013242732394348535671118[[#This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Table84141941013242732394348535671118[[#This Row],[VỐN CP]]+Table84141941013242732394348535671118[[#This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Table84141941013242732394348535671118[[#This Row],[VỐN CP]]+Table84141941013242732394348535671118[[#This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Table84141941013242732394348535671118[[#This Row],[VỐN CP]]+Table84141941013242732394348535671118[[#This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Table84141941013242732394348535671118[[#This Row],[VỐN CP]]+Table84141941013242732394348535671118[[#This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Table84141941013242732394348535671118[[#This Row],[VỐN CP]]+Table84141941013242732394348535671118[[#This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Table84141941013242732394348535671118[[#This Row],[VỐN CP]]+Table84141941013242732394348535671118[[#This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Table84141941013242732394348535671118[[#This Row],[VỐN CP]]+Table84141941013242732394348535671118[[#This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Table84141941013242732394348535671118[[#This Row],[VỐN CP]]+Table84141941013242732394348535671118[[#This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Table84141941013242732394348535671118[[#This Row],[VỐN CP]]+Table84141941013242732394348535671118[[#This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Table84141941013242732394348535671118[[#This Row],[VỐN CP]]+Table84141941013242732394348535671118[[#This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Table84141941013242732394348535671118[[#This Row],[VỐN CP]]+Table84141941013242732394348535671118[[#This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Table84141941013242732394348535671118[[#This Row],[VỐN CP]]+Table84141941013242732394348535671118[[#This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Table84141941013242732394348535671118[[#This Row],[VỐN CP]]+Table84141941013242732394348535671118[[#This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Table84141941013242732394348535671118[[#This Row],[VỐN CP]]+Table84141941013242732394348535671118[[#This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Table84141941013242732394348535671118[[#This Row],[VỐN CP]]+Table84141941013242732394348535671118[[#This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Table84141941013242732394348535671118[[#This Row],[VỐN CP]]+Table84141941013242732394348535671118[[#This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Table84141941013242732394348535671118[[#This Row],[VỐN CP]]+Table84141941013242732394348535671118[[#This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Table84141941013242732394348535671118[[#This Row],[VỐN CP]]+Table84141941013242732394348535671118[[#This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Table84141941013242732394348535671118[[#This Row],[VỐN CP]]+Table84141941013242732394348535671118[[#This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Table84141941013242732394348535671118[[#This Row],[VỐN CP]]+Table84141941013242732394348535671118[[#This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Table84141941013242732394348535671118[[#This Row],[VỐN CP]]+Table84141941013242732394348535671118[[#This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Table84141941013242732394348535671118[[#This Row],[VỐN CP]]+Table84141941013242732394348535671118[[#This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Table84141941013242732394348535671118[[#This Row],[VỐN CP]]+Table84141941013242732394348535671118[[#This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Table84141941013242732394348535671118[[#This Row],[VỐN CP]]+Table84141941013242732394348535671118[[#This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Table84141941013242732394348535671118[[#This Row],[VỐN CP]]+Table84141941013242732394348535671118[[#This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Table84141941013242732394348535671118[[#This Row],[VỐN CP]]+Table84141941013242732394348535671118[[#This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Table84141941013242732394348535671118[[#This Row],[VỐN CP]]+Table84141941013242732394348535671118[[#This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Table84141941013242732394348535671118[[#This Row],[VỐN CP]]+Table84141941013242732394348535671118[[#This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Table84141941013242732394348535671118[[#This Row],[VỐN CP]]+Table84141941013242732394348535671118[[#This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Table84141941013242732394348535671118[[#This Row],[VỐN CP]]+Table84141941013242732394348535671118[[#This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Table84141941013242732394348535671118[[#This Row],[VỐN CP]]+Table84141941013242732394348535671118[[#This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Table84141941013242732394348535671118[[#This Row],[VỐN CP]]+Table84141941013242732394348535671118[[#This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Table84141941013242732394348535671118[[#This Row],[VỐN CP]]+Table84141941013242732394348535671118[[#This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Table84141941013242732394348535671118[[#This Row],[VỐN CP]]+Table84141941013242732394348535671118[[#This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Table84141941013242732394348535671118[[#This Row],[VỐN CP]]+Table84141941013242732394348535671118[[#This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Table84141941013242732394348535671118[[#This Row],[VỐN CP]]+Table84141941013242732394348535671118[[#This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Table84141941013242732394348535671118[[#This Row],[VỐN CP]]+Table84141941013242732394348535671118[[#This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Table84141941013242732394348535671118[[#This Row],[VỐN CP]]+Table84141941013242732394348535671118[[#This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Table84141941013242732394348535671118[[#This Row],[VỐN CP]]+Table84141941013242732394348535671118[[#This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Table84141941013242732394348535671118[[#This Row],[VỐN CP]]+Table84141941013242732394348535671118[[#This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Table84141941013242732394348535671118[[#This Row],[VỐN CP]]+Table84141941013242732394348535671118[[#This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Table84141941013242732394348535671118[[#This Row],[VỐN CP]]+Table84141941013242732394348535671118[[#This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Table84141941013242732394348535671118[[#This Row],[VỐN CP]]+Table84141941013242732394348535671118[[#This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Table84141941013242732394348535671118[[#This Row],[VỐN CP]]+Table84141941013242732394348535671118[[#This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Table84141941013242732394348535671118[[#This Row],[VỐN CP]]+Table84141941013242732394348535671118[[#This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Table84141941013242732394348535671118[[#This Row],[VỐN CP]]+Table84141941013242732394348535671118[[#This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Table84141941013242732394348535671118[[#This Row],[VỐN CP]]+Table84141941013242732394348535671118[[#This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Table84141941013242732394348535671118[[#This Row],[VỐN CP]]+Table84141941013242732394348535671118[[#This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Table84141941013242732394348535671118[[#This Row],[VỐN CP]]+Table84141941013242732394348535671118[[#This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Table84141941013242732394348535671118[[#This Row],[VỐN CP]]+Table84141941013242732394348535671118[[#This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Table84141941013242732394348535671118[[#This Row],[VỐN CP]]+Table84141941013242732394348535671118[[#This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Table84141941013242732394348535671118[[#This Row],[VỐN CP]]+Table84141941013242732394348535671118[[#This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Table84141941013242732394348535671118[[#This Row],[VỐN CP]]+Table84141941013242732394348535671118[[#This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Table84141941013242732394348535671118[[#This Row],[VỐN CP]]+Table84141941013242732394348535671118[[#This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Table84141941013242732394348535671118[[#This Row],[VỐN CP]]+Table84141941013242732394348535671118[[#This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Table84141941013242732394348535671118[[#This Row],[VỐN CP]]+Table84141941013242732394348535671118[[#This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Table84141941013242732394348535671118[[#This Row],[VỐN CP]]+Table84141941013242732394348535671118[[#This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Table84141941013242732394348535671118[[#This Row],[VỐN CP]]+Table84141941013242732394348535671118[[#This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Table84141941013242732394348535671118[[#This Row],[VỐN CP]]+Table84141941013242732394348535671118[[#This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Table84141941013242732394348535671118[[#This Row],[VỐN CP]]+Table84141941013242732394348535671118[[#This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Table84141941013242732394348535671118[[#This Row],[VỐN CP]]+Table84141941013242732394348535671118[[#This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Table84141941013242732394348535671118[[#This Row],[VỐN CP]]+Table84141941013242732394348535671118[[#This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Table84141941013242732394348535671118[[#This Row],[VỐN CP]]+Table84141941013242732394348535671118[[#This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Table84141941013242732394348535671118[[#This Row],[VỐN CP]]+Table84141941013242732394348535671118[[#This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Table84141941013242732394348535671118[[#This Row],[VỐN CP]]+Table84141941013242732394348535671118[[#This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Table84141941013242732394348535671118[[#This Row],[VỐN CP]]+Table84141941013242732394348535671118[[#This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Table84141941013242732394348535671118[[#This Row],[VỐN CP]]+Table84141941013242732394348535671118[[#This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Table84141941013242732394348535671118[[#This Row],[VỐN CP]]+Table84141941013242732394348535671118[[#This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Table84141941013242732394348535671118[[#This Row],[VỐN CP]]+Table84141941013242732394348535671118[[#This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Table84141941013242732394348535671118[[#This Row],[VỐN CP]]+Table84141941013242732394348535671118[[#This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Table84141941013242732394348535671118[[#This Row],[VỐN CP]]+Table84141941013242732394348535671118[[#This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Table84141941013242732394348535671118[[#This Row],[VỐN CP]]+Table84141941013242732394348535671118[[#This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Table84141941013242732394348535671118[[#This Row],[VỐN CP]]+Table84141941013242732394348535671118[[#This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Table84141941013242732394348535671118[[#This Row],[VỐN CP]]+Table84141941013242732394348535671118[[#This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Table84141941013242732394348535671118[[#This Row],[VỐN CP]]+Table84141941013242732394348535671118[[#This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Table84141941013242732394348535671118[[#This Row],[VỐN CP]]+Table84141941013242732394348535671118[[#This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Table84141941013242732394348535671118[[#This Row],[VỐN CP]]+Table84141941013242732394348535671118[[#This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Table84141941013242732394348535671118[[#This Row],[VỐN CP]]+Table84141941013242732394348535671118[[#This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Table84141941013242732394348535671118[[#This Row],[VỐN CP]]+Table84141941013242732394348535671118[[#This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Table84141941013242732394348535671118[[#This Row],[VỐN CP]]+Table84141941013242732394348535671118[[#This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Table84141941013242732394348535671118[[#This Row],[VỐN CP]]+Table84141941013242732394348535671118[[#This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Table84141941013242732394348535671118[[#This Row],[VỐN CP]]+Table84141941013242732394348535671118[[#This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Table84141941013242732394348535671118[[#This Row],[VỐN CP]]+Table84141941013242732394348535671118[[#This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Table84141941013242732394348535671118[[#This Row],[VỐN CP]]+Table84141941013242732394348535671118[[#This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Table84141941013242732394348535671118[[#This Row],[VỐN CP]]+Table84141941013242732394348535671118[[#This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Table84141941013242732394348535671118[[#This Row],[VỐN CP]]+Table84141941013242732394348535671118[[#This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Table84141941013242732394348535671118[[#This Row],[VỐN CP]]+Table84141941013242732394348535671118[[#This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Table84141941013242732394348535671118[[#This Row],[VỐN CP]]+Table84141941013242732394348535671118[[#This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Table84141941013242732394348535671118[[#This Row],[VỐN CP]]+Table84141941013242732394348535671118[[#This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Table84141941013242732394348535671118[[#This Row],[VỐN CP]]+Table84141941013242732394348535671118[[#This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Table84141941013242732394348535671118[[#This Row],[VỐN CP]]+Table84141941013242732394348535671118[[#This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Table84141941013242732394348535671118[[#This Row],[VỐN CP]]+Table84141941013242732394348535671118[[#This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Table84141941013242732394348535671118[[#This Row],[VỐN CP]]+Table84141941013242732394348535671118[[#This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Table84141941013242732394348535671118[[#This Row],[VỐN CP]]+Table84141941013242732394348535671118[[#This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Table84141941013242732394348535671118[[#This Row],[VỐN CP]]+Table84141941013242732394348535671118[[#This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Table84141941013242732394348535671118[[#This Row],[VỐN CP]]+Table84141941013242732394348535671118[[#This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Table84141941013242732394348535671118[[#This Row],[VỐN CP]]+Table84141941013242732394348535671118[[#This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Table84141941013242732394348535671118[[#This Row],[VỐN CP]]+Table84141941013242732394348535671118[[#This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Table84141941013242732394348535671118[[#This Row],[VỐN CP]]+Table84141941013242732394348535671118[[#This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Table84141941013242732394348535671118[[#This Row],[VỐN CP]]+Table84141941013242732394348535671118[[#This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Table84141941013242732394348535671118[[#This Row],[VỐN CP]]+Table84141941013242732394348535671118[[#This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Table84141941013242732394348535671118[[#This Row],[VỐN CP]]+Table84141941013242732394348535671118[[#This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Table84141941013242732394348535671118[[#This Row],[VỐN CP]]+Table84141941013242732394348535671118[[#This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Table84141941013242732394348535671118[[#This Row],[VỐN CP]]+Table84141941013242732394348535671118[[#This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Table84141941013242732394348535671118[[#This Row],[VỐN CP]]+Table84141941013242732394348535671118[[#This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Table84141941013242732394348535671118[[#This Row],[VỐN CP]]+Table84141941013242732394348535671118[[#This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Table84141941013242732394348535671118[[#This Row],[VỐN CP]]+Table84141941013242732394348535671118[[#This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Table84141941013242732394348535671118[[#This Row],[VỐN CP]]+Table84141941013242732394348535671118[[#This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Table84141941013242732394348535671118[[#This Row],[VỐN CP]]+Table84141941013242732394348535671118[[#This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Table84141941013242732394348535671118[[#This Row],[VỐN CP]]+Table84141941013242732394348535671118[[#This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Table84141941013242732394348535671118[[#This Row],[VỐN CP]]+Table84141941013242732394348535671118[[#This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Table84141941013242732394348535671118[[#This Row],[VỐN CP]]+Table84141941013242732394348535671118[[#This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Table84141941013242732394348535671118[[#This Row],[VỐN CP]]+Table84141941013242732394348535671118[[#This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Table84141941013242732394348535671118[[#This Row],[VỐN CP]]+Table84141941013242732394348535671118[[#This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Table84141941013242732394348535671118[[#This Row],[VỐN CP]]+Table84141941013242732394348535671118[[#This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Table84141941013242732394348535671118[[#This Row],[VỐN CP]]+Table84141941013242732394348535671118[[#This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Table84141941013242732394348535671118[[#This Row],[VỐN CP]]+Table84141941013242732394348535671118[[#This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Table84141941013242732394348535671118[[#This Row],[VỐN CP]]+Table84141941013242732394348535671118[[#This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Table84141941013242732394348535671118[[#This Row],[VỐN CP]]+Table84141941013242732394348535671118[[#This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Table84141941013242732394348535671118[[#This Row],[VỐN CP]]+Table84141941013242732394348535671118[[#This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Table84141941013242732394348535671118[[#This Row],[VỐN CP]]+Table84141941013242732394348535671118[[#This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Table84141941013242732394348535671118[[#This Row],[VỐN CP]]+Table84141941013242732394348535671118[[#This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Table84141941013242732394348535671118[[#This Row],[VỐN CP]]+Table84141941013242732394348535671118[[#This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Table84141941013242732394348535671118[[#This Row],[VỐN CP]]+Table84141941013242732394348535671118[[#This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Table84141941013242732394348535671118[[#This Row],[VỐN CP]]+Table84141941013242732394348535671118[[#This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Table84141941013242732394348535671118[[#This Row],[VỐN CP]]+Table84141941013242732394348535671118[[#This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Table84141941013242732394348535671118[[#This Row],[VỐN CP]]+Table84141941013242732394348535671118[[#This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Table84141941013242732394348535671118[[#This Row],[VỐN CP]]+Table84141941013242732394348535671118[[#This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Table84141941013242732394348535671118[[#This Row],[VỐN CP]]+Table84141941013242732394348535671118[[#This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Table84141941013242732394348535671118[[#This Row],[VỐN CP]]+Table84141941013242732394348535671118[[#This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Table84141941013242732394348535671118[[#This Row],[VỐN CP]]+Table84141941013242732394348535671118[[#This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Table84141941013242732394348535671118[[#This Row],[VỐN CP]]+Table84141941013242732394348535671118[[#This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Table84141941013242732394348535671118[[#This Row],[VỐN CP]]+Table84141941013242732394348535671118[[#This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Table84141941013242732394348535671118[[#This Row],[VỐN CP]]+Table84141941013242732394348535671118[[#This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Table84141941013242732394348535671118[[#This Row],[VỐN CP]]+Table84141941013242732394348535671118[[#This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Table84141941013242732394348535671118[[#This Row],[VỐN CP]]+Table84141941013242732394348535671118[[#This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Table84141941013242732394348535671118[[#This Row],[VỐN CP]]+Table84141941013242732394348535671118[[#This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Table84141941013242732394348535671118[[#This Row],[VỐN CP]]+Table84141941013242732394348535671118[[#This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Table84141941013242732394348535671118[[#This Row],[VỐN CP]]+Table84141941013242732394348535671118[[#This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Table84141941013242732394348535671118[[#This Row],[VỐN CP]]+Table84141941013242732394348535671118[[#This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Table84141941013242732394348535671118[[#This Row],[VỐN CP]]+Table84141941013242732394348535671118[[#This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Table84141941013242732394348535671118[[#This Row],[VỐN CP]]+Table84141941013242732394348535671118[[#This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Table84141941013242732394348535671118[[#This Row],[VỐN CP]]+Table84141941013242732394348535671118[[#This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Table84141941013242732394348535671118[[#This Row],[VỐN CP]]+Table84141941013242732394348535671118[[#This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Table84141941013242732394348535671118[[#This Row],[VỐN CP]]+Table84141941013242732394348535671118[[#This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Table84141941013242732394348535671118[[#This Row],[VỐN CP]]+Table84141941013242732394348535671118[[#This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Table84141941013242732394348535671118[[#This Row],[VỐN CP]]+Table84141941013242732394348535671118[[#This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Table84141941013242732394348535671118[[#This Row],[VỐN CP]]+Table84141941013242732394348535671118[[#This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Table84141941013242732394348535671118[[#This Row],[VỐN CP]]+Table84141941013242732394348535671118[[#This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Table84141941013242732394348535671118[[#This Row],[VỐN CP]]+Table84141941013242732394348535671118[[#This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Table84141941013242732394348535671118[[#This Row],[VỐN CP]]+Table84141941013242732394348535671118[[#This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Table84141941013242732394348535671118[[#This Row],[VỐN CP]]+Table84141941013242732394348535671118[[#This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Table84141941013242732394348535671118[[#This Row],[VỐN CP]]+Table84141941013242732394348535671118[[#This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Table84141941013242732394348535671118[[#This Row],[VỐN CP]]+Table84141941013242732394348535671118[[#This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Table84141941013242732394348535671118[[#This Row],[VỐN CP]]+Table84141941013242732394348535671118[[#This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Table84141941013242732394348535671118[[#This Row],[VỐN CP]]+Table84141941013242732394348535671118[[#This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Table84141941013242732394348535671118[[#This Row],[VỐN CP]]+Table84141941013242732394348535671118[[#This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Table84141941013242732394348535671118[[#This Row],[VỐN CP]]+Table84141941013242732394348535671118[[#This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Table84141941013242732394348535671118[[#This Row],[VỐN CP]]+Table84141941013242732394348535671118[[#This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Table84141941013242732394348535671118[[#This Row],[VỐN CP]]+Table84141941013242732394348535671118[[#This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Table84141941013242732394348535671118[[#This Row],[VỐN CP]]+Table84141941013242732394348535671118[[#This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Table84141941013242732394348535671118[[#This Row],[VỐN CP]]+Table84141941013242732394348535671118[[#This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Table84141941013242732394348535671118[[#This Row],[VỐN CP]]+Table84141941013242732394348535671118[[#This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Table84141941013242732394348535671118[[#This Row],[VỐN CP]]+Table84141941013242732394348535671118[[#This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Table84141941013242732394348535671118[[#This Row],[VỐN CP]]+Table84141941013242732394348535671118[[#This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Table84141941013242732394348535671118[[#This Row],[VỐN CP]]+Table84141941013242732394348535671118[[#This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Table84141941013242732394348535671118[[#This Row],[VỐN CP]]+Table84141941013242732394348535671118[[#This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Table84141941013242732394348535671118[[#This Row],[VỐN CP]]+Table84141941013242732394348535671118[[#This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Table84141941013242732394348535671118[[#This Row],[VỐN CP]]+Table84141941013242732394348535671118[[#This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Table84141941013242732394348535671118[[#This Row],[VỐN CP]]+Table84141941013242732394348535671118[[#This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Table84141941013242732394348535671118[[#This Row],[VỐN CP]]+Table84141941013242732394348535671118[[#This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Table84141941013242732394348535671118[[#This Row],[VỐN CP]]+Table84141941013242732394348535671118[[#This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Table84141941013242732394348535671118[[#This Row],[VỐN CP]]+Table84141941013242732394348535671118[[#This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Table84141941013242732394348535671118[[#This Row],[VỐN CP]]+Table84141941013242732394348535671118[[#This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Table84141941013242732394348535671118[[#This Row],[VỐN CP]]+Table84141941013242732394348535671118[[#This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Table84141941013242732394348535671118[[#This Row],[VỐN CP]]+Table84141941013242732394348535671118[[#This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Table84141941013242732394348535671118[[#This Row],[VỐN CP]]+Table84141941013242732394348535671118[[#This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Table84141941013242732394348535671118[[#This Row],[VỐN CP]]+Table84141941013242732394348535671118[[#This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Table84141941013242732394348535671118[[#This Row],[VỐN CP]]+Table84141941013242732394348535671118[[#This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Table84141941013242732394348535671118[[#This Row],[VỐN CP]]+Table84141941013242732394348535671118[[#This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Table84141941013242732394348535671118[[#This Row],[VỐN CP]]+Table84141941013242732394348535671118[[#This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Table84141941013242732394348535671118[[#This Row],[VỐN CP]]+Table84141941013242732394348535671118[[#This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Table84141941013242732394348535671118[[#This Row],[VỐN CP]]+Table84141941013242732394348535671118[[#This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Table84141941013242732394348535671118[[#This Row],[VỐN CP]]+Table84141941013242732394348535671118[[#This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SUBTOTAL(109,Table84141941013242732394348535671118[VỐN CP])</f>
        <v>3250000</v>
      </c>
      <c r="E421" s="21">
        <f>SUBTOTAL(109,Table84141941013242732394348535671118[LỢI NHUẬN GỘP])</f>
        <v>1573840.45</v>
      </c>
      <c r="F421" s="21">
        <f>SUBTOTAL(109,Table84141941013242732394348535671118[LỢI NHUẬN RÒNG])</f>
        <v>908329.37604969391</v>
      </c>
      <c r="G421" s="21">
        <f>SUBTOTAL(109,Table84141941013242732394348535671118[TỔNG NHẬN])</f>
        <v>14515614.984708037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8D3F-6465-4A88-B3EA-329233D48092}">
  <sheetPr codeName="Sheet11"/>
  <dimension ref="A1:J37"/>
  <sheetViews>
    <sheetView topLeftCell="A7" workbookViewId="0">
      <selection activeCell="E20" sqref="E20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142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Table731218791623303538424752591017[[#This Row],[VỐN CP]]+Table951520511142528334044495457815[[#This Row],[VỐN CP]]+Table95152051114252833404449545781219[[#This Row],[VỐN CP]]</f>
        <v>70884166.666666672</v>
      </c>
      <c r="C3" s="14">
        <f>Table731218791623303538424752591017[[#This Row],[LỢI NHUẬN GỘP]]+Table951520511142528334044495457815[[#This Row],[LỢI NHUẬN GỘP]]+Table95152051114252833404449545781219[[#This Row],[LỢI NHUẬN GỘP]]</f>
        <v>19977373.016666666</v>
      </c>
      <c r="D3" s="14">
        <f>Table731218791623303538424752591017[[#This Row],[LỢI NHUẬN RÒNG]]+Table951520511142528334044495457815[[#This Row],[LỢI NHUẬN RÒNG]]+Table95152051114252833404449545781219[[#This Row],[LỢI NHUẬN RÒNG]]</f>
        <v>10578859.527411493</v>
      </c>
      <c r="E3" s="14">
        <f>Table731218791623303538424752591017[[#This Row],[TỔNG NHẬN]]+Table951520511142528334044495457815[[#This Row],[TỔNG NHẬN]]+Table95152051114252833404449545781219[[#This Row],[TỔNG NHẬN]]</f>
        <v>84480058.89407815</v>
      </c>
      <c r="F3" s="49">
        <f t="shared" ref="F3:F27" si="0">D3/B3</f>
        <v>0.14924150236763958</v>
      </c>
    </row>
    <row r="4" spans="1:10" x14ac:dyDescent="0.3">
      <c r="A4" s="13" t="s">
        <v>87</v>
      </c>
      <c r="B4" s="14">
        <f>Table731218791623303538424752591017[[#This Row],[VỐN CP]]</f>
        <v>81893333.333333328</v>
      </c>
      <c r="C4" s="14">
        <f>Table731218791623303538424752591017[[#This Row],[LỢI NHUẬN GỘP]]</f>
        <v>27512028.099999998</v>
      </c>
      <c r="D4" s="14">
        <f>Table731218791623303538424752591017[[#This Row],[LỢI NHUẬN RÒNG]]</f>
        <v>17408162.116917666</v>
      </c>
      <c r="E4" s="14">
        <f>Table731218791623303538424752591017[[#This Row],[TỔNG NHẬN]]</f>
        <v>99301495.450250998</v>
      </c>
      <c r="F4" s="49">
        <f t="shared" si="0"/>
        <v>0.21257117531241046</v>
      </c>
      <c r="I4" s="50"/>
    </row>
    <row r="5" spans="1:10" x14ac:dyDescent="0.3">
      <c r="A5" s="13" t="s">
        <v>9</v>
      </c>
      <c r="B5" s="14">
        <f>Table731218791623303538424752591017[[#This Row],[VỐN CP]]+'Tháng 3 nhà S '!L4+'Tháng 3 nhà G  '!L4</f>
        <v>793254166.66666663</v>
      </c>
      <c r="C5" s="14">
        <f>Table731218791623303538424752591017[[#This Row],[LỢI NHUẬN GỘP]]+'Tháng 3 nhà S '!M4+'Tháng 3 nhà G  '!M4</f>
        <v>250485459.88749999</v>
      </c>
      <c r="D5" s="14">
        <f>Table731218791623303538424752591017[[#This Row],[LỢI NHUẬN RÒNG]]+'Tháng 3 nhà S '!N4+'Tháng 3 nhà G  '!N4</f>
        <v>145836722.88650081</v>
      </c>
      <c r="E5" s="14">
        <f>Table731218791623303538424752591017[[#This Row],[TỔNG NHẬN]]+'Tháng 3 nhà S '!O4+'Tháng 3 nhà G  '!O4</f>
        <v>962822493.47048402</v>
      </c>
      <c r="F5" s="49">
        <f t="shared" si="0"/>
        <v>0.18384614794942875</v>
      </c>
      <c r="I5" s="50"/>
    </row>
    <row r="6" spans="1:10" x14ac:dyDescent="0.3">
      <c r="A6" s="13" t="s">
        <v>88</v>
      </c>
      <c r="B6" s="14">
        <f>Table731218791623303538424752591017[[#This Row],[VỐN CP]]+'Tháng 3 nhà S '!L5+'Tháng 3 nhà G  '!L5</f>
        <v>74298333.333333328</v>
      </c>
      <c r="C6" s="14">
        <f>Table731218791623303538424752591017[[#This Row],[LỢI NHUẬN GỘP]]+'Tháng 3 nhà S '!M5+'Tháng 3 nhà G  '!M5</f>
        <v>22654125.133333333</v>
      </c>
      <c r="D6" s="14">
        <f>Table731218791623303538424752591017[[#This Row],[LỢI NHUẬN RÒNG]]+'Tháng 3 nhà S '!N5+'Tháng 3 nhà G  '!N5</f>
        <v>12938669.478057608</v>
      </c>
      <c r="E6" s="14">
        <f>Table731218791623303538424752591017[[#This Row],[TỔNG NHẬN]]+'Tháng 3 nhà S '!O5+'Tháng 3 nhà G  '!O5</f>
        <v>87237002.811390966</v>
      </c>
      <c r="F6" s="49">
        <f t="shared" si="0"/>
        <v>0.17414481452779482</v>
      </c>
    </row>
    <row r="7" spans="1:10" x14ac:dyDescent="0.3">
      <c r="A7" s="13" t="s">
        <v>89</v>
      </c>
      <c r="B7" s="14">
        <f>Table731218791623303538424752591017[[#This Row],[VỐN CP]]+'Tháng 3 nhà S '!L6</f>
        <v>34563333.333333336</v>
      </c>
      <c r="C7" s="14">
        <f>Table731218791623303538424752591017[[#This Row],[LỢI NHUẬN GỘP]]+'Tháng 3 nhà S '!M6</f>
        <v>12173417.616666667</v>
      </c>
      <c r="D7" s="14">
        <f>Table731218791623303538424752591017[[#This Row],[LỢI NHUẬN RÒNG]]+'Tháng 3 nhà S '!N6</f>
        <v>7351094.1939931978</v>
      </c>
      <c r="E7" s="14">
        <f>Table731218791623303538424752591017[[#This Row],[TỔNG NHẬN]]+'Tháng 3 nhà S '!O6</f>
        <v>43422943.877326533</v>
      </c>
      <c r="F7" s="49">
        <f t="shared" si="0"/>
        <v>0.21268475824071359</v>
      </c>
      <c r="I7" s="50"/>
    </row>
    <row r="8" spans="1:10" x14ac:dyDescent="0.3">
      <c r="A8" s="13" t="s">
        <v>17</v>
      </c>
      <c r="B8" s="14">
        <f>'Tháng 3 nhà S '!L7</f>
        <v>6795000</v>
      </c>
      <c r="C8" s="14">
        <f>'Tháng 3 nhà S '!M7</f>
        <v>3766333.5</v>
      </c>
      <c r="D8" s="14">
        <f>'Tháng 3 nhà S '!N7</f>
        <v>2748451.4278399134</v>
      </c>
      <c r="E8" s="14">
        <f>'Tháng 3 nhà S '!O7</f>
        <v>9543451.4278399125</v>
      </c>
      <c r="F8" s="49">
        <f t="shared" si="0"/>
        <v>0.40448144633405642</v>
      </c>
    </row>
    <row r="9" spans="1:10" x14ac:dyDescent="0.3">
      <c r="A9" s="13" t="s">
        <v>19</v>
      </c>
      <c r="B9" s="14">
        <f>'Tháng 3 nhà T  '!L8+'Tháng 3 nhà S '!L8+'Tháng 3 nhà G  '!L8</f>
        <v>818846666.66666675</v>
      </c>
      <c r="C9" s="14">
        <f>'Tháng 3 nhà T  '!M8+'Tháng 3 nhà S '!M8+'Tháng 3 nhà G  '!M8</f>
        <v>257072592.19166666</v>
      </c>
      <c r="D9" s="14">
        <f>'Tháng 3 nhà T  '!N8+'Tháng 3 nhà S '!N8+'Tháng 3 nhà G  '!N8</f>
        <v>148922990.15601346</v>
      </c>
      <c r="E9" s="14">
        <f>'Tháng 3 nhà T  '!O8+'Tháng 3 nhà S '!O8+'Tháng 3 nhà G  '!O8</f>
        <v>966829011.21375299</v>
      </c>
      <c r="F9" s="49">
        <f t="shared" si="0"/>
        <v>0.18186920240176849</v>
      </c>
      <c r="I9" s="50"/>
    </row>
    <row r="10" spans="1:10" x14ac:dyDescent="0.3">
      <c r="A10" s="16" t="s">
        <v>21</v>
      </c>
      <c r="B10" s="14">
        <f>'Tháng 3 nhà T  '!L9+'Tháng 3 nhà S '!L9+'Tháng 3 nhà G  '!L9</f>
        <v>423036666.66666669</v>
      </c>
      <c r="C10" s="14">
        <f>'Tháng 3 nhà T  '!M9+'Tháng 3 nhà S '!M9+'Tháng 3 nhà G  '!M9</f>
        <v>150167849.1791667</v>
      </c>
      <c r="D10" s="14">
        <f>'Tháng 3 nhà T  '!N9+'Tháng 3 nhà S '!N9+'Tháng 3 nhà G  '!N9</f>
        <v>89625163.460509717</v>
      </c>
      <c r="E10" s="14">
        <f>'Tháng 3 nhà T  '!O9+'Tháng 3 nhà S '!O9+'Tháng 3 nhà G  '!O9</f>
        <v>536393434.04449308</v>
      </c>
      <c r="F10" s="49">
        <f t="shared" si="0"/>
        <v>0.21186145439050133</v>
      </c>
      <c r="J10" s="50"/>
    </row>
    <row r="11" spans="1:10" x14ac:dyDescent="0.3">
      <c r="A11" s="13" t="s">
        <v>23</v>
      </c>
      <c r="B11" s="14">
        <f>'Tháng 3 nhà T  '!L10+'Tháng 3 nhà S '!L10</f>
        <v>51435000</v>
      </c>
      <c r="C11" s="14">
        <f>'Tháng 3 nhà T  '!M10+'Tháng 3 nhà S '!M10</f>
        <v>17383439.666666668</v>
      </c>
      <c r="D11" s="14">
        <f>'Tháng 3 nhà T  '!N10+'Tháng 3 nhà S '!N10</f>
        <v>10769071.109377382</v>
      </c>
      <c r="E11" s="14">
        <f>'Tháng 3 nhà T  '!O10+'Tháng 3 nhà S '!O10</f>
        <v>62204071.109377377</v>
      </c>
      <c r="F11" s="49">
        <f t="shared" si="0"/>
        <v>0.20937243335039141</v>
      </c>
    </row>
    <row r="12" spans="1:10" x14ac:dyDescent="0.3">
      <c r="A12" s="13" t="s">
        <v>25</v>
      </c>
      <c r="B12" s="14">
        <f>'Tháng 3 nhà T  '!L16+'Tháng 3 nhà S '!L11+'Tháng 3 nhà G  '!L11</f>
        <v>107043333.33333333</v>
      </c>
      <c r="C12" s="14">
        <f>'Tháng 3 nhà T  '!M16+'Tháng 3 nhà S '!M11+'Tháng 3 nhà G  '!M11</f>
        <v>37068922.950000003</v>
      </c>
      <c r="D12" s="14">
        <f>'Tháng 3 nhà T  '!N16+'Tháng 3 nhà S '!N11+'Tháng 3 nhà G  '!N11</f>
        <v>20988915.31132536</v>
      </c>
      <c r="E12" s="14">
        <f>'Tháng 3 nhà T  '!O16+'Tháng 3 nhà S '!O11+'Tháng 3 nhà G  '!O11</f>
        <v>148746819.8619754</v>
      </c>
      <c r="F12" s="49">
        <f t="shared" si="0"/>
        <v>0.19607867821124181</v>
      </c>
    </row>
    <row r="13" spans="1:10" x14ac:dyDescent="0.3">
      <c r="A13" s="13" t="s">
        <v>27</v>
      </c>
      <c r="B13" s="14">
        <f>'Tháng 3 nhà T  '!L11+'Tháng 3 nhà S '!L12+'Tháng 3 nhà G  '!L12</f>
        <v>407218333.33333331</v>
      </c>
      <c r="C13" s="14">
        <f>'Tháng 3 nhà T  '!M11+'Tháng 3 nhà S '!M12+'Tháng 3 nhà G  '!M12</f>
        <v>131365362.82499999</v>
      </c>
      <c r="D13" s="14">
        <f>'Tháng 3 nhà T  '!N11+'Tháng 3 nhà S '!N12+'Tháng 3 nhà G  '!N12</f>
        <v>77921916.829752386</v>
      </c>
      <c r="E13" s="14">
        <f>'Tháng 3 nhà T  '!O11+'Tháng 3 nhà S '!O12+'Tháng 3 nhà G  '!O12</f>
        <v>485140250.1630857</v>
      </c>
      <c r="F13" s="49">
        <f t="shared" si="0"/>
        <v>0.19135169134432975</v>
      </c>
    </row>
    <row r="14" spans="1:10" x14ac:dyDescent="0.3">
      <c r="A14" s="13" t="s">
        <v>29</v>
      </c>
      <c r="B14" s="14">
        <f>'Tháng 3 nhà S '!L13+'Tháng 3 nhà G  '!L13</f>
        <v>40548333.333333328</v>
      </c>
      <c r="C14" s="14">
        <f>'Tháng 3 nhà S '!M13+'Tháng 3 nhà G  '!M13</f>
        <v>16292229.649999999</v>
      </c>
      <c r="D14" s="14">
        <f>'Tháng 3 nhà S '!N13+'Tháng 3 nhà G  '!N13</f>
        <v>9847349.0477418453</v>
      </c>
      <c r="E14" s="14">
        <f>'Tháng 3 nhà S '!O13+'Tháng 3 nhà G  '!O13</f>
        <v>68987654.544062689</v>
      </c>
      <c r="F14" s="49">
        <f t="shared" si="0"/>
        <v>0.24285459446114135</v>
      </c>
    </row>
    <row r="15" spans="1:10" x14ac:dyDescent="0.3">
      <c r="A15" s="13" t="s">
        <v>31</v>
      </c>
      <c r="B15" s="14">
        <f>'Tháng 3 nhà T  '!L12+'Tháng 3 nhà S '!L14+'Tháng 3 nhà G  '!L14</f>
        <v>200763333.33333331</v>
      </c>
      <c r="C15" s="14">
        <f>'Tháng 3 nhà T  '!M12+'Tháng 3 nhà S '!M14+'Tháng 3 nhà G  '!M14</f>
        <v>61912925.850000001</v>
      </c>
      <c r="D15" s="14">
        <f>'Tháng 3 nhà T  '!N12+'Tháng 3 nhà S '!N14+'Tháng 3 nhà G  '!N14</f>
        <v>33519398.886195213</v>
      </c>
      <c r="E15" s="14">
        <f>'Tháng 3 nhà T  '!O12+'Tháng 3 nhà S '!O14+'Tháng 3 nhà G  '!O14</f>
        <v>275097791.94983274</v>
      </c>
      <c r="F15" s="49">
        <f t="shared" si="0"/>
        <v>0.16695976466251414</v>
      </c>
    </row>
    <row r="16" spans="1:10" x14ac:dyDescent="0.3">
      <c r="A16" s="13" t="s">
        <v>91</v>
      </c>
      <c r="B16" s="14">
        <f>'Tháng 3 nhà T  '!L13</f>
        <v>8400000</v>
      </c>
      <c r="C16" s="14">
        <f>'Tháng 3 nhà T  '!M13</f>
        <v>4581122.5333333332</v>
      </c>
      <c r="D16" s="14">
        <f>'Tháng 3 nhà T  '!N13</f>
        <v>3146163.2297769017</v>
      </c>
      <c r="E16" s="14">
        <f>'Tháng 3 nhà T  '!O13</f>
        <v>11546163.2297769</v>
      </c>
      <c r="F16" s="49">
        <f t="shared" si="0"/>
        <v>0.37454324164010733</v>
      </c>
    </row>
    <row r="17" spans="1:6" x14ac:dyDescent="0.3">
      <c r="A17" s="13" t="s">
        <v>33</v>
      </c>
      <c r="B17" s="14">
        <f>'Tháng 3 nhà T  '!L14+'Tháng 3 nhà S '!L15+'Tháng 3 nhà G  '!L15</f>
        <v>82418333.333333343</v>
      </c>
      <c r="C17" s="14">
        <f>'Tháng 3 nhà T  '!M14+'Tháng 3 nhà S '!M15+'Tháng 3 nhà G  '!M15</f>
        <v>30082931.233333331</v>
      </c>
      <c r="D17" s="14">
        <f>'Tháng 3 nhà T  '!N14+'Tháng 3 nhà S '!N15+'Tháng 3 nhà G  '!N15</f>
        <v>18385178.281815454</v>
      </c>
      <c r="E17" s="14">
        <f>'Tháng 3 nhà T  '!O14+'Tháng 3 nhà S '!O15+'Tháng 3 nhà G  '!O15</f>
        <v>112669313.57380712</v>
      </c>
      <c r="F17" s="49">
        <f t="shared" si="0"/>
        <v>0.22307146405713274</v>
      </c>
    </row>
    <row r="18" spans="1:6" x14ac:dyDescent="0.3">
      <c r="A18" s="13" t="s">
        <v>35</v>
      </c>
      <c r="B18" s="14">
        <f>'Tháng 3 nhà S '!L16+'Tháng 3 nhà G  '!L16</f>
        <v>51421666.666666672</v>
      </c>
      <c r="C18" s="14">
        <f>'Tháng 3 nhà S '!M16+'Tháng 3 nhà G  '!M16</f>
        <v>19789201.116666671</v>
      </c>
      <c r="D18" s="14">
        <f>'Tháng 3 nhà S '!N16+'Tháng 3 nhà G  '!N16</f>
        <v>12390799.655320248</v>
      </c>
      <c r="E18" s="14">
        <f>'Tháng 3 nhà S '!O16+'Tháng 3 nhà G  '!O16</f>
        <v>66829499.021986909</v>
      </c>
      <c r="F18" s="49">
        <f t="shared" si="0"/>
        <v>0.24096456724442186</v>
      </c>
    </row>
    <row r="19" spans="1:6" x14ac:dyDescent="0.3">
      <c r="A19" s="16" t="s">
        <v>37</v>
      </c>
      <c r="B19" s="14">
        <f>'Tháng 3 nhà T  '!L15+'Tháng 3 nhà S '!L17+'Tháng 3 nhà G  '!L17</f>
        <v>212778333.33333331</v>
      </c>
      <c r="C19" s="14">
        <f>'Tháng 3 nhà T  '!M15+'Tháng 3 nhà S '!M17+'Tháng 3 nhà G  '!M17</f>
        <v>68522260.583333328</v>
      </c>
      <c r="D19" s="14">
        <f>'Tháng 3 nhà T  '!N15+'Tháng 3 nhà S '!N17+'Tháng 3 nhà G  '!N17</f>
        <v>39065224.621860854</v>
      </c>
      <c r="E19" s="14">
        <f>'Tháng 3 nhà T  '!O15+'Tháng 3 nhà S '!O17+'Tháng 3 nhà G  '!O17</f>
        <v>278592194.5725109</v>
      </c>
      <c r="F19" s="51">
        <f t="shared" si="0"/>
        <v>0.18359587656259263</v>
      </c>
    </row>
    <row r="20" spans="1:6" x14ac:dyDescent="0.3">
      <c r="A20" s="13" t="s">
        <v>39</v>
      </c>
      <c r="B20" s="14">
        <f>'Tháng 3 nhà S '!L18</f>
        <v>1583333.3333333335</v>
      </c>
      <c r="C20" s="14">
        <f>'Tháng 3 nhà S '!M18</f>
        <v>305438.81666666642</v>
      </c>
      <c r="D20" s="14">
        <f>'Tháng 3 nhà S '!N18</f>
        <v>158696.55499228538</v>
      </c>
      <c r="E20" s="14">
        <f>'Tháng 3 nhà S '!O18</f>
        <v>1742029.8883256188</v>
      </c>
      <c r="F20" s="51">
        <f t="shared" si="0"/>
        <v>0.10022940315302234</v>
      </c>
    </row>
    <row r="21" spans="1:6" x14ac:dyDescent="0.3">
      <c r="A21" s="13" t="s">
        <v>41</v>
      </c>
      <c r="B21" s="14">
        <f>'Tháng 3 nhà S '!L19</f>
        <v>2533333.3333333335</v>
      </c>
      <c r="C21" s="14">
        <f>'Tháng 3 nhà S '!M19</f>
        <v>772725.4166666664</v>
      </c>
      <c r="D21" s="14">
        <f>'Tháng 3 nhà S '!N19</f>
        <v>471324.82019219082</v>
      </c>
      <c r="E21" s="14">
        <f>'Tháng 3 nhà S '!O19</f>
        <v>3004658.1535255243</v>
      </c>
      <c r="F21" s="51">
        <f t="shared" si="0"/>
        <v>0.18604927112849637</v>
      </c>
    </row>
    <row r="22" spans="1:6" x14ac:dyDescent="0.3">
      <c r="A22" s="13" t="s">
        <v>42</v>
      </c>
      <c r="B22" s="14">
        <f>'Tháng 3 nhà S '!L20</f>
        <v>2083333.3333333335</v>
      </c>
      <c r="C22" s="14">
        <f>'Tháng 3 nhà S '!M20</f>
        <v>952511.76666666637</v>
      </c>
      <c r="D22" s="14">
        <f>'Tháng 3 nhà S '!N20</f>
        <v>604960.22594184079</v>
      </c>
      <c r="E22" s="14">
        <f>'Tháng 3 nhà S '!O20</f>
        <v>2688293.5592751745</v>
      </c>
      <c r="F22" s="51">
        <f t="shared" si="0"/>
        <v>0.29038090845208359</v>
      </c>
    </row>
    <row r="23" spans="1:6" x14ac:dyDescent="0.3">
      <c r="A23" s="13" t="s">
        <v>43</v>
      </c>
      <c r="B23" s="14">
        <f>'Tháng 3 nhà S '!L21+'Tháng 3 nhà G  '!L21</f>
        <v>97018333.333333343</v>
      </c>
      <c r="C23" s="14">
        <f>'Tháng 3 nhà S '!M21+'Tháng 3 nhà G  '!M21</f>
        <v>31880274.899999995</v>
      </c>
      <c r="D23" s="14">
        <f>'Tháng 3 nhà S '!N21+'Tháng 3 nhà G  '!N21</f>
        <v>18065347.316375725</v>
      </c>
      <c r="E23" s="14">
        <f>'Tháng 3 nhà S '!O21+'Tháng 3 nhà G  '!O21</f>
        <v>146155537.47568411</v>
      </c>
      <c r="F23" s="51">
        <f t="shared" si="0"/>
        <v>0.18620550050377821</v>
      </c>
    </row>
    <row r="24" spans="1:6" x14ac:dyDescent="0.3">
      <c r="A24" s="13" t="s">
        <v>44</v>
      </c>
      <c r="B24" s="14">
        <f>'Tháng 3 nhà S '!L22</f>
        <v>4700000</v>
      </c>
      <c r="C24" s="14">
        <f>'Tháng 3 nhà S '!M22</f>
        <v>3336610.5333333332</v>
      </c>
      <c r="D24" s="14">
        <f>'Tháng 3 nhà S '!N22</f>
        <v>2250735.0638685361</v>
      </c>
      <c r="E24" s="14">
        <f>'Tháng 3 nhà S '!O22</f>
        <v>6950735.0638685366</v>
      </c>
      <c r="F24" s="51">
        <f t="shared" si="0"/>
        <v>0.47887980082309278</v>
      </c>
    </row>
    <row r="25" spans="1:6" x14ac:dyDescent="0.3">
      <c r="A25" s="13" t="s">
        <v>45</v>
      </c>
      <c r="B25" s="14">
        <f>'Tháng 3 nhà S '!L23</f>
        <v>13050000</v>
      </c>
      <c r="C25" s="14">
        <f>'Tháng 3 nhà S '!M23</f>
        <v>4849802.75</v>
      </c>
      <c r="D25" s="14">
        <f>'Tháng 3 nhà S '!N23</f>
        <v>3239575.8543384904</v>
      </c>
      <c r="E25" s="14">
        <f>'Tháng 3 nhà S '!O23</f>
        <v>17798092.204338491</v>
      </c>
      <c r="F25" s="49">
        <f t="shared" si="0"/>
        <v>0.24824336048570808</v>
      </c>
    </row>
    <row r="26" spans="1:6" s="52" customFormat="1" x14ac:dyDescent="0.3">
      <c r="A26" s="13" t="s">
        <v>46</v>
      </c>
      <c r="B26" s="14">
        <f>'Tháng 3 nhà S '!L24</f>
        <v>13350000</v>
      </c>
      <c r="C26" s="14">
        <f>'Tháng 3 nhà S '!M24</f>
        <v>5127476.5499999989</v>
      </c>
      <c r="D26" s="14">
        <f>'Tháng 3 nhà S '!N24</f>
        <v>3449913.5925158574</v>
      </c>
      <c r="E26" s="14">
        <f>'Tháng 3 nhà S '!O24</f>
        <v>16799913.59251586</v>
      </c>
      <c r="F26" s="49">
        <f t="shared" si="0"/>
        <v>0.25842049382141252</v>
      </c>
    </row>
    <row r="27" spans="1:6" x14ac:dyDescent="0.3">
      <c r="A27" s="16" t="s">
        <v>129</v>
      </c>
      <c r="B27" s="14">
        <f>'[1]Tháng 9 nhà S '!L25</f>
        <v>1745166666.6666663</v>
      </c>
      <c r="C27" s="17">
        <f>SUBTOTAL(109,C2:C26)</f>
        <v>1178032415.7666667</v>
      </c>
      <c r="D27" s="17">
        <f>SUBTOTAL(109,D2:D26)</f>
        <v>689684683.64863455</v>
      </c>
      <c r="E27" s="17">
        <f>SUBTOTAL(109,E2:E26)</f>
        <v>4494982909.1535654</v>
      </c>
      <c r="F27" s="51">
        <f t="shared" si="0"/>
        <v>0.39519703007275409</v>
      </c>
    </row>
    <row r="28" spans="1:6" x14ac:dyDescent="0.3">
      <c r="A28" s="16"/>
      <c r="B28" s="17"/>
      <c r="C28" s="17"/>
      <c r="D28" s="17"/>
      <c r="E28" s="17"/>
      <c r="F28" s="51"/>
    </row>
    <row r="30" spans="1:6" x14ac:dyDescent="0.3">
      <c r="B30" s="50"/>
      <c r="C30" s="50"/>
      <c r="D30" s="50"/>
      <c r="E30" s="50"/>
    </row>
    <row r="31" spans="1:6" ht="14.5" x14ac:dyDescent="0.35">
      <c r="B31" s="53"/>
      <c r="C31" s="50"/>
      <c r="D31" s="50"/>
      <c r="E31" s="50"/>
    </row>
    <row r="32" spans="1:6" x14ac:dyDescent="0.3">
      <c r="B32" s="50"/>
      <c r="C32" s="50"/>
      <c r="D32" s="50"/>
      <c r="E32" s="50"/>
      <c r="F32" s="54"/>
    </row>
    <row r="33" spans="2:5" x14ac:dyDescent="0.3">
      <c r="B33" s="50"/>
      <c r="C33" s="50"/>
      <c r="D33" s="50"/>
      <c r="E33" s="50"/>
    </row>
    <row r="34" spans="2:5" x14ac:dyDescent="0.3">
      <c r="B34" s="50"/>
      <c r="C34" s="50"/>
      <c r="D34" s="50"/>
      <c r="E34" s="50"/>
    </row>
    <row r="36" spans="2:5" x14ac:dyDescent="0.3">
      <c r="D36" s="50"/>
    </row>
    <row r="37" spans="2:5" x14ac:dyDescent="0.3">
      <c r="D37" s="5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462D-0AF9-4F8A-A4F1-230F4ECE6BA5}">
  <sheetPr codeName="Sheet12"/>
  <dimension ref="A1:O161"/>
  <sheetViews>
    <sheetView zoomScale="121" zoomScaleNormal="121" workbookViewId="0">
      <selection activeCell="F76" sqref="F76:F352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150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21095833.333333332</v>
      </c>
      <c r="M3" s="37">
        <f>SUMIF('Tháng 4 nhà T  '!$B$4:$B$154,K3,'Tháng 4 nhà T  '!$E$4:$E$154)</f>
        <v>-119383.73333333246</v>
      </c>
      <c r="N3" s="37">
        <f>SUMIF('Tháng 4 nhà T  '!$B$4:$B$154,K3,'Tháng 4 nhà T  '!$F$4:$F$154)</f>
        <v>-3382916.5532515133</v>
      </c>
      <c r="O3" s="38">
        <f>SUMIF('Tháng 4 nhà T  '!$B$4:$B$154,K3,'Tháng 4 nhà T  '!$G$4:$G$154)</f>
        <v>17712916.78008182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3484212</v>
      </c>
      <c r="F4" s="11">
        <v>1776577.7211359984</v>
      </c>
      <c r="G4" s="12">
        <f>Table5211176815222934374146515891623[[#This Row],[LỢI NHUẬN RÒNG]]+Table5211176815222934374146515891623[[#This Row],[VỐN CP]]</f>
        <v>14976577.721135998</v>
      </c>
      <c r="K4" s="36" t="s">
        <v>87</v>
      </c>
      <c r="L4" s="11">
        <f t="shared" si="0"/>
        <v>81893333.333333328</v>
      </c>
      <c r="M4" s="37">
        <f>SUMIF('Tháng 4 nhà T  '!$B$4:$B$154,K4,'Tháng 4 nhà T  '!$E$4:$E$154)</f>
        <v>21421398.699999999</v>
      </c>
      <c r="N4" s="37">
        <f>SUMIF('Tháng 4 nhà T  '!$B$4:$B$154,K4,'Tháng 4 nhà T  '!$F$4:$F$154)</f>
        <v>6369783.5204717228</v>
      </c>
      <c r="O4" s="38">
        <f>SUMIF('Tháng 4 nhà T  '!$B$4:$B$154,K4,'Tháng 4 nhà T  '!$G$4:$G$154)</f>
        <v>88263116.853805065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3484212</v>
      </c>
      <c r="F5" s="11">
        <v>1776577.7211359984</v>
      </c>
      <c r="G5" s="12">
        <f>Table5211176815222934374146515891623[[#This Row],[LỢI NHUẬN RÒNG]]+Table5211176815222934374146515891623[[#This Row],[VỐN CP]]</f>
        <v>14976577.721135998</v>
      </c>
      <c r="I5" s="11"/>
      <c r="K5" s="36" t="s">
        <v>9</v>
      </c>
      <c r="L5" s="11">
        <f t="shared" si="0"/>
        <v>409764166.66666669</v>
      </c>
      <c r="M5" s="37">
        <f>SUMIF('Tháng 4 nhà T  '!$B$4:$B$154,K5,'Tháng 4 nhà T  '!$E$4:$E$154)</f>
        <v>96161189.399999961</v>
      </c>
      <c r="N5" s="37">
        <f>SUMIF('Tháng 4 nhà T  '!$B$4:$B$154,K5,'Tháng 4 nhà T  '!$F$4:$F$154)</f>
        <v>25740044.099785753</v>
      </c>
      <c r="O5" s="38">
        <f>SUMIF('Tháng 4 nhà T  '!$B$4:$B$154,K5,'Tháng 4 nhà T  '!$G$4:$G$154)</f>
        <v>435504210.76645243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1161404</v>
      </c>
      <c r="F6" s="11">
        <v>592192.57371199946</v>
      </c>
      <c r="G6" s="12">
        <f>Table5211176815222934374146515891623[[#This Row],[LỢI NHUẬN RÒNG]]+Table5211176815222934374146515891623[[#This Row],[VỐN CP]]</f>
        <v>4992192.5737119997</v>
      </c>
      <c r="K6" s="36" t="s">
        <v>88</v>
      </c>
      <c r="L6" s="11">
        <f t="shared" si="0"/>
        <v>9933333.333333334</v>
      </c>
      <c r="M6" s="37">
        <f>SUMIF('Tháng 4 nhà T  '!$B$4:$B$154,K6,'Tháng 4 nhà T  '!$E$4:$E$154)</f>
        <v>973027.06666666642</v>
      </c>
      <c r="N6" s="37">
        <f>SUMIF('Tháng 4 nhà T  '!$B$4:$B$154,K6,'Tháng 4 nhà T  '!$F$4:$F$154)</f>
        <v>-845694.88861402264</v>
      </c>
      <c r="O6" s="38">
        <f>SUMIF('Tháng 4 nhà T  '!$B$4:$B$154,K6,'Tháng 4 nhà T  '!$G$4:$G$154)</f>
        <v>9087638.4447193108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2322808</v>
      </c>
      <c r="F7" s="11">
        <v>1184385.1474239989</v>
      </c>
      <c r="G7" s="12">
        <f>Table5211176815222934374146515891623[[#This Row],[LỢI NHUẬN RÒNG]]+Table5211176815222934374146515891623[[#This Row],[VỐN CP]]</f>
        <v>9984385.1474239994</v>
      </c>
      <c r="K7" s="36" t="s">
        <v>89</v>
      </c>
      <c r="L7" s="11">
        <f t="shared" si="0"/>
        <v>6666666.666666666</v>
      </c>
      <c r="M7" s="37">
        <f>SUMIF('Tháng 4 nhà T  '!$B$4:$B$154,K7,'Tháng 4 nhà T  '!$E$4:$E$154)</f>
        <v>-210129.86666666568</v>
      </c>
      <c r="N7" s="37">
        <f>SUMIF('Tháng 4 nhà T  '!$B$4:$B$154,K7,'Tháng 4 nhà T  '!$F$4:$F$154)</f>
        <v>-847313.74809685349</v>
      </c>
      <c r="O7" s="38">
        <f>SUMIF('Tháng 4 nhà T  '!$B$4:$B$154,K7,'Tháng 4 nhà T  '!$G$4:$G$154)</f>
        <v>5819352.9185698126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1161404</v>
      </c>
      <c r="F8" s="11">
        <v>592192.57371199946</v>
      </c>
      <c r="G8" s="12">
        <f>Table5211176815222934374146515891623[[#This Row],[LỢI NHUẬN RÒNG]]+Table5211176815222934374146515891623[[#This Row],[VỐN CP]]</f>
        <v>4992192.5737119997</v>
      </c>
      <c r="K8" s="36" t="s">
        <v>19</v>
      </c>
      <c r="L8" s="11">
        <f t="shared" si="0"/>
        <v>411960000</v>
      </c>
      <c r="M8" s="37">
        <f>SUMIF('Tháng 4 nhà T  '!$B$4:$B$154,K8,'Tháng 4 nhà T  '!$E$4:$E$154)</f>
        <v>94036061.11666663</v>
      </c>
      <c r="N8" s="37">
        <f>SUMIF('Tháng 4 nhà T  '!$B$4:$B$154,K8,'Tháng 4 nhà T  '!$F$4:$F$154)</f>
        <v>23565769.243271928</v>
      </c>
      <c r="O8" s="38">
        <f>SUMIF('Tháng 4 nhà T  '!$B$4:$B$154,K8,'Tháng 4 nhà T  '!$G$4:$G$154)</f>
        <v>404390712.54951435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-315194.79999999853</v>
      </c>
      <c r="F9" s="11">
        <v>-1270970.6221452802</v>
      </c>
      <c r="G9" s="12">
        <f>Table5211176815222934374146515891623[[#This Row],[LỢI NHUẬN RÒNG]]+Table5211176815222934374146515891623[[#This Row],[VỐN CP]]</f>
        <v>8729029.3778547198</v>
      </c>
      <c r="K9" s="36" t="s">
        <v>21</v>
      </c>
      <c r="L9" s="11">
        <f t="shared" si="0"/>
        <v>68785000</v>
      </c>
      <c r="M9" s="37">
        <f>SUMIF('Tháng 4 nhà T  '!$B$4:$B$154,K9,'Tháng 4 nhà T  '!$E$4:$E$154)</f>
        <v>11867658</v>
      </c>
      <c r="N9" s="37">
        <f>SUMIF('Tháng 4 nhà T  '!$B$4:$B$154,K9,'Tháng 4 nhà T  '!$F$4:$F$154)</f>
        <v>-1050993.5212095852</v>
      </c>
      <c r="O9" s="38">
        <f>SUMIF('Tháng 4 nhà T  '!$B$4:$B$154,K9,'Tháng 4 nhà T  '!$G$4:$G$154)</f>
        <v>67734006.478790417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-210129.86666666568</v>
      </c>
      <c r="F10" s="11">
        <v>-847313.74809685349</v>
      </c>
      <c r="G10" s="12">
        <f>Table5211176815222934374146515891623[[#This Row],[LỢI NHUẬN RÒNG]]+Table5211176815222934374146515891623[[#This Row],[VỐN CP]]</f>
        <v>5819352.9185698126</v>
      </c>
      <c r="K10" s="36" t="s">
        <v>23</v>
      </c>
      <c r="L10" s="11">
        <f t="shared" si="0"/>
        <v>16000000</v>
      </c>
      <c r="M10" s="37">
        <f>SUMIF('Tháng 4 nhà T  '!$B$4:$B$154,K10,'Tháng 4 nhà T  '!$E$4:$E$154)</f>
        <v>5522453.4000000004</v>
      </c>
      <c r="N10" s="37">
        <f>SUMIF('Tháng 4 nhà T  '!$B$4:$B$154,K10,'Tháng 4 nhà T  '!$F$4:$F$154)</f>
        <v>2914837.2435692558</v>
      </c>
      <c r="O10" s="38">
        <f>SUMIF('Tháng 4 nhà T  '!$B$4:$B$154,K10,'Tháng 4 nhà T  '!$G$4:$G$154)</f>
        <v>18914837.243569255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-315194.79999999853</v>
      </c>
      <c r="F11" s="11">
        <v>-1270970.6221452802</v>
      </c>
      <c r="G11" s="12">
        <f>Table5211176815222934374146515891623[[#This Row],[LỢI NHUẬN RÒNG]]+Table5211176815222934374146515891623[[#This Row],[VỐN CP]]</f>
        <v>8729029.3778547198</v>
      </c>
      <c r="J11" s="11"/>
      <c r="K11" s="36" t="s">
        <v>27</v>
      </c>
      <c r="L11" s="11">
        <f t="shared" si="0"/>
        <v>325828333.33333331</v>
      </c>
      <c r="M11" s="37">
        <f>SUMIF('Tháng 4 nhà T  '!$B$4:$B$154,K11,'Tháng 4 nhà T  '!$E$4:$E$154)</f>
        <v>94786143.283333361</v>
      </c>
      <c r="N11" s="37">
        <f>SUMIF('Tháng 4 nhà T  '!$B$4:$B$154,K11,'Tháng 4 nhà T  '!$F$4:$F$154)</f>
        <v>35032308.854044177</v>
      </c>
      <c r="O11" s="38">
        <f>SUMIF(Table5211176815222934374146515891623[CỔ ĐÔNG],K11,Table5211176815222934374146515891623[TỔNG NHẬN])</f>
        <v>360860642.18737751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-210129.86666666568</v>
      </c>
      <c r="F12" s="11">
        <v>-847313.74809685349</v>
      </c>
      <c r="G12" s="12">
        <f>Table5211176815222934374146515891623[[#This Row],[LỢI NHUẬN RÒNG]]+Table5211176815222934374146515891623[[#This Row],[VỐN CP]]</f>
        <v>5819352.9185698126</v>
      </c>
      <c r="K12" s="36" t="s">
        <v>31</v>
      </c>
      <c r="L12" s="11">
        <f t="shared" si="0"/>
        <v>44946666.666666664</v>
      </c>
      <c r="M12" s="37">
        <f>SUMIF('Tháng 4 nhà T  '!$B$4:$B$154,K12,'Tháng 4 nhà T  '!$E$4:$E$154)</f>
        <v>7819236.4333333345</v>
      </c>
      <c r="N12" s="37">
        <f>SUMIF('Tháng 4 nhà T  '!$B$4:$B$154,K12,'Tháng 4 nhà T  '!$F$4:$F$154)</f>
        <v>1484491.0653101271</v>
      </c>
      <c r="O12" s="38">
        <f>SUMIF('Tháng 4 nhà T  '!$B$4:$B$154,K12,'Tháng 4 nhà T  '!$G$4:$G$154)</f>
        <v>46431157.731976792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-210129.86666666568</v>
      </c>
      <c r="F13" s="11">
        <v>-847313.74809685349</v>
      </c>
      <c r="G13" s="12">
        <f>Table5211176815222934374146515891623[[#This Row],[LỢI NHUẬN RÒNG]]+Table5211176815222934374146515891623[[#This Row],[VỐN CP]]</f>
        <v>5819352.9185698126</v>
      </c>
      <c r="K13" s="36" t="s">
        <v>91</v>
      </c>
      <c r="L13" s="11">
        <f t="shared" si="0"/>
        <v>8400000</v>
      </c>
      <c r="M13" s="37">
        <f>SUMIF('Tháng 4 nhà T  '!$B$4:$B$154,K13,'Tháng 4 nhà T  '!$E$4:$E$154)</f>
        <v>2791743</v>
      </c>
      <c r="N13" s="37">
        <f>SUMIF('Tháng 4 nhà T  '!$B$4:$B$154,K13,'Tháng 4 nhà T  '!$F$4:$F$154)</f>
        <v>1284459.6281648681</v>
      </c>
      <c r="O13" s="38">
        <f>SUMIF('Tháng 4 nhà T  '!$B$4:$B$154,K13,'Tháng 4 nhà T  '!$G$4:$G$154)</f>
        <v>9684459.6281648688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-210129.86666666568</v>
      </c>
      <c r="F14" s="11">
        <v>-847313.74809685349</v>
      </c>
      <c r="G14" s="12">
        <f>Table5211176815222934374146515891623[[#This Row],[LỢI NHUẬN RÒNG]]+Table5211176815222934374146515891623[[#This Row],[VỐN CP]]</f>
        <v>5819352.9185698126</v>
      </c>
      <c r="K14" s="36" t="s">
        <v>33</v>
      </c>
      <c r="L14" s="11">
        <f t="shared" si="0"/>
        <v>17560000</v>
      </c>
      <c r="M14" s="37">
        <f>SUMIF('Tháng 4 nhà T  '!$B$4:$B$154,K14,'Tháng 4 nhà T  '!$E$4:$E$154)</f>
        <v>2940709.45</v>
      </c>
      <c r="N14" s="37">
        <f>SUMIF('Tháng 4 nhà T  '!$B$4:$B$154,K14,'Tháng 4 nhà T  '!$F$4:$F$154)</f>
        <v>612527.4900996543</v>
      </c>
      <c r="O14" s="38">
        <f>SUMIF('Tháng 4 nhà T  '!$B$4:$B$154,K14,'Tháng 4 nhà T  '!$G$4:$G$154)</f>
        <v>18172527.490099654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-420259.73333333136</v>
      </c>
      <c r="F15" s="11">
        <v>-1694627.496193707</v>
      </c>
      <c r="G15" s="12">
        <f>Table5211176815222934374146515891623[[#This Row],[LỢI NHUẬN RÒNG]]+Table5211176815222934374146515891623[[#This Row],[VỐN CP]]</f>
        <v>11638705.837139625</v>
      </c>
      <c r="K15" s="25" t="s">
        <v>37</v>
      </c>
      <c r="L15" s="21">
        <f t="shared" si="0"/>
        <v>40833333.333333328</v>
      </c>
      <c r="M15" s="39">
        <f>SUMIF('Tháng 4 nhà T  '!$B$4:$B$154,K15,'Tháng 4 nhà T  '!$E$4:$E$154)</f>
        <v>5674790.3666666681</v>
      </c>
      <c r="N15" s="39">
        <f>SUMIF('Tháng 4 nhà T  '!$B$4:$B$154,K15,'Tháng 4 nhà T  '!$F$4:$F$154)</f>
        <v>-537972.89311396098</v>
      </c>
      <c r="O15" s="40">
        <f>SUMIF('Tháng 4 nhà T  '!$B$4:$B$154,K15,'Tháng 4 nhà T  '!$G$4:$G$154)</f>
        <v>40295360.440219373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1921433.7</v>
      </c>
      <c r="F16" s="11">
        <v>940364.26468465175</v>
      </c>
      <c r="G16" s="12">
        <f>Table5211176815222934374146515891623[[#This Row],[LỢI NHUẬN RÒNG]]+Table5211176815222934374146515891623[[#This Row],[VỐN CP]]</f>
        <v>8890364.264684651</v>
      </c>
      <c r="K16" s="36" t="s">
        <v>25</v>
      </c>
      <c r="L16" s="21">
        <f t="shared" si="0"/>
        <v>2750000</v>
      </c>
      <c r="M16" s="41">
        <f>SUMIF('Tháng 4 nhà T  '!$B$4:$B$154,K16,'Tháng 4 nhà T  '!$E$4:$E$154)</f>
        <v>50949.05</v>
      </c>
      <c r="N16" s="41">
        <f>SUMIF('Tháng 4 nhà T  '!$B$4:$B$154,K16,'Tháng 4 nhà T  '!$F$4:$F$154)</f>
        <v>-483477.24408500793</v>
      </c>
      <c r="O16" s="42">
        <f>SUMIF('Tháng 4 nhà T  '!$B$4:$B$154,K16,'Tháng 4 nhà T  '!$G$4:$G$154)</f>
        <v>2266522.7559149922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1921433.7</v>
      </c>
      <c r="F17" s="11">
        <v>940364.26468465175</v>
      </c>
      <c r="G17" s="12">
        <f>Table5211176815222934374146515891623[[#This Row],[LỢI NHUẬN RÒNG]]+Table5211176815222934374146515891623[[#This Row],[VỐN CP]]</f>
        <v>8890364.264684651</v>
      </c>
      <c r="K17" s="25" t="s">
        <v>47</v>
      </c>
      <c r="L17" s="21">
        <f>SUM(L2:L16)</f>
        <v>1466416666.6666667</v>
      </c>
      <c r="M17" s="21">
        <f>SUM(M2:M16)</f>
        <v>343715845.66666669</v>
      </c>
      <c r="N17" s="21">
        <f>SUM(N2:N16)</f>
        <v>89855852.29634653</v>
      </c>
      <c r="O17" s="21">
        <f>SUM(O2:O16)</f>
        <v>1525137462.2692554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640477.9</v>
      </c>
      <c r="F18" s="11">
        <v>313454.75489488395</v>
      </c>
      <c r="G18" s="12">
        <f>Table5211176815222934374146515891623[[#This Row],[LỢI NHUẬN RÒNG]]+Table5211176815222934374146515891623[[#This Row],[VỐN CP]]</f>
        <v>2963454.7548948838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1280955.8</v>
      </c>
      <c r="F19" s="11">
        <v>626909.50978976791</v>
      </c>
      <c r="G19" s="12">
        <f>Table5211176815222934374146515891623[[#This Row],[LỢI NHUẬN RÒNG]]+Table5211176815222934374146515891623[[#This Row],[VỐN CP]]</f>
        <v>5926909.5097897677</v>
      </c>
    </row>
    <row r="20" spans="1:15" ht="15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640477.9</v>
      </c>
      <c r="F20" s="11">
        <v>313454.75489488395</v>
      </c>
      <c r="G20" s="12">
        <f>Table5211176815222934374146515891623[[#This Row],[LỢI NHUẬN RÒNG]]+Table5211176815222934374146515891623[[#This Row],[VỐN CP]]</f>
        <v>2963454.7548948838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254745.25</v>
      </c>
      <c r="F21" s="11">
        <v>-2417386.2204250395</v>
      </c>
      <c r="G21" s="12">
        <f>Table5211176815222934374146515891623[[#This Row],[LỢI NHUẬN RÒNG]]+Table5211176815222934374146515891623[[#This Row],[VỐN CP]]</f>
        <v>11332613.77957496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254745.25</v>
      </c>
      <c r="F22" s="11">
        <v>-2417386.2204250395</v>
      </c>
      <c r="G22" s="12">
        <f>Table5211176815222934374146515891623[[#This Row],[LỢI NHUẬN RÒNG]]+Table5211176815222934374146515891623[[#This Row],[VỐN CP]]</f>
        <v>11332613.77957496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50949.05</v>
      </c>
      <c r="F23" s="11">
        <v>-483477.24408500793</v>
      </c>
      <c r="G23" s="12">
        <f>Table5211176815222934374146515891623[[#This Row],[LỢI NHUẬN RÒNG]]+Table5211176815222934374146515891623[[#This Row],[VỐN CP]]</f>
        <v>2266522.7559149922</v>
      </c>
    </row>
    <row r="24" spans="1:15" ht="15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50949.05</v>
      </c>
      <c r="F24" s="11">
        <v>-483477.24408500793</v>
      </c>
      <c r="G24" s="12">
        <f>Table5211176815222934374146515891623[[#This Row],[LỢI NHUẬN RÒNG]]+Table5211176815222934374146515891623[[#This Row],[VỐN CP]]</f>
        <v>2266522.7559149922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203796.2</v>
      </c>
      <c r="F25" s="11">
        <v>-1933908.9763400317</v>
      </c>
      <c r="G25" s="12">
        <f>Table5211176815222934374146515891623[[#This Row],[LỢI NHUẬN RÒNG]]+Table5211176815222934374146515891623[[#This Row],[VỐN CP]]</f>
        <v>9066091.0236599687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101898.1</v>
      </c>
      <c r="F26" s="11">
        <v>-966954.48817001586</v>
      </c>
      <c r="G26" s="12">
        <f>Table5211176815222934374146515891623[[#This Row],[LỢI NHUẬN RÒNG]]+Table5211176815222934374146515891623[[#This Row],[VỐN CP]]</f>
        <v>4533045.5118299844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-2478434</v>
      </c>
      <c r="F27" s="11">
        <v>-9281151.0297797769</v>
      </c>
      <c r="G27" s="12">
        <f>Table5211176815222934374146515891623[[#This Row],[LỢI NHUẬN RÒNG]]+Table5211176815222934374146515891623[[#This Row],[VỐN CP]]</f>
        <v>35956348.970220223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-2832496</v>
      </c>
      <c r="F28" s="11">
        <v>-10607029.748319745</v>
      </c>
      <c r="G28" s="12">
        <f>Table5211176815222934374146515891623[[#This Row],[LỢI NHUẬN RÒNG]]+Table5211176815222934374146515891623[[#This Row],[VỐN CP]]</f>
        <v>41092970.251680255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-708124</v>
      </c>
      <c r="F29" s="11">
        <v>-2651757.4370799363</v>
      </c>
      <c r="G29" s="12">
        <f>Table5211176815222934374146515891623[[#This Row],[LỢI NHUẬN RÒNG]]+Table5211176815222934374146515891623[[#This Row],[VỐN CP]]</f>
        <v>10273242.562920064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-708124</v>
      </c>
      <c r="F30" s="11">
        <v>-2651757.4370799363</v>
      </c>
      <c r="G30" s="12">
        <f>Table5211176815222934374146515891623[[#This Row],[LỢI NHUẬN RÒNG]]+Table5211176815222934374146515891623[[#This Row],[VỐN CP]]</f>
        <v>10273242.562920064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1117818.1000000001</v>
      </c>
      <c r="F31" s="11">
        <v>26145.889481825008</v>
      </c>
      <c r="G31" s="12">
        <f>Table5211176815222934374146515891623[[#This Row],[LỢI NHUẬN RÒNG]]+Table5211176815222934374146515891623[[#This Row],[VỐN CP]]</f>
        <v>9126145.8894818258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1117818.1000000001</v>
      </c>
      <c r="F32" s="11">
        <v>26145.889481825008</v>
      </c>
      <c r="G32" s="12">
        <f>Table5211176815222934374146515891623[[#This Row],[LỢI NHUẬN RÒNG]]+Table5211176815222934374146515891623[[#This Row],[VỐN CP]]</f>
        <v>9126145.8894818258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638753.19999999995</v>
      </c>
      <c r="F33" s="11">
        <v>14940.508275328577</v>
      </c>
      <c r="G33" s="12">
        <f>Table5211176815222934374146515891623[[#This Row],[LỢI NHUẬN RÒNG]]+Table5211176815222934374146515891623[[#This Row],[VỐN CP]]</f>
        <v>5214940.5082753282</v>
      </c>
    </row>
    <row r="34" spans="1:7" ht="15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319376.59999999998</v>
      </c>
      <c r="F34" s="11">
        <v>7470.2541376642885</v>
      </c>
      <c r="G34" s="12">
        <f>Table5211176815222934374146515891623[[#This Row],[LỢI NHUẬN RÒNG]]+Table5211176815222934374146515891623[[#This Row],[VỐN CP]]</f>
        <v>2607470.2541376641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2830041.55</v>
      </c>
      <c r="F35" s="11">
        <v>1754568.0236923515</v>
      </c>
      <c r="G35" s="12">
        <f>Table5211176815222934374146515891623[[#This Row],[LỢI NHUẬN RÒNG]]+Table5211176815222934374146515891623[[#This Row],[VỐN CP]]</f>
        <v>10854568.023692351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2830041.55</v>
      </c>
      <c r="F36" s="11">
        <v>1754568.0236923515</v>
      </c>
      <c r="G36" s="12">
        <f>Table5211176815222934374146515891623[[#This Row],[LỢI NHUẬN RÒNG]]+Table5211176815222934374146515891623[[#This Row],[VỐN CP]]</f>
        <v>10854568.023692351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1617166.6</v>
      </c>
      <c r="F37" s="11">
        <v>1002610.2992527724</v>
      </c>
      <c r="G37" s="12">
        <f>Table5211176815222934374146515891623[[#This Row],[LỢI NHUẬN RÒNG]]+Table5211176815222934374146515891623[[#This Row],[VỐN CP]]</f>
        <v>6202610.2992527727</v>
      </c>
    </row>
    <row r="38" spans="1:7" ht="15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808583.3</v>
      </c>
      <c r="F38" s="11">
        <v>501305.14962638618</v>
      </c>
      <c r="G38" s="12">
        <f>Table5211176815222934374146515891623[[#This Row],[LỢI NHUẬN RÒNG]]+Table5211176815222934374146515891623[[#This Row],[VỐN CP]]</f>
        <v>3101305.1496263864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1637052.8</v>
      </c>
      <c r="F39" s="11">
        <v>1050572.6733077362</v>
      </c>
      <c r="G39" s="12">
        <f>Table5211176815222934374146515891623[[#This Row],[LỢI NHUẬN RÒNG]]+Table5211176815222934374146515891623[[#This Row],[VỐN CP]]</f>
        <v>5850572.6733077364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2455579.2000000002</v>
      </c>
      <c r="F40" s="11">
        <v>1575859.0099616044</v>
      </c>
      <c r="G40" s="12">
        <f>Table5211176815222934374146515891623[[#This Row],[LỢI NHUẬN RÒNG]]+Table5211176815222934374146515891623[[#This Row],[VỐN CP]]</f>
        <v>8775859.0099616051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2455579.2000000002</v>
      </c>
      <c r="F41" s="11">
        <v>1575859.0099616044</v>
      </c>
      <c r="G41" s="12">
        <f>Table5211176815222934374146515891623[[#This Row],[LỢI NHUẬN RÒNG]]+Table5211176815222934374146515891623[[#This Row],[VỐN CP]]</f>
        <v>8775859.0099616051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1637052.8</v>
      </c>
      <c r="F42" s="11">
        <v>1050572.6733077362</v>
      </c>
      <c r="G42" s="12">
        <f>Table5211176815222934374146515891623[[#This Row],[LỢI NHUẬN RÒNG]]+Table5211176815222934374146515891623[[#This Row],[VỐN CP]]</f>
        <v>5850572.6733077364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2295670.2000000002</v>
      </c>
      <c r="F43" s="11">
        <v>1486569.9924829095</v>
      </c>
      <c r="G43" s="12">
        <f>Table5211176815222934374146515891623[[#This Row],[LỢI NHUẬN RÒNG]]+Table5211176815222934374146515891623[[#This Row],[VỐN CP]]</f>
        <v>5286569.9924829099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2869587.75</v>
      </c>
      <c r="F44" s="11">
        <v>1858212.4906036372</v>
      </c>
      <c r="G44" s="12">
        <f>Table5211176815222934374146515891623[[#This Row],[LỢI NHUẬN RÒNG]]+Table5211176815222934374146515891623[[#This Row],[VỐN CP]]</f>
        <v>6858212.490603637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2869587.75</v>
      </c>
      <c r="F45" s="11">
        <v>1858212.4906036372</v>
      </c>
      <c r="G45" s="12">
        <f>Table5211176815222934374146515891623[[#This Row],[LỢI NHUẬN RÒNG]]+Table5211176815222934374146515891623[[#This Row],[VỐN CP]]</f>
        <v>6858212.490603637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3443505.3</v>
      </c>
      <c r="F46" s="11">
        <v>2229854.9887243644</v>
      </c>
      <c r="G46" s="12">
        <f>Table5211176815222934374146515891623[[#This Row],[LỢI NHUẬN RÒNG]]+Table5211176815222934374146515891623[[#This Row],[VỐN CP]]</f>
        <v>7929854.988724364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2539497.7999999998</v>
      </c>
      <c r="F47" s="11">
        <v>1282309.2494910776</v>
      </c>
      <c r="G47" s="12">
        <f>Table5211176815222934374146515891623[[#This Row],[LỢI NHUẬN RÒNG]]+Table5211176815222934374146515891623[[#This Row],[VỐN CP]]</f>
        <v>6682309.2494910778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3809246.7</v>
      </c>
      <c r="F48" s="11">
        <v>1923463.8742366165</v>
      </c>
      <c r="G48" s="12">
        <f>Table5211176815222934374146515891623[[#This Row],[LỢI NHUẬN RÒNG]]+Table5211176815222934374146515891623[[#This Row],[VỐN CP]]</f>
        <v>10023463.874236617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3809246.7</v>
      </c>
      <c r="F49" s="11">
        <v>1923463.8742366165</v>
      </c>
      <c r="G49" s="12">
        <f>Table5211176815222934374146515891623[[#This Row],[LỢI NHUẬN RÒNG]]+Table5211176815222934374146515891623[[#This Row],[VỐN CP]]</f>
        <v>10023463.874236617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2539497.7999999998</v>
      </c>
      <c r="F50" s="11">
        <v>1282309.2494910776</v>
      </c>
      <c r="G50" s="12">
        <f>Table5211176815222934374146515891623[[#This Row],[LỢI NHUẬN RÒNG]]+Table5211176815222934374146515891623[[#This Row],[VỐN CP]]</f>
        <v>6682309.2494910778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1914027.4</v>
      </c>
      <c r="F51" s="11">
        <v>76257.951161682606</v>
      </c>
      <c r="G51" s="12">
        <f>Table5211176815222934374146515891623[[#This Row],[LỢI NHUẬN RÒNG]]+Table5211176815222934374146515891623[[#This Row],[VỐN CP]]</f>
        <v>6676257.9511616826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2871041.1</v>
      </c>
      <c r="F52" s="11">
        <v>114386.92674252391</v>
      </c>
      <c r="G52" s="12">
        <f>Table5211176815222934374146515891623[[#This Row],[LỢI NHUẬN RÒNG]]+Table5211176815222934374146515891623[[#This Row],[VỐN CP]]</f>
        <v>10014386.926742524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2871041.1</v>
      </c>
      <c r="F53" s="11">
        <v>114386.92674252391</v>
      </c>
      <c r="G53" s="12">
        <f>Table5211176815222934374146515891623[[#This Row],[LỢI NHUẬN RÒNG]]+Table5211176815222934374146515891623[[#This Row],[VỐN CP]]</f>
        <v>10014386.926742524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1914027.4</v>
      </c>
      <c r="F54" s="11">
        <v>76257.951161682606</v>
      </c>
      <c r="G54" s="12">
        <f>Table5211176815222934374146515891623[[#This Row],[LỢI NHUẬN RÒNG]]+Table5211176815222934374146515891623[[#This Row],[VỐN CP]]</f>
        <v>6676257.9511616826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4825520.7</v>
      </c>
      <c r="F55" s="11">
        <v>2247939.6213619797</v>
      </c>
      <c r="G55" s="12">
        <f>Table5211176815222934374146515891623[[#This Row],[LỢI NHUẬN RÒNG]]+Table5211176815222934374146515891623[[#This Row],[VỐN CP]]</f>
        <v>16497939.62136198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4021267.25</v>
      </c>
      <c r="F56" s="11">
        <v>1873283.0178016499</v>
      </c>
      <c r="G56" s="12">
        <f>Table5211176815222934374146515891623[[#This Row],[LỢI NHUẬN RÒNG]]+Table5211176815222934374146515891623[[#This Row],[VỐN CP]]</f>
        <v>13748283.01780165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4021267.25</v>
      </c>
      <c r="F57" s="11">
        <v>1873283.0178016499</v>
      </c>
      <c r="G57" s="12">
        <f>Table5211176815222934374146515891623[[#This Row],[LỢI NHUẬN RÒNG]]+Table5211176815222934374146515891623[[#This Row],[VỐN CP]]</f>
        <v>13748283.01780165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3217013.8</v>
      </c>
      <c r="F58" s="11">
        <v>1498626.41424132</v>
      </c>
      <c r="G58" s="12">
        <f>Table5211176815222934374146515891623[[#This Row],[LỢI NHUẬN RÒNG]]+Table5211176815222934374146515891623[[#This Row],[VỐN CP]]</f>
        <v>10998626.41424132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4374386.4000000004</v>
      </c>
      <c r="F59" s="11">
        <v>2002318.3977264047</v>
      </c>
      <c r="G59" s="12">
        <f>Table5211176815222934374146515891623[[#This Row],[LỢI NHUẬN RÒNG]]+Table5211176815222934374146515891623[[#This Row],[VỐN CP]]</f>
        <v>21952318.397726405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3645322</v>
      </c>
      <c r="F60" s="11">
        <v>1668598.6647720039</v>
      </c>
      <c r="G60" s="12">
        <f>Table5211176815222934374146515891623[[#This Row],[LỢI NHUẬN RÒNG]]+Table5211176815222934374146515891623[[#This Row],[VỐN CP]]</f>
        <v>18293598.664772004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3645322</v>
      </c>
      <c r="F61" s="11">
        <v>1668598.6647720039</v>
      </c>
      <c r="G61" s="12">
        <f>Table5211176815222934374146515891623[[#This Row],[LỢI NHUẬN RÒNG]]+Table5211176815222934374146515891623[[#This Row],[VỐN CP]]</f>
        <v>18293598.664772004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2916257.6</v>
      </c>
      <c r="F62" s="11">
        <v>1334878.9318176031</v>
      </c>
      <c r="G62" s="12">
        <f>Table5211176815222934374146515891623[[#This Row],[LỢI NHUẬN RÒNG]]+Table5211176815222934374146515891623[[#This Row],[VỐN CP]]</f>
        <v>14634878.931817602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1854997</v>
      </c>
      <c r="F63" s="11">
        <v>38473.383144533262</v>
      </c>
      <c r="G63" s="12">
        <f>Table5211176815222934374146515891623[[#This Row],[LỢI NHUẬN RÒNG]]+Table5211176815222934374146515891623[[#This Row],[VỐN CP]]</f>
        <v>7538473.3831445333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1854997</v>
      </c>
      <c r="F64" s="11">
        <v>38473.383144533262</v>
      </c>
      <c r="G64" s="12">
        <f>Table5211176815222934374146515891623[[#This Row],[LỢI NHUẬN RÒNG]]+Table5211176815222934374146515891623[[#This Row],[VỐN CP]]</f>
        <v>7538473.3831445333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3709994</v>
      </c>
      <c r="F65" s="11">
        <v>76946.766289066523</v>
      </c>
      <c r="G65" s="12">
        <f>Table5211176815222934374146515891623[[#This Row],[LỢI NHUẬN RÒNG]]+Table5211176815222934374146515891623[[#This Row],[VỐN CP]]</f>
        <v>15076946.766289067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6275665</v>
      </c>
      <c r="F66" s="11">
        <v>2975304.0070322268</v>
      </c>
      <c r="G66" s="12">
        <f>Table5211176815222934374146515891623[[#This Row],[LỢI NHUẬN RÒNG]]+Table5211176815222934374146515891623[[#This Row],[VỐN CP]]</f>
        <v>12975304.007032227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6275665</v>
      </c>
      <c r="F67" s="11">
        <v>2975304.0070322268</v>
      </c>
      <c r="G67" s="12">
        <f>Table5211176815222934374146515891623[[#This Row],[LỢI NHUẬN RÒNG]]+Table5211176815222934374146515891623[[#This Row],[VỐN CP]]</f>
        <v>12975304.007032227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12551330</v>
      </c>
      <c r="F68" s="11">
        <v>5950608.0140644535</v>
      </c>
      <c r="G68" s="12">
        <f>Table5211176815222934374146515891623[[#This Row],[LỢI NHUẬN RÒNG]]+Table5211176815222934374146515891623[[#This Row],[VỐN CP]]</f>
        <v>25950608.014064454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3210078.55</v>
      </c>
      <c r="F69" s="11">
        <v>817376.52565899526</v>
      </c>
      <c r="G69" s="12">
        <f>Table5211176815222934374146515891623[[#This Row],[LỢI NHUẬN RÒNG]]+Table5211176815222934374146515891623[[#This Row],[VỐN CP]]</f>
        <v>11667376.525658995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3210078.55</v>
      </c>
      <c r="F70" s="11">
        <v>817376.52565899526</v>
      </c>
      <c r="G70" s="12">
        <f>Table5211176815222934374146515891623[[#This Row],[LỢI NHUẬN RÒNG]]+Table5211176815222934374146515891623[[#This Row],[VỐN CP]]</f>
        <v>11667376.525658995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1834330.6</v>
      </c>
      <c r="F71" s="11">
        <v>467072.30037656875</v>
      </c>
      <c r="G71" s="12">
        <f>Table5211176815222934374146515891623[[#This Row],[LỢI NHUẬN RÒNG]]+Table5211176815222934374146515891623[[#This Row],[VỐN CP]]</f>
        <v>6667072.3003765689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917165.3</v>
      </c>
      <c r="F72" s="11">
        <v>233536.15018828437</v>
      </c>
      <c r="G72" s="12">
        <f>Table5211176815222934374146515891623[[#This Row],[LỢI NHUẬN RÒNG]]+Table5211176815222934374146515891623[[#This Row],[VỐN CP]]</f>
        <v>3333536.1501882845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2481207.2000000002</v>
      </c>
      <c r="F73" s="11">
        <v>884350.51067813637</v>
      </c>
      <c r="G73" s="12">
        <f>Table5211176815222934374146515891623[[#This Row],[LỢI NHUẬN RÒNG]]+Table5211176815222934374146515891623[[#This Row],[VỐN CP]]</f>
        <v>5684350.5106781367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2481207.2000000002</v>
      </c>
      <c r="F74" s="11">
        <v>884350.51067813637</v>
      </c>
      <c r="G74" s="12">
        <f>Table5211176815222934374146515891623[[#This Row],[LỢI NHUẬN RÒNG]]+Table5211176815222934374146515891623[[#This Row],[VỐN CP]]</f>
        <v>5684350.5106781367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6203018</v>
      </c>
      <c r="F75" s="11">
        <v>2210876.2766953409</v>
      </c>
      <c r="G75" s="12">
        <f>Table5211176815222934374146515891623[[#This Row],[LỢI NHUẬN RÒNG]]+Table5211176815222934374146515891623[[#This Row],[VỐN CP]]</f>
        <v>14210876.276695341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1240603.6000000001</v>
      </c>
      <c r="F76" s="11">
        <v>442175.25533906819</v>
      </c>
      <c r="G76" s="12">
        <f>Table5211176815222934374146515891623[[#This Row],[LỢI NHUẬN RÒNG]]+Table5211176815222934374146515891623[[#This Row],[VỐN CP]]</f>
        <v>2842175.2553390684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3102278.8</v>
      </c>
      <c r="F77" s="11">
        <v>1684568.7456515997</v>
      </c>
      <c r="G77" s="12">
        <f>Table5211176815222934374146515891623[[#This Row],[LỢI NHUẬN RÒNG]]+Table5211176815222934374146515891623[[#This Row],[VỐN CP]]</f>
        <v>13684568.745651599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3102278.8</v>
      </c>
      <c r="F78" s="11">
        <v>1684568.7456515997</v>
      </c>
      <c r="G78" s="12">
        <f>Table5211176815222934374146515891623[[#This Row],[LỢI NHUẬN RÒNG]]+Table5211176815222934374146515891623[[#This Row],[VỐN CP]]</f>
        <v>13684568.745651599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7755697</v>
      </c>
      <c r="F79" s="11">
        <v>4211421.8641289994</v>
      </c>
      <c r="G79" s="12">
        <f>Table5211176815222934374146515891623[[#This Row],[LỢI NHUẬN RÒNG]]+Table5211176815222934374146515891623[[#This Row],[VỐN CP]]</f>
        <v>34211421.864128999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1551139.4</v>
      </c>
      <c r="F80" s="11">
        <v>842284.37282579986</v>
      </c>
      <c r="G80" s="12">
        <f>Table5211176815222934374146515891623[[#This Row],[LỢI NHUẬN RÒNG]]+Table5211176815222934374146515891623[[#This Row],[VỐN CP]]</f>
        <v>6842284.3728257995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3027156.3</v>
      </c>
      <c r="F81" s="11">
        <v>1863403.1881670535</v>
      </c>
      <c r="G81" s="12">
        <f>Table5211176815222934374146515891623[[#This Row],[LỢI NHUẬN RÒNG]]+Table5211176815222934374146515891623[[#This Row],[VỐN CP]]</f>
        <v>10053403.188167054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3027156.3</v>
      </c>
      <c r="F82" s="11">
        <v>1863403.1881670535</v>
      </c>
      <c r="G82" s="12">
        <f>Table5211176815222934374146515891623[[#This Row],[LỢI NHUẬN RÒNG]]+Table5211176815222934374146515891623[[#This Row],[VỐN CP]]</f>
        <v>10053403.188167054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2594705.4</v>
      </c>
      <c r="F83" s="11">
        <v>1597202.7327146172</v>
      </c>
      <c r="G83" s="12">
        <f>Table5211176815222934374146515891623[[#This Row],[LỢI NHUẬN RÒNG]]+Table5211176815222934374146515891623[[#This Row],[VỐN CP]]</f>
        <v>8617202.7327146176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3762525</v>
      </c>
      <c r="F84" s="11">
        <v>2579625.0837830566</v>
      </c>
      <c r="G84" s="12">
        <f>Table5211176815222934374146515891623[[#This Row],[LỢI NHUẬN RÒNG]]+Table5211176815222934374146515891623[[#This Row],[VỐN CP]]</f>
        <v>10079625.083783057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3762525</v>
      </c>
      <c r="F85" s="11">
        <v>2579625.0837830566</v>
      </c>
      <c r="G85" s="12">
        <f>Table5211176815222934374146515891623[[#This Row],[LỢI NHUẬN RÒNG]]+Table5211176815222934374146515891623[[#This Row],[VỐN CP]]</f>
        <v>10079625.083783057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1881262.5</v>
      </c>
      <c r="F86" s="11">
        <v>1289812.5418915283</v>
      </c>
      <c r="G86" s="12">
        <f>Table5211176815222934374146515891623[[#This Row],[LỢI NHUẬN RÒNG]]+Table5211176815222934374146515891623[[#This Row],[VỐN CP]]</f>
        <v>5039812.5418915283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3135437.5</v>
      </c>
      <c r="F87" s="11">
        <v>2149687.5698192138</v>
      </c>
      <c r="G87" s="12">
        <f>Table5211176815222934374146515891623[[#This Row],[LỢI NHUẬN RÒNG]]+Table5211176815222934374146515891623[[#This Row],[VỐN CP]]</f>
        <v>8399687.5698192138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33000000</v>
      </c>
      <c r="E88" s="11">
        <v>11655127.800000001</v>
      </c>
      <c r="F88" s="11">
        <v>4362068.0325091127</v>
      </c>
      <c r="G88" s="12">
        <f>Table5211176815222934374146515891623[[#This Row],[LỢI NHUẬN RÒNG]]+Table5211176815222934374146515891623[[#This Row],[VỐN CP]]</f>
        <v>37362068.032509111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27500000</v>
      </c>
      <c r="E89" s="11">
        <v>9712606.5</v>
      </c>
      <c r="F89" s="11">
        <v>3635056.6937575936</v>
      </c>
      <c r="G89" s="12"/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16500000</v>
      </c>
      <c r="E90" s="11">
        <v>5827563.9000000004</v>
      </c>
      <c r="F90" s="11">
        <v>2181034.0162545564</v>
      </c>
      <c r="G90" s="12">
        <f>Table5211176815222934374146515891623[[#This Row],[LỢI NHUẬN RÒNG]]+Table5211176815222934374146515891623[[#This Row],[VỐN CP]]</f>
        <v>18681034.016254555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22000000</v>
      </c>
      <c r="E91" s="11">
        <v>7770085.2000000002</v>
      </c>
      <c r="F91" s="11">
        <v>2908045.355006075</v>
      </c>
      <c r="G91" s="12">
        <f>Table5211176815222934374146515891623[[#This Row],[LỢI NHUẬN RÒNG]]+Table5211176815222934374146515891623[[#This Row],[VỐN CP]]</f>
        <v>24908045.355006076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11000000</v>
      </c>
      <c r="E92" s="11">
        <v>3885042.6</v>
      </c>
      <c r="F92" s="11">
        <v>1454022.6775030375</v>
      </c>
      <c r="G92" s="12">
        <f>Table5211176815222934374146515891623[[#This Row],[LỢI NHUẬN RÒNG]]+Table5211176815222934374146515891623[[#This Row],[VỐN CP]]</f>
        <v>12454022.677503038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5839912.5</v>
      </c>
      <c r="F93" s="11">
        <v>2689433.8087724485</v>
      </c>
      <c r="G93" s="12">
        <f>Table5211176815222934374146515891623[[#This Row],[LỢI NHUẬN RÒNG]]+Table5211176815222934374146515891623[[#This Row],[VỐN CP]]</f>
        <v>15189433.808772448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5839912.5</v>
      </c>
      <c r="F94" s="11">
        <v>2689433.8087724485</v>
      </c>
      <c r="G94" s="12">
        <f>Table5211176815222934374146515891623[[#This Row],[LỢI NHUẬN RÒNG]]+Table5211176815222934374146515891623[[#This Row],[VỐN CP]]</f>
        <v>15189433.808772448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2335965</v>
      </c>
      <c r="F95" s="11">
        <v>1075773.5235089795</v>
      </c>
      <c r="G95" s="12">
        <f>Table5211176815222934374146515891623[[#This Row],[LỢI NHUẬN RÒNG]]+Table5211176815222934374146515891623[[#This Row],[VỐN CP]]</f>
        <v>6075773.523508979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9343860</v>
      </c>
      <c r="F96" s="11">
        <v>4303094.0940359179</v>
      </c>
      <c r="G96" s="12">
        <f>Table5211176815222934374146515891623[[#This Row],[LỢI NHUẬN RÒNG]]+Table5211176815222934374146515891623[[#This Row],[VỐN CP]]</f>
        <v>24303094.094035916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12500000</v>
      </c>
      <c r="E97" s="11">
        <v>718017.5</v>
      </c>
      <c r="F97" s="11">
        <v>-900389.22931167856</v>
      </c>
      <c r="G97" s="12">
        <f>Table5211176815222934374146515891623[[#This Row],[LỢI NHUẬN RÒNG]]+Table5211176815222934374146515891623[[#This Row],[VỐN CP]]</f>
        <v>11599610.770688321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5000000</v>
      </c>
      <c r="E98" s="11">
        <v>287207</v>
      </c>
      <c r="F98" s="11">
        <v>-360155.6917246714</v>
      </c>
      <c r="G98" s="12">
        <f>Table5211176815222934374146515891623[[#This Row],[LỢI NHUẬN RÒNG]]+Table5211176815222934374146515891623[[#This Row],[VỐN CP]]</f>
        <v>4639844.3082753289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12500000</v>
      </c>
      <c r="E99" s="11">
        <v>718017.5</v>
      </c>
      <c r="F99" s="11">
        <v>-900389.22931167856</v>
      </c>
      <c r="G99" s="12">
        <f>Table5211176815222934374146515891623[[#This Row],[LỢI NHUẬN RÒNG]]+Table5211176815222934374146515891623[[#This Row],[VỐN CP]]</f>
        <v>11599610.770688321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10000000</v>
      </c>
      <c r="E100" s="11">
        <v>574414</v>
      </c>
      <c r="F100" s="11">
        <v>-720311.3834493428</v>
      </c>
      <c r="G100" s="12">
        <f>Table5211176815222934374146515891623[[#This Row],[LỢI NHUẬN RÒNG]]+Table5211176815222934374146515891623[[#This Row],[VỐN CP]]</f>
        <v>9279688.6165506579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10000000</v>
      </c>
      <c r="E101" s="11">
        <v>574414</v>
      </c>
      <c r="F101" s="11">
        <v>-720311.3834493428</v>
      </c>
      <c r="G101" s="12">
        <f>Table5211176815222934374146515891623[[#This Row],[LỢI NHUẬN RÒNG]]+Table5211176815222934374146515891623[[#This Row],[VỐN CP]]</f>
        <v>9279688.6165506579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2803306.5</v>
      </c>
      <c r="F102" s="11">
        <v>684436.43881431967</v>
      </c>
      <c r="G102" s="12">
        <f>Table5211176815222934374146515891623[[#This Row],[LỢI NHUẬN RÒNG]]+Table5211176815222934374146515891623[[#This Row],[VỐN CP]]</f>
        <v>18084436.43881432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2803306.5</v>
      </c>
      <c r="F103" s="11">
        <v>684436.43881431967</v>
      </c>
      <c r="G103" s="12">
        <f>Table5211176815222934374146515891623[[#This Row],[LỢI NHUẬN RÒNG]]+Table5211176815222934374146515891623[[#This Row],[VỐN CP]]</f>
        <v>18084436.43881432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2242645.2000000002</v>
      </c>
      <c r="F104" s="11">
        <v>547549.15105145576</v>
      </c>
      <c r="G104" s="12">
        <f>Table5211176815222934374146515891623[[#This Row],[LỢI NHUẬN RÒNG]]+Table5211176815222934374146515891623[[#This Row],[VỐN CP]]</f>
        <v>14467549.151051456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2242645.2000000002</v>
      </c>
      <c r="F105" s="11">
        <v>547549.15105145576</v>
      </c>
      <c r="G105" s="12">
        <f>Table5211176815222934374146515891623[[#This Row],[LỢI NHUẬN RÒNG]]+Table5211176815222934374146515891623[[#This Row],[VỐN CP]]</f>
        <v>14467549.151051456</v>
      </c>
    </row>
    <row r="106" spans="1:7" ht="15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1121322.6000000001</v>
      </c>
      <c r="F106" s="11">
        <v>273774.57552572788</v>
      </c>
      <c r="G106" s="12">
        <f>Table5211176815222934374146515891623[[#This Row],[LỢI NHUẬN RÒNG]]+Table5211176815222934374146515891623[[#This Row],[VỐN CP]]</f>
        <v>7233774.5755257281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9603169.4499999993</v>
      </c>
      <c r="F107" s="11">
        <v>6067231.4265328357</v>
      </c>
      <c r="G107" s="12">
        <f>Table5211176815222934374146515891623[[#This Row],[LỢI NHUẬN RÒNG]]+Table5211176815222934374146515891623[[#This Row],[VỐN CP]]</f>
        <v>34067231.426532835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9603169.4499999993</v>
      </c>
      <c r="F108" s="11">
        <v>6067231.4265328357</v>
      </c>
      <c r="G108" s="12">
        <f>Table5211176815222934374146515891623[[#This Row],[LỢI NHUẬN RÒNG]]+Table5211176815222934374146515891623[[#This Row],[VỐN CP]]</f>
        <v>34067231.426532835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5487525.4000000004</v>
      </c>
      <c r="F109" s="11">
        <v>3466989.3865901916</v>
      </c>
      <c r="G109" s="12">
        <f>Table5211176815222934374146515891623[[#This Row],[LỢI NHUẬN RÒNG]]+Table5211176815222934374146515891623[[#This Row],[VỐN CP]]</f>
        <v>19466989.38659019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2743762.7</v>
      </c>
      <c r="F110" s="11">
        <v>1733494.6932950958</v>
      </c>
      <c r="G110" s="12">
        <f>Table5211176815222934374146515891623[[#This Row],[LỢI NHUẬN RÒNG]]+Table5211176815222934374146515891623[[#This Row],[VỐN CP]]</f>
        <v>9733494.6932950951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1920930</v>
      </c>
      <c r="F111" s="11">
        <v>1237156.4819587748</v>
      </c>
      <c r="G111" s="12">
        <f>Table5211176815222934374146515891623[[#This Row],[LỢI NHUẬN RÒNG]]+Table5211176815222934374146515891623[[#This Row],[VỐN CP]]</f>
        <v>6637156.4819587748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1920930</v>
      </c>
      <c r="F112" s="11">
        <v>1237156.4819587748</v>
      </c>
      <c r="G112" s="12">
        <f>Table5211176815222934374146515891623[[#This Row],[LỢI NHUẬN RÒNG]]+Table5211176815222934374146515891623[[#This Row],[VỐN CP]]</f>
        <v>6637156.4819587748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1280620</v>
      </c>
      <c r="F113" s="11">
        <v>824770.98797251657</v>
      </c>
      <c r="G113" s="12">
        <f>Table5211176815222934374146515891623[[#This Row],[LỢI NHUẬN RÒNG]]+Table5211176815222934374146515891623[[#This Row],[VỐN CP]]</f>
        <v>4424770.9879725166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1280620</v>
      </c>
      <c r="F114" s="11">
        <v>824770.98797251657</v>
      </c>
      <c r="G114" s="12">
        <f>Table5211176815222934374146515891623[[#This Row],[LỢI NHUẬN RÒNG]]+Table5211176815222934374146515891623[[#This Row],[VỐN CP]]</f>
        <v>4424770.9879725166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2858802.6</v>
      </c>
      <c r="F115" s="11">
        <v>1521439.0981316394</v>
      </c>
      <c r="G115" s="12">
        <f>Table5211176815222934374146515891623[[#This Row],[LỢI NHUẬN RÒNG]]+Table5211176815222934374146515891623[[#This Row],[VỐN CP]]</f>
        <v>12621439.09813164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2858802.6</v>
      </c>
      <c r="F116" s="11">
        <v>1521439.0981316394</v>
      </c>
      <c r="G116" s="12">
        <f>Table5211176815222934374146515891623[[#This Row],[LỢI NHUẬN RÒNG]]+Table5211176815222934374146515891623[[#This Row],[VỐN CP]]</f>
        <v>12621439.09813164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1905868.4</v>
      </c>
      <c r="F117" s="11">
        <v>1014292.7320877597</v>
      </c>
      <c r="G117" s="12">
        <f>Table5211176815222934374146515891623[[#This Row],[LỢI NHUẬN RÒNG]]+Table5211176815222934374146515891623[[#This Row],[VỐN CP]]</f>
        <v>8414292.7320877593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1905868.4</v>
      </c>
      <c r="F118" s="11">
        <v>1014292.7320877597</v>
      </c>
      <c r="G118" s="12">
        <f>Table5211176815222934374146515891623[[#This Row],[LỢI NHUẬN RÒNG]]+Table5211176815222934374146515891623[[#This Row],[VỐN CP]]</f>
        <v>8414292.7320877593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2054692.25</v>
      </c>
      <c r="F119" s="11">
        <v>873977.67800111324</v>
      </c>
      <c r="G119" s="12">
        <f>Table5211176815222934374146515891623[[#This Row],[LỢI NHUẬN RÒNG]]+Table5211176815222934374146515891623[[#This Row],[VỐN CP]]</f>
        <v>5873977.6780011132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2054692.25</v>
      </c>
      <c r="F120" s="11">
        <v>873977.67800111324</v>
      </c>
      <c r="G120" s="12">
        <f>Table5211176815222934374146515891623[[#This Row],[LỢI NHUẬN RÒNG]]+Table5211176815222934374146515891623[[#This Row],[VỐN CP]]</f>
        <v>5873977.6780011132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2465630.7000000002</v>
      </c>
      <c r="F121" s="11">
        <v>1048773.2136013359</v>
      </c>
      <c r="G121" s="12">
        <f>Table5211176815222934374146515891623[[#This Row],[LỢI NHUẬN RÒNG]]+Table5211176815222934374146515891623[[#This Row],[VỐN CP]]</f>
        <v>7048773.2136013359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821876.9</v>
      </c>
      <c r="F122" s="11">
        <v>349591.07120044529</v>
      </c>
      <c r="G122" s="12">
        <f>Table5211176815222934374146515891623[[#This Row],[LỢI NHUẬN RÒNG]]+Table5211176815222934374146515891623[[#This Row],[VỐN CP]]</f>
        <v>2349591.0712004453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821876.9</v>
      </c>
      <c r="F123" s="11">
        <v>349591.07120044529</v>
      </c>
      <c r="G123" s="12">
        <f>Table5211176815222934374146515891623[[#This Row],[LỢI NHUẬN RÒNG]]+Table5211176815222934374146515891623[[#This Row],[VỐN CP]]</f>
        <v>2349591.0712004453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1293736.5</v>
      </c>
      <c r="F124" s="11">
        <v>287980.09999524168</v>
      </c>
      <c r="G124" s="12">
        <f>Table5211176815222934374146515891623[[#This Row],[LỢI NHUẬN RÒNG]]+Table5211176815222934374146515891623[[#This Row],[VỐN CP]]</f>
        <v>5327980.0999952415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1293736.5</v>
      </c>
      <c r="F125" s="11">
        <v>287980.09999524168</v>
      </c>
      <c r="G125" s="12">
        <f>Table5211176815222934374146515891623[[#This Row],[LỢI NHUẬN RÒNG]]+Table5211176815222934374146515891623[[#This Row],[VỐN CP]]</f>
        <v>5327980.0999952415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862491</v>
      </c>
      <c r="F126" s="11">
        <v>191986.73333016114</v>
      </c>
      <c r="G126" s="12">
        <f>Table5211176815222934374146515891623[[#This Row],[LỢI NHUẬN RÒNG]]+Table5211176815222934374146515891623[[#This Row],[VỐN CP]]</f>
        <v>3551986.7333301613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862491</v>
      </c>
      <c r="F127" s="11">
        <v>191986.73333016114</v>
      </c>
      <c r="G127" s="12">
        <f>Table5211176815222934374146515891623[[#This Row],[LỢI NHUẬN RÒNG]]+Table5211176815222934374146515891623[[#This Row],[VỐN CP]]</f>
        <v>3551986.7333301613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2848008.1</v>
      </c>
      <c r="F128" s="11">
        <v>256732.83238962106</v>
      </c>
      <c r="G128" s="12">
        <f>Table5211176815222934374146515891623[[#This Row],[LỢI NHUẬN RÒNG]]+Table5211176815222934374146515891623[[#This Row],[VỐN CP]]</f>
        <v>16006732.832389621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2848008.1</v>
      </c>
      <c r="F129" s="11">
        <v>256732.83238962106</v>
      </c>
      <c r="G129" s="12">
        <f>Table5211176815222934374146515891623[[#This Row],[LỢI NHUẬN RÒNG]]+Table5211176815222934374146515891623[[#This Row],[VỐN CP]]</f>
        <v>16006732.832389621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1627433.2</v>
      </c>
      <c r="F130" s="11">
        <v>146704.47565121204</v>
      </c>
      <c r="G130" s="12">
        <f>Table5211176815222934374146515891623[[#This Row],[LỢI NHUẬN RÒNG]]+Table5211176815222934374146515891623[[#This Row],[VỐN CP]]</f>
        <v>9146704.475651212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813716.6</v>
      </c>
      <c r="F131" s="11">
        <v>73352.237825606018</v>
      </c>
      <c r="G131" s="12">
        <f>Table5211176815222934374146515891623[[#This Row],[LỢI NHUẬN RÒNG]]+Table5211176815222934374146515891623[[#This Row],[VỐN CP]]</f>
        <v>4573352.237825606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2466666.666666667</v>
      </c>
      <c r="E132" s="11">
        <v>342910.03333333321</v>
      </c>
      <c r="F132" s="11">
        <v>-242769.59844467565</v>
      </c>
      <c r="G132" s="12">
        <f>Table5211176815222934374146515891623[[#This Row],[LỢI NHUẬN RÒNG]]+Table5211176815222934374146515891623[[#This Row],[VỐN CP]]</f>
        <v>2223897.0682219914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3700000.0000000005</v>
      </c>
      <c r="E133" s="11">
        <v>514365.04999999987</v>
      </c>
      <c r="F133" s="11">
        <v>-364154.39766701346</v>
      </c>
      <c r="G133" s="12">
        <f>Table5211176815222934374146515891623[[#This Row],[LỢI NHUẬN RÒNG]]+Table5211176815222934374146515891623[[#This Row],[VỐN CP]]</f>
        <v>3335845.6023329869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4933333.333333334</v>
      </c>
      <c r="E134" s="11">
        <v>685820.06666666642</v>
      </c>
      <c r="F134" s="11">
        <v>-485539.1968893513</v>
      </c>
      <c r="G134" s="12">
        <f>Table5211176815222934374146515891623[[#This Row],[LỢI NHUẬN RÒNG]]+Table5211176815222934374146515891623[[#This Row],[VỐN CP]]</f>
        <v>4447794.1364439828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4933333.333333334</v>
      </c>
      <c r="E135" s="11">
        <v>685820.06666666642</v>
      </c>
      <c r="F135" s="11">
        <v>-485539.1968893513</v>
      </c>
      <c r="G135" s="12">
        <f>Table5211176815222934374146515891623[[#This Row],[LỢI NHUẬN RÒNG]]+Table5211176815222934374146515891623[[#This Row],[VỐN CP]]</f>
        <v>4447794.1364439828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4933333.333333334</v>
      </c>
      <c r="E136" s="11">
        <v>685820.06666666642</v>
      </c>
      <c r="F136" s="11">
        <v>-485539.1968893513</v>
      </c>
      <c r="G136" s="12">
        <f>Table5211176815222934374146515891623[[#This Row],[LỢI NHUẬN RÒNG]]+Table5211176815222934374146515891623[[#This Row],[VỐN CP]]</f>
        <v>4447794.1364439828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3700000.0000000005</v>
      </c>
      <c r="E137" s="11">
        <v>514365.04999999987</v>
      </c>
      <c r="F137" s="11">
        <v>-364154.39766701346</v>
      </c>
      <c r="G137" s="12">
        <f>Table5211176815222934374146515891623[[#This Row],[LỢI NHUẬN RÒNG]]+Table5211176815222934374146515891623[[#This Row],[VỐN CP]]</f>
        <v>3335845.6023329869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-210129.86666666568</v>
      </c>
      <c r="F138" s="11">
        <v>-847313.74809685349</v>
      </c>
      <c r="G138" s="12">
        <f>Table5211176815222934374146515891623[[#This Row],[LỢI NHUẬN RÒNG]]+Table5211176815222934374146515891623[[#This Row],[VỐN CP]]</f>
        <v>5819352.9185698126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101898.1</v>
      </c>
      <c r="F139" s="11">
        <v>-966954.48817001586</v>
      </c>
      <c r="G139" s="12">
        <f>Table5211176815222934374146515891623[[#This Row],[LỢI NHUẬN RÒNG]]+Table5211176815222934374146515891623[[#This Row],[VỐN CP]]</f>
        <v>4533045.5118299844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-354062</v>
      </c>
      <c r="F140" s="11">
        <v>-1325878.7185399681</v>
      </c>
      <c r="G140" s="12">
        <f>Table5211176815222934374146515891623[[#This Row],[LỢI NHUẬN RÒNG]]+Table5211176815222934374146515891623[[#This Row],[VỐN CP]]</f>
        <v>5136621.2814600319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92814.6</v>
      </c>
      <c r="F141" s="11">
        <v>-1868737.6796233112</v>
      </c>
      <c r="G141" s="12">
        <f>Table5211176815222934374146515891623[[#This Row],[LỢI NHUẬN RÒNG]]+Table5211176815222934374146515891623[[#This Row],[VỐN CP]]</f>
        <v>6351262.3203766886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92814.6</v>
      </c>
      <c r="F142" s="11">
        <v>-1868737.6796233112</v>
      </c>
      <c r="G142" s="12">
        <f>Table5211176815222934374146515891623[[#This Row],[LỢI NHUẬN RÒNG]]+Table5211176815222934374146515891623[[#This Row],[VỐN CP]]</f>
        <v>6351262.3203766886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123752.8</v>
      </c>
      <c r="F143" s="11">
        <v>-2491650.2394977482</v>
      </c>
      <c r="G143" s="12">
        <f>Table5211176815222934374146515891623[[#This Row],[LỢI NHUẬN RÒNG]]+Table5211176815222934374146515891623[[#This Row],[VỐN CP]]</f>
        <v>8468349.7605022527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1472035.8</v>
      </c>
      <c r="F144" s="11">
        <v>-212774.83356191666</v>
      </c>
      <c r="G144" s="12">
        <f>Table5211176815222934374146515891623[[#This Row],[LỢI NHUẬN RÒNG]]+Table5211176815222934374146515891623[[#This Row],[VỐN CP]]</f>
        <v>10887225.166438084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1717375.1</v>
      </c>
      <c r="F145" s="11">
        <v>-248237.30582223609</v>
      </c>
      <c r="G145" s="12">
        <f>Table5211176815222934374146515891623[[#This Row],[LỢI NHUẬN RÒNG]]+Table5211176815222934374146515891623[[#This Row],[VỐN CP]]</f>
        <v>12701762.694177764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1717375.1</v>
      </c>
      <c r="F146" s="11">
        <v>-248237.30582223609</v>
      </c>
      <c r="G146" s="12">
        <f>Table5211176815222934374146515891623[[#This Row],[LỢI NHUẬN RÒNG]]+Table5211176815222934374146515891623[[#This Row],[VỐN CP]]</f>
        <v>12701762.694177764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645699.6</v>
      </c>
      <c r="F147" s="11">
        <v>-2638925.7834493429</v>
      </c>
      <c r="G147" s="12">
        <f>Table5211176815222934374146515891623[[#This Row],[LỢI NHUẬN RÒNG]]+Table5211176815222934374146515891623[[#This Row],[VỐN CP]]</f>
        <v>6694407.5498839896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322849.8</v>
      </c>
      <c r="F148" s="11">
        <v>-1319462.8917246715</v>
      </c>
      <c r="G148" s="12">
        <f>Table5211176815222934374146515891623[[#This Row],[LỢI NHUẬN RÒNG]]+Table5211176815222934374146515891623[[#This Row],[VỐN CP]]</f>
        <v>3347203.7749419948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322849.8</v>
      </c>
      <c r="F149" s="11">
        <v>-1319462.8917246715</v>
      </c>
      <c r="G149" s="12">
        <f>Table5211176815222934374146515891623[[#This Row],[LỢI NHUẬN RÒNG]]+Table5211176815222934374146515891623[[#This Row],[VỐN CP]]</f>
        <v>3347203.7749419948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322849.8</v>
      </c>
      <c r="F150" s="11">
        <v>-1319462.8917246715</v>
      </c>
      <c r="G150" s="12">
        <f>Table5211176815222934374146515891623[[#This Row],[LỢI NHUẬN RÒNG]]+Table5211176815222934374146515891623[[#This Row],[VỐN CP]]</f>
        <v>3347203.7749419948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1717508</v>
      </c>
      <c r="F151" s="11">
        <v>1075516.2519511923</v>
      </c>
      <c r="G151" s="12">
        <f>Table5211176815222934374146515891623[[#This Row],[LỢI NHUẬN RÒNG]]+Table5211176815222934374146515891623[[#This Row],[VỐN CP]]</f>
        <v>7735516.2519511925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1717508</v>
      </c>
      <c r="F152" s="11">
        <v>1075516.2519511923</v>
      </c>
      <c r="G152" s="12">
        <f>Table5211176815222934374146515891623[[#This Row],[LỢI NHUẬN RÒNG]]+Table5211176815222934374146515891623[[#This Row],[VỐN CP]]</f>
        <v>7735516.2519511925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1717508</v>
      </c>
      <c r="F153" s="11">
        <v>1075516.2519511923</v>
      </c>
      <c r="G153" s="12">
        <f>Table5211176815222934374146515891623[[#This Row],[LỢI NHUẬN RÒNG]]+Table5211176815222934374146515891623[[#This Row],[VỐN CP]]</f>
        <v>7735516.2519511925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3435016</v>
      </c>
      <c r="F154" s="21">
        <v>2151032.5039023845</v>
      </c>
      <c r="G154" s="12">
        <f>Table5211176815222934374146515891623[[#This Row],[LỢI NHUẬN RÒNG]]+Table5211176815222934374146515891623[[#This Row],[VỐN CP]]</f>
        <v>15471032.503902385</v>
      </c>
    </row>
    <row r="155" spans="1:8" x14ac:dyDescent="0.3">
      <c r="A155" s="20"/>
      <c r="B155" s="21"/>
      <c r="C155" s="21"/>
      <c r="D155" s="21">
        <f>SUBTOTAL(109,Table5211176815222934374146515891623[VỐN CP])</f>
        <v>17560000</v>
      </c>
      <c r="E155" s="21">
        <f>SUBTOTAL(109,Table5211176815222934374146515891623[LỢI NHUẬN GỘP])</f>
        <v>2940709.45</v>
      </c>
      <c r="F155" s="21">
        <f>SUBTOTAL(109,Table5211176815222934374146515891623[LỢI NHUẬN RÒNG])</f>
        <v>612527.4900996543</v>
      </c>
      <c r="G155" s="21">
        <f>SUBTOTAL(109,Table5211176815222934374146515891623[TỔNG NHẬN])</f>
        <v>18172527.490099654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1168-1CB6-4681-B85C-CECB94BA8AD8}">
  <sheetPr codeName="Sheet13"/>
  <dimension ref="A1:O416"/>
  <sheetViews>
    <sheetView topLeftCell="A138" workbookViewId="0">
      <selection activeCell="F76" sqref="F76:F352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149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2294911.85</v>
      </c>
      <c r="F3" s="11">
        <v>1305784.5133980587</v>
      </c>
      <c r="G3" s="12">
        <f>D3+Table84141941013242732394348535671421[[#This Row],[LỢI NHUẬN RÒNG]]</f>
        <v>9705784.5133980587</v>
      </c>
      <c r="K3" s="13" t="s">
        <v>10</v>
      </c>
      <c r="L3" s="14">
        <f>SUMIF(Table84141941013242732394348535671421[CỔ ĐÔNG],K3,Table84141941013242732394348535671421[VỐN CP])</f>
        <v>47388333.333333336</v>
      </c>
      <c r="M3" s="14">
        <f>SUMIF(Table84141941013242732394348535671421[CỔ ĐÔNG],K3,Table84141941013242732394348535671421[LỢI NHUẬN GỘP])</f>
        <v>14258911.9</v>
      </c>
      <c r="N3" s="14">
        <f>SUMIF(Table84141941013242732394348535671421[CỔ ĐÔNG],K3,Table84141941013242732394348535671421[LỢI NHUẬN RÒNG])</f>
        <v>6373192.1139290556</v>
      </c>
      <c r="O3" s="15">
        <f>SUMIF(Table84141941013242732394348535671421[CỔ ĐÔNG],K3,Table84141941013242732394348535671421[TỔNG NHẬN])</f>
        <v>53761525.447262399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17850000</v>
      </c>
      <c r="E4" s="11">
        <v>577434.55000000005</v>
      </c>
      <c r="F4" s="11">
        <v>-5187465.4287406923</v>
      </c>
      <c r="G4" s="12">
        <f>D4+Table84141941013242732394348535671421[[#This Row],[LỢI NHUẬN RÒNG]]</f>
        <v>12662534.571259309</v>
      </c>
      <c r="K4" s="13" t="s">
        <v>9</v>
      </c>
      <c r="L4" s="14">
        <f>SUMIF(Table84141941013242732394348535671421[CỔ ĐÔNG],K4,Table84141941013242732394348535671421[VỐN CP])</f>
        <v>376789999.99999994</v>
      </c>
      <c r="M4" s="14">
        <f>SUMIF(Table84141941013242732394348535671421[CỔ ĐÔNG],K4,Table84141941013242732394348535671421[LỢI NHUẬN GỘP])</f>
        <v>90178860.944166675</v>
      </c>
      <c r="N4" s="14">
        <f>SUMIF(Table84141941013242732394348535671421[CỔ ĐÔNG],K4,Table84141941013242732394348535671421[LỢI NHUẬN RÒNG])</f>
        <v>24964264.595368739</v>
      </c>
      <c r="O4" s="15">
        <f>SUMIF(Table84141941013242732394348535671421[CỔ ĐÔNG],Table95152051114252833404449545781522[[#This Row],[CỔ ĐÔNG]],Table84141941013242732394348535671421[TỔNG NHẬN])</f>
        <v>401754264.59536868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12799999.999999998</v>
      </c>
      <c r="E5" s="11">
        <v>-2080579.3999999994</v>
      </c>
      <c r="F5" s="11">
        <v>-3764594.7919396521</v>
      </c>
      <c r="G5" s="12">
        <f>D5+Table84141941013242732394348535671421[[#This Row],[LỢI NHUẬN RÒNG]]</f>
        <v>9035405.2080603465</v>
      </c>
      <c r="K5" s="13" t="s">
        <v>13</v>
      </c>
      <c r="L5" s="14">
        <f>SUMIF(Table84141941013242732394348535671421[CỔ ĐÔNG],K5,Table84141941013242732394348535671421[VỐN CP])</f>
        <v>63605000</v>
      </c>
      <c r="M5" s="14">
        <f>SUMIF(Table84141941013242732394348535671421[CỔ ĐÔNG],K5,Table84141941013242732394348535671421[LỢI NHUẬN GỘP])</f>
        <v>13170185.696666667</v>
      </c>
      <c r="N5" s="14">
        <f>SUMIF(Table84141941013242732394348535671421[CỔ ĐÔNG],K5,Table84141941013242732394348535671421[LỢI NHUẬN RÒNG])</f>
        <v>1891642.5746428948</v>
      </c>
      <c r="O5" s="15">
        <f>SUMIF(Table84141941013242732394348535671421[CỔ ĐÔNG],Table95152051114252833404449545781522[[#This Row],[CỔ ĐÔNG]],Table84141941013242732394348535671421[TỔNG NHẬN])</f>
        <v>65496642.574642889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15210000</v>
      </c>
      <c r="E6" s="11">
        <v>1075047.3</v>
      </c>
      <c r="F6" s="11">
        <v>-2088002.4979491725</v>
      </c>
      <c r="G6" s="12">
        <f>D6+Table84141941013242732394348535671421[[#This Row],[LỢI NHUẬN RÒNG]]</f>
        <v>13121997.502050828</v>
      </c>
      <c r="K6" s="13" t="s">
        <v>15</v>
      </c>
      <c r="L6" s="14">
        <f>SUMIF(Table84141941013242732394348535671421[CỔ ĐÔNG],K6,Table84141941013242732394348535671421[VỐN CP])</f>
        <v>27896666.666666668</v>
      </c>
      <c r="M6" s="14">
        <f>SUMIF(Table84141941013242732394348535671421[CỔ ĐÔNG],K6,Table84141941013242732394348535671421[LỢI NHUẬN GỘP])</f>
        <v>7846681.8499999987</v>
      </c>
      <c r="N6" s="14">
        <f>SUMIF(Table84141941013242732394348535671421[CỔ ĐÔNG],K6,Table84141941013242732394348535671421[LỢI NHUẬN RÒNG])</f>
        <v>3266184.1364732548</v>
      </c>
      <c r="O6" s="15">
        <f>SUMIF(Table84141941013242732394348535671421[CỔ ĐÔNG],K6,Table84141941013242732394348535671421[TỔNG NHẬN])</f>
        <v>31162850.803139918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3453437.2</v>
      </c>
      <c r="F7" s="11">
        <v>69781.219388920072</v>
      </c>
      <c r="G7" s="12">
        <f>D7+Table84141941013242732394348535671421[[#This Row],[LỢI NHUẬN RÒNG]]</f>
        <v>18069781.219388921</v>
      </c>
      <c r="I7" s="11"/>
      <c r="K7" s="13" t="s">
        <v>17</v>
      </c>
      <c r="L7" s="14">
        <f>SUMIF(Table84141941013242732394348535671421[CỔ ĐÔNG],K7,Table84141941013242732394348535671421[VỐN CP])</f>
        <v>6795000</v>
      </c>
      <c r="M7" s="14">
        <f>SUMIF(Table84141941013242732394348535671421[CỔ ĐÔNG],K7,Table84141941013242732394348535671421[LỢI NHUẬN GỘP])</f>
        <v>2775708.95</v>
      </c>
      <c r="N7" s="14">
        <f>SUMIF(Table84141941013242732394348535671421[CỔ ĐÔNG],K7,Table84141941013242732394348535671421[LỢI NHUẬN RÒNG])</f>
        <v>1623394.9263928249</v>
      </c>
      <c r="O7" s="15">
        <f>SUMIF(Table84141941013242732394348535671421[CỔ ĐÔNG],Table95152051114252833404449545781522[[#This Row],[CỔ ĐÔNG]],Table84141941013242732394348535671421[TỔNG NHẬN])</f>
        <v>8418394.9263928253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9500000</v>
      </c>
      <c r="E8" s="11">
        <v>2211057.4041666668</v>
      </c>
      <c r="F8" s="11">
        <v>665370.63367878273</v>
      </c>
      <c r="G8" s="12">
        <f>D8+Table84141941013242732394348535671421[[#This Row],[LỢI NHUẬN RÒNG]]</f>
        <v>10165370.633678783</v>
      </c>
      <c r="K8" s="13" t="s">
        <v>19</v>
      </c>
      <c r="L8" s="14">
        <f>SUMIF(Table84141941013242732394348535671421[CỔ ĐÔNG],K8,Table84141941013242732394348535671421[VỐN CP])</f>
        <v>392836666.66666669</v>
      </c>
      <c r="M8" s="14">
        <f>SUMIF(Table84141941013242732394348535671421[CỔ ĐÔNG],K8,Table84141941013242732394348535671421[LỢI NHUẬN GỘP])</f>
        <v>78342808.99166666</v>
      </c>
      <c r="N8" s="14">
        <f>SUMIF(Table84141941013242732394348535671421[CỔ ĐÔNG],K8,Table84141941013242732394348535671421[LỢI NHUẬN RÒNG])</f>
        <v>10870650.202075163</v>
      </c>
      <c r="O8" s="15">
        <f>SUMIF(Table84141941013242732394348535671421[CỔ ĐÔNG],Table95152051114252833404449545781522[[#This Row],[CỔ ĐÔNG]],Table84141941013242732394348535671421[TỔNG NHẬN])</f>
        <v>403707316.86874187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2922273.6999999993</v>
      </c>
      <c r="F9" s="11">
        <v>1215079.3249917626</v>
      </c>
      <c r="G9" s="12">
        <f>D9+Table84141941013242732394348535671421[[#This Row],[LỢI NHUẬN RÒNG]]</f>
        <v>10215079.324991763</v>
      </c>
      <c r="K9" s="13" t="s">
        <v>21</v>
      </c>
      <c r="L9" s="14">
        <f>SUMIF(Table84141941013242732394348535671421[CỔ ĐÔNG],K9,Table84141941013242732394348535671421[VỐN CP])</f>
        <v>346901666.66666669</v>
      </c>
      <c r="M9" s="14">
        <f>SUMIF(Table84141941013242732394348535671421[CỔ ĐÔNG],K9,Table84141941013242732394348535671421[LỢI NHUẬN GỘP])</f>
        <v>98354172.529166684</v>
      </c>
      <c r="N9" s="14">
        <f>SUMIF(Table84141941013242732394348535671421[CỔ ĐÔNG],K9,Table84141941013242732394348535671421[LỢI NHUẬN RÒNG])</f>
        <v>40189505.20689369</v>
      </c>
      <c r="O9" s="15">
        <f>SUMIF(Table84141941013242732394348535671421[CỔ ĐÔNG],Table95152051114252833404449545781522[[#This Row],[CỔ ĐÔNG]],Table84141941013242732394348535671421[TỔNG NHẬN])</f>
        <v>387091171.87356031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2207328</v>
      </c>
      <c r="F10" s="11">
        <v>1146458.5984802209</v>
      </c>
      <c r="G10" s="12">
        <f>D10+Table84141941013242732394348535671421[[#This Row],[LỢI NHUẬN RÒNG]]</f>
        <v>6646458.5984802209</v>
      </c>
      <c r="I10" s="11"/>
      <c r="K10" s="13" t="s">
        <v>23</v>
      </c>
      <c r="L10" s="14">
        <f>SUMIF(Table84141941013242732394348535671421[CỔ ĐÔNG],K10,Table84141941013242732394348535671421[VỐN CP])</f>
        <v>35435000</v>
      </c>
      <c r="M10" s="14">
        <f>SUMIF(Table84141941013242732394348535671421[CỔ ĐÔNG],K10,Table84141941013242732394348535671421[LỢI NHUẬN GỘP])</f>
        <v>8409582.0666666664</v>
      </c>
      <c r="N10" s="14">
        <f>SUMIF(Table84141941013242732394348535671421[CỔ ĐÔNG],K10,Table84141941013242732394348535671421[LỢI NHUẬN RÒNG])</f>
        <v>-198625.83887680317</v>
      </c>
      <c r="O10" s="15">
        <f>SUMIF(Table84141941013242732394348535671421[CỔ ĐÔNG],Table95152051114252833404449545781522[[#This Row],[CỔ ĐÔNG]],Table84141941013242732394348535671421[TỔNG NHẬN])</f>
        <v>35236374.161123194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4352419.0666666655</v>
      </c>
      <c r="F11" s="11">
        <v>3013258.5658134609</v>
      </c>
      <c r="G11" s="12">
        <f>D11+Table84141941013242732394348535671421[[#This Row],[LỢI NHUẬN RÒNG]]</f>
        <v>17793258.565813459</v>
      </c>
      <c r="K11" s="13" t="s">
        <v>25</v>
      </c>
      <c r="L11" s="14">
        <f>SUMIF(Table84141941013242732394348535671421[CỔ ĐÔNG],K11,Table84141941013242732394348535671421[VỐN CP])</f>
        <v>96943333.333333328</v>
      </c>
      <c r="M11" s="14">
        <f>SUMIF(Table84141941013242732394348535671421[CỔ ĐÔNG],K11,Table84141941013242732394348535671421[LỢI NHUẬN GỘP])</f>
        <v>29976168.430000003</v>
      </c>
      <c r="N11" s="14">
        <f>SUMIF(Table84141941013242732394348535671421[CỔ ĐÔNG],K11,Table84141941013242732394348535671421[LỢI NHUẬN RÒNG])</f>
        <v>9206010.4269680791</v>
      </c>
      <c r="O11" s="15">
        <f>SUMIF(Table84141941013242732394348535671421[CỔ ĐÔNG],Table95152051114252833404449545781522[[#This Row],[CỔ ĐÔNG]],Table84141941013242732394348535671421[TỔNG NHẬN])</f>
        <v>106149343.76030141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121559.4</v>
      </c>
      <c r="F12" s="11">
        <v>-1416797.3299651062</v>
      </c>
      <c r="G12" s="12">
        <f>D12+Table84141941013242732394348535671421[[#This Row],[LỢI NHUẬN RÒNG]]</f>
        <v>12413202.670034893</v>
      </c>
      <c r="K12" s="13" t="s">
        <v>27</v>
      </c>
      <c r="L12" s="14">
        <f>SUMIF(Table84141941013242732394348535671421[CỔ ĐÔNG],K12,Table84141941013242732394348535671421[VỐN CP])</f>
        <v>79870000</v>
      </c>
      <c r="M12" s="14">
        <f>SUMIF(Table84141941013242732394348535671421[CỔ ĐÔNG],K12,Table84141941013242732394348535671421[LỢI NHUẬN GỘP])</f>
        <v>17392711.424999997</v>
      </c>
      <c r="N12" s="14">
        <f>SUMIF(Table84141941013242732394348535671421[CỔ ĐÔNG],K12,Table84141941013242732394348535671421[LỢI NHUẬN RÒNG])</f>
        <v>3997423.3732499429</v>
      </c>
      <c r="O12" s="15">
        <f>SUMIF(Table84141941013242732394348535671421[CỔ ĐÔNG],Table95152051114252833404449545781522[[#This Row],[CỔ ĐÔNG]],Table84141941013242732394348535671421[TỔNG NHẬN])</f>
        <v>83867423.373249948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SUMIF(Table84141941013242732394348535671421[CỔ ĐÔNG],K13,Table84141941013242732394348535671421[VỐN CP])</f>
        <v>38848333.333333328</v>
      </c>
      <c r="M13" s="14">
        <f>SUMIF(Table84141941013242732394348535671421[CỔ ĐÔNG],K13,Table84141941013242732394348535671421[LỢI NHUẬN GỘP])</f>
        <v>12702652.716666669</v>
      </c>
      <c r="N13" s="14">
        <f>SUMIF(Table84141941013242732394348535671421[CỔ ĐÔNG],K13,Table84141941013242732394348535671421[LỢI NHUẬN RÒNG])</f>
        <v>5578834.2612947477</v>
      </c>
      <c r="O13" s="15">
        <f>SUMIF(Table84141941013242732394348535671421[CỔ ĐÔNG],Table95152051114252833404449545781522[[#This Row],[CỔ ĐÔNG]],Table84141941013242732394348535671421[TỔNG NHẬN])</f>
        <v>44427167.594628081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20400000</v>
      </c>
      <c r="E14" s="11">
        <v>2535.6</v>
      </c>
      <c r="F14" s="11">
        <v>-3382769.9297815859</v>
      </c>
      <c r="G14" s="12">
        <f>D14+Table84141941013242732394348535671421[[#This Row],[LỢI NHUẬN RÒNG]]</f>
        <v>17017230.070218414</v>
      </c>
      <c r="K14" s="13" t="s">
        <v>31</v>
      </c>
      <c r="L14" s="14">
        <f>SUMIF(Table84141941013242732394348535671421[CỔ ĐÔNG],K14,Table84141941013242732394348535671421[VỐN CP])</f>
        <v>146066666.66666666</v>
      </c>
      <c r="M14" s="14">
        <f>SUMIF(Table84141941013242732394348535671421[CỔ ĐÔNG],K14,Table84141941013242732394348535671421[LỢI NHUẬN GỘP])</f>
        <v>38699808.550000004</v>
      </c>
      <c r="N14" s="14">
        <f>SUMIF(Table84141941013242732394348535671421[CỔ ĐÔNG],K14,Table84141941013242732394348535671421[LỢI NHUẬN RÒNG])</f>
        <v>11160120.519403905</v>
      </c>
      <c r="O14" s="15">
        <f>SUMIF(Table84141941013242732394348535671421[CỔ ĐÔNG],Table95152051114252833404449545781522[[#This Row],[CỔ ĐÔNG]],Table84141941013242732394348535671421[TỔNG NHẬN])</f>
        <v>157226787.18607053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1574065.95</v>
      </c>
      <c r="F15" s="11">
        <v>381637.18537212611</v>
      </c>
      <c r="G15" s="12">
        <f>D15+Table84141941013242732394348535671421[[#This Row],[LỢI NHUẬN RÒNG]]</f>
        <v>9531637.1853721254</v>
      </c>
      <c r="K15" s="13" t="s">
        <v>33</v>
      </c>
      <c r="L15" s="14">
        <f>SUMIF(Table84141941013242732394348535671421[CỔ ĐÔNG],K15,Table84141941013242732394348535671421[VỐN CP])</f>
        <v>61608333.333333336</v>
      </c>
      <c r="M15" s="14">
        <f>SUMIF(Table84141941013242732394348535671421[CỔ ĐÔNG],K15,Table84141941013242732394348535671421[LỢI NHUẬN GỘP])</f>
        <v>19472843.250000004</v>
      </c>
      <c r="N15" s="14">
        <f>SUMIF(Table84141941013242732394348535671421[CỔ ĐÔNG],K15,Table84141941013242732394348535671421[LỢI NHUẬN RÒNG])</f>
        <v>9829742.0524293277</v>
      </c>
      <c r="O15" s="15">
        <f>SUMIF(Table84141941013242732394348535671421[CỔ ĐÔNG],Table95152051114252833404449545781522[[#This Row],[CỔ ĐÔNG]],Table84141941013242732394348535671421[TỔNG NHẬN])</f>
        <v>71438075.385762647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2588953.2000000002</v>
      </c>
      <c r="F16" s="11">
        <v>1870296.7835046961</v>
      </c>
      <c r="G16" s="12">
        <f>D16+Table84141941013242732394348535671421[[#This Row],[LỢI NHUẬN RÒNG]]</f>
        <v>8030296.7835046966</v>
      </c>
      <c r="K16" s="13" t="s">
        <v>35</v>
      </c>
      <c r="L16" s="14">
        <f>SUMIF(Table84141941013242732394348535671421[CỔ ĐÔNG],K16,Table84141941013242732394348535671421[VỐN CP])</f>
        <v>51421666.666666672</v>
      </c>
      <c r="M16" s="14">
        <f>SUMIF(Table84141941013242732394348535671421[CỔ ĐÔNG],K16,Table84141941013242732394348535671421[LỢI NHUẬN GỘP])</f>
        <v>12884978.799999999</v>
      </c>
      <c r="N16" s="14">
        <f>SUMIF(Table84141941013242732394348535671421[CỔ ĐÔNG],K16,Table84141941013242732394348535671421[LỢI NHUẬN RÒNG])</f>
        <v>4021213.682431771</v>
      </c>
      <c r="O16" s="15">
        <f>SUMIF(Table84141941013242732394348535671421[CỔ ĐÔNG],Table95152051114252833404449545781522[[#This Row],[CỔ ĐÔNG]],Table84141941013242732394348535671421[TỔNG NHẬN])</f>
        <v>55442880.349098437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3974548.2</v>
      </c>
      <c r="F17" s="11">
        <v>2098890.1986800642</v>
      </c>
      <c r="G17" s="12">
        <f>D17+Table84141941013242732394348535671421[[#This Row],[LỢI NHUẬN RÒNG]]</f>
        <v>11098890.198680064</v>
      </c>
      <c r="K17" s="16" t="s">
        <v>37</v>
      </c>
      <c r="L17" s="17">
        <f>SUMIF(Table84141941013242732394348535671421[CỔ ĐÔNG],K17,Table84141941013242732394348535671421[VỐN CP])</f>
        <v>160675000</v>
      </c>
      <c r="M17" s="17">
        <f>SUMIF(Table84141941013242732394348535671421[CỔ ĐÔNG],K17,Table84141941013242732394348535671421[LỢI NHUẬN GỘP])</f>
        <v>51141927.149999999</v>
      </c>
      <c r="N17" s="17">
        <f>SUMIF(Table84141941013242732394348535671421[CỔ ĐÔNG],K17,Table84141941013242732394348535671421[LỢI NHUẬN RÒNG])</f>
        <v>24234654.723698672</v>
      </c>
      <c r="O17" s="15">
        <f>SUMIF(Table84141941013242732394348535671421[CỔ ĐÔNG],Table95152051114252833404449545781522[[#This Row],[CỔ ĐÔNG]],Table84141941013242732394348535671421[TỔNG NHẬN])</f>
        <v>184909654.72369868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3432997.2</v>
      </c>
      <c r="F18" s="11">
        <v>2539995.421809745</v>
      </c>
      <c r="G18" s="12">
        <f>D18+Table84141941013242732394348535671421[[#This Row],[LỢI NHUẬN RÒNG]]</f>
        <v>7539995.421809745</v>
      </c>
      <c r="K18" s="13" t="s">
        <v>39</v>
      </c>
      <c r="L18" s="17">
        <f>SUMIF(Table84141941013242732394348535671421[CỔ ĐÔNG],K18,Table84141941013242732394348535671421[VỐN CP])</f>
        <v>1583333.3333333335</v>
      </c>
      <c r="M18" s="17">
        <f>SUMIF(Table84141941013242732394348535671421[CỔ ĐÔNG],K18,Table84141941013242732394348535671421[LỢI NHUẬN GỘP])</f>
        <v>127793.71666666641</v>
      </c>
      <c r="N18" s="17">
        <f>SUMIF(Table84141941013242732394348535671421[CỔ ĐÔNG],K18,Table84141941013242732394348535671421[LỢI NHUẬN RÒNG])</f>
        <v>-25001.271113689243</v>
      </c>
      <c r="O18" s="15">
        <f>SUMIF(Table84141941013242732394348535671421[CỔ ĐÔNG],Table95152051114252833404449545781522[[#This Row],[CỔ ĐÔNG]],Table84141941013242732394348535671421[TỔNG NHẬN])</f>
        <v>1558332.0622196442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804183.5</v>
      </c>
      <c r="F19" s="11">
        <v>347916.01823006646</v>
      </c>
      <c r="G19" s="12">
        <f>D19+Table84141941013242732394348535671421[[#This Row],[LỢI NHUẬN RÒNG]]</f>
        <v>1447916.0182300664</v>
      </c>
      <c r="I19" s="11"/>
      <c r="K19" s="13" t="s">
        <v>41</v>
      </c>
      <c r="L19" s="17">
        <f>SUMIF(Table84141941013242732394348535671421[CỔ ĐÔNG],K19,Table84141941013242732394348535671421[VỐN CP])</f>
        <v>2533333.3333333335</v>
      </c>
      <c r="M19" s="17">
        <f>SUMIF(Table84141941013242732394348535671421[CỔ ĐÔNG],K19,Table84141941013242732394348535671421[LỢI NHUẬN GỘP])</f>
        <v>496342.56666666642</v>
      </c>
      <c r="N19" s="17">
        <f>SUMIF(Table84141941013242732394348535671421[CỔ ĐÔNG],K19,Table84141941013242732394348535671421[LỢI NHUẬN RÒNG])</f>
        <v>127222.02266657761</v>
      </c>
      <c r="O19" s="15">
        <f>SUMIF(Table84141941013242732394348535671421[CỔ ĐÔNG],Table95152051114252833404449545781522[[#This Row],[CỔ ĐÔNG]],Table84141941013242732394348535671421[TỔNG NHẬN])</f>
        <v>2660555.3559999112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655689.1</v>
      </c>
      <c r="F20" s="11">
        <v>373081.28954230249</v>
      </c>
      <c r="G20" s="12">
        <f>D20+Table84141941013242732394348535671421[[#This Row],[LỢI NHUẬN RÒNG]]</f>
        <v>2773081.2895423025</v>
      </c>
      <c r="K20" s="13" t="s">
        <v>42</v>
      </c>
      <c r="L20" s="17">
        <f>SUMIF(Table84141941013242732394348535671421[CỔ ĐÔNG],K20,Table84141941013242732394348535671421[VỐN CP])</f>
        <v>2083333.3333333335</v>
      </c>
      <c r="M20" s="17">
        <f>SUMIF(Table84141941013242732394348535671421[CỔ ĐÔNG],K20,Table84141941013242732394348535671421[LỢI NHUẬN GỘP])</f>
        <v>538838.6666666664</v>
      </c>
      <c r="N20" s="17">
        <f>SUMIF(Table84141941013242732394348535671421[CỔ ĐÔNG],K20,Table84141941013242732394348535671421[LỢI NHUẬN RÒNG])</f>
        <v>247249.51702722034</v>
      </c>
      <c r="O20" s="15">
        <f>SUMIF(Table84141941013242732394348535671421[CỔ ĐÔNG],Table95152051114252833404449545781522[[#This Row],[CỔ ĐÔNG]],Table84141941013242732394348535671421[TỔNG NHẬN])</f>
        <v>2330582.8503605537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5100000</v>
      </c>
      <c r="E21" s="11">
        <v>164981.29999999999</v>
      </c>
      <c r="F21" s="11">
        <v>-1482132.9796401977</v>
      </c>
      <c r="G21" s="12">
        <f>D21+Table84141941013242732394348535671421[[#This Row],[LỢI NHUẬN RÒNG]]</f>
        <v>3617867.0203598021</v>
      </c>
      <c r="K21" s="13" t="s">
        <v>43</v>
      </c>
      <c r="L21" s="17">
        <f>SUMIF(Table84141941013242732394348535671421[CỔ ĐÔNG],K21,Table84141941013242732394348535671421[VỐN CP])</f>
        <v>90518333.333333343</v>
      </c>
      <c r="M21" s="17">
        <f>SUMIF(Table84141941013242732394348535671421[CỔ ĐÔNG],K21,Table84141941013242732394348535671421[LỢI NHUẬN GỘP])</f>
        <v>26038632.383333333</v>
      </c>
      <c r="N21" s="17">
        <f>SUMIF(Table84141941013242732394348535671421[CỔ ĐÔNG],K21,Table84141941013242732394348535671421[LỢI NHUẬN RÒNG])</f>
        <v>9091083.6447220687</v>
      </c>
      <c r="O21" s="15">
        <f>SUMIF(Table84141941013242732394348535671421[CỔ ĐÔNG],Table95152051114252833404449545781522[[#This Row],[CỔ ĐÔNG]],Table84141941013242732394348535671421[TỔNG NHẬN])</f>
        <v>99609416.978055403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4266666.666666666</v>
      </c>
      <c r="E22" s="18">
        <v>-693526.46666666644</v>
      </c>
      <c r="F22" s="18">
        <v>-1254864.9306465506</v>
      </c>
      <c r="G22" s="12">
        <f>D22+Table84141941013242732394348535671421[[#This Row],[LỢI NHUẬN RÒNG]]</f>
        <v>3011801.7360201152</v>
      </c>
      <c r="K22" s="13" t="s">
        <v>44</v>
      </c>
      <c r="L22" s="17">
        <f>SUMIF(Table84141941013242732394348535671421[CỔ ĐÔNG],K22,Table84141941013242732394348535671421[VỐN CP])</f>
        <v>4700000</v>
      </c>
      <c r="M22" s="17">
        <f>SUMIF(Table84141941013242732394348535671421[CỔ ĐÔNG],K22,Table84141941013242732394348535671421[LỢI NHUẬN GỘP])</f>
        <v>2522839</v>
      </c>
      <c r="N22" s="17">
        <f>SUMIF(Table84141941013242732394348535671421[CỔ ĐÔNG],K22,Table84141941013242732394348535671421[LỢI NHUẬN RÒNG])</f>
        <v>1453582.7281289941</v>
      </c>
      <c r="O22" s="15">
        <f>SUMIF(Table84141941013242732394348535671421[CỔ ĐÔNG],Table95152051114252833404449545781522[[#This Row],[CỔ ĐÔNG]],Table84141941013242732394348535671421[TỔNG NHẬN])</f>
        <v>6153582.7281289939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5070000</v>
      </c>
      <c r="E23" s="11">
        <v>358349.1</v>
      </c>
      <c r="F23" s="11">
        <v>-696000.83264972421</v>
      </c>
      <c r="G23" s="12">
        <f>D23+Table84141941013242732394348535671421[[#This Row],[LỢI NHUẬN RÒNG]]</f>
        <v>4373999.1673502754</v>
      </c>
      <c r="K23" s="13" t="s">
        <v>45</v>
      </c>
      <c r="L23" s="17">
        <f>SUMIF(Table84141941013242732394348535671421[CỔ ĐÔNG],K23,Table84141941013242732394348535671421[VỐN CP])</f>
        <v>13050000</v>
      </c>
      <c r="M23" s="17">
        <f>SUMIF(Table84141941013242732394348535671421[CỔ ĐÔNG],K23,Table84141941013242732394348535671421[LỢI NHUẬN GỘP])</f>
        <v>3344663.4</v>
      </c>
      <c r="N23" s="17">
        <f>SUMIF(Table84141941013242732394348535671421[CỔ ĐÔNG],K23,Table84141941013242732394348535671421[LỢI NHUẬN RÒNG])</f>
        <v>421494.71800767892</v>
      </c>
      <c r="O23" s="15">
        <f>SUMIF(Table84141941013242732394348535671421[CỔ ĐÔNG],Table95152051114252833404449545781522[[#This Row],[CỔ ĐÔNG]],Table84141941013242732394348535671421[TỔNG NHẬN])</f>
        <v>13471494.71800768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2294911.85</v>
      </c>
      <c r="F24" s="11">
        <v>1305784.5133980587</v>
      </c>
      <c r="G24" s="12">
        <f>D24+Table84141941013242732394348535671421[[#This Row],[LỢI NHUẬN RÒNG]]</f>
        <v>9705784.5133980587</v>
      </c>
      <c r="K24" s="13" t="s">
        <v>46</v>
      </c>
      <c r="L24" s="17">
        <f>SUMIF(Table84141941013242732394348535671421[CỔ ĐÔNG],K24,Table84141941013242732394348535671421[VỐN CP])</f>
        <v>13350000</v>
      </c>
      <c r="M24" s="17">
        <f>SUMIF(Table84141941013242732394348535671421[CỔ ĐÔNG],K24,Table84141941013242732394348535671421[LỢI NHUẬN GỘP])</f>
        <v>2962056.1</v>
      </c>
      <c r="N24" s="17">
        <f>SUMIF(Table84141941013242732394348535671421[CỔ ĐÔNG],K24,Table84141941013242732394348535671421[LỢI NHUẬN RÒNG])</f>
        <v>920161.66632229055</v>
      </c>
      <c r="O24" s="15">
        <f>SUMIF(Table84141941013242732394348535671421[CỔ ĐÔNG],Table95152051114252833404449545781522[[#This Row],[CỔ ĐÔNG]],Table84141941013242732394348535671421[TỔNG NHẬN])</f>
        <v>14270161.666322291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17850000</v>
      </c>
      <c r="E25" s="11">
        <v>577434.55000000005</v>
      </c>
      <c r="F25" s="11">
        <v>-5187465.4287406923</v>
      </c>
      <c r="G25" s="12">
        <f>D25+Table84141941013242732394348535671421[[#This Row],[LỢI NHUẬN RÒNG]]</f>
        <v>12662534.571259309</v>
      </c>
      <c r="K25" s="13" t="s">
        <v>47</v>
      </c>
      <c r="L25" s="14">
        <f>SUM(L2:L24)</f>
        <v>2060899999.9999995</v>
      </c>
      <c r="M25" s="14">
        <f>SUM(M2:M24)</f>
        <v>531639169.08333331</v>
      </c>
      <c r="N25" s="14">
        <f>SUM(N2:N24)</f>
        <v>169243999.98213643</v>
      </c>
      <c r="O25" s="14">
        <f>SUM(O2:O24)</f>
        <v>2230143999.9821362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12799999.999999998</v>
      </c>
      <c r="E26" s="11">
        <v>-2080579.3999999994</v>
      </c>
      <c r="F26" s="11">
        <v>-3764594.7919396521</v>
      </c>
      <c r="G26" s="12">
        <f>D26+Table84141941013242732394348535671421[[#This Row],[LỢI NHUẬN RÒNG]]</f>
        <v>9035405.2080603465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15210000</v>
      </c>
      <c r="E27" s="11">
        <v>1075047.3</v>
      </c>
      <c r="F27" s="11">
        <v>-2088002.4979491725</v>
      </c>
      <c r="G27" s="12">
        <f>D27+Table84141941013242732394348535671421[[#This Row],[LỢI NHUẬN RÒNG]]</f>
        <v>13121997.502050828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3453437.2</v>
      </c>
      <c r="F28" s="11">
        <v>69781.219388920072</v>
      </c>
      <c r="G28" s="12">
        <f>D28+Table84141941013242732394348535671421[[#This Row],[LỢI NHUẬN RÒNG]]</f>
        <v>18069781.219388921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11400000</v>
      </c>
      <c r="E29" s="11">
        <v>2653268.8849999998</v>
      </c>
      <c r="F29" s="11">
        <v>798444.76041453925</v>
      </c>
      <c r="G29" s="12">
        <f>D29+Table84141941013242732394348535671421[[#This Row],[LỢI NHUẬN RÒNG]]</f>
        <v>12198444.760414539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3506728.439999999</v>
      </c>
      <c r="F30" s="11">
        <v>1458095.1899901151</v>
      </c>
      <c r="G30" s="12">
        <f>D30+Table84141941013242732394348535671421[[#This Row],[LỢI NHUẬN RÒNG]]</f>
        <v>12258095.189990114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1765862.3999999999</v>
      </c>
      <c r="F31" s="11">
        <v>917166.87878417666</v>
      </c>
      <c r="G31" s="12">
        <f>D31+Table84141941013242732394348535671421[[#This Row],[LỢI NHUẬN RÒNG]]</f>
        <v>5317166.8787841769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5440523.8333333321</v>
      </c>
      <c r="F32" s="11">
        <v>3766573.2072668262</v>
      </c>
      <c r="G32" s="12">
        <f>D32+Table84141941013242732394348535671421[[#This Row],[LỢI NHUẬN RÒNG]]</f>
        <v>22241573.207266826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162079.20000000001</v>
      </c>
      <c r="F33" s="11">
        <v>-1889063.1066201418</v>
      </c>
      <c r="G33" s="12">
        <f>D33+Table84141941013242732394348535671421[[#This Row],[LỢI NHUẬN RÒNG]]</f>
        <v>16550936.893379858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25500000</v>
      </c>
      <c r="E35" s="11">
        <v>3169.5</v>
      </c>
      <c r="F35" s="11">
        <v>-4228462.4122269824</v>
      </c>
      <c r="G35" s="12">
        <f>D35+Table84141941013242732394348535671421[[#This Row],[LỢI NHUẬN RÒNG]]</f>
        <v>21271537.587773018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2098754.6</v>
      </c>
      <c r="F36" s="11">
        <v>508849.58049616811</v>
      </c>
      <c r="G36" s="12">
        <f>D36+Table84141941013242732394348535671421[[#This Row],[LỢI NHUẬN RÒNG]]</f>
        <v>12708849.580496168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1294476.6000000001</v>
      </c>
      <c r="F37" s="11">
        <v>935148.39175234805</v>
      </c>
      <c r="G37" s="12">
        <f>D37+Table84141941013242732394348535671421[[#This Row],[LỢI NHUẬN RÒNG]]</f>
        <v>4015148.3917523483</v>
      </c>
      <c r="L37" s="11">
        <f>N25+'Tháng 1 nhà T  '!N17</f>
        <v>446512659.43186271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3974548.2</v>
      </c>
      <c r="F38" s="11">
        <v>2098890.1986800642</v>
      </c>
      <c r="G38" s="12">
        <f>D38+Table84141941013242732394348535671421[[#This Row],[LỢI NHUẬN RÒNG]]</f>
        <v>11098890.198680064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3432997.2</v>
      </c>
      <c r="F39" s="11">
        <v>2539995.421809745</v>
      </c>
      <c r="G39" s="12">
        <f>D39+Table84141941013242732394348535671421[[#This Row],[LỢI NHUẬN RÒNG]]</f>
        <v>7539995.421809745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804183.5</v>
      </c>
      <c r="F40" s="11">
        <v>347916.01823006646</v>
      </c>
      <c r="G40" s="12">
        <f>D40+Table84141941013242732394348535671421[[#This Row],[LỢI NHUẬN RÒNG]]</f>
        <v>1447916.0182300664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1311378.2</v>
      </c>
      <c r="F41" s="11">
        <v>746162.57908460498</v>
      </c>
      <c r="G41" s="12">
        <f>D41+Table84141941013242732394348535671421[[#This Row],[LỢI NHUẬN RÒNG]]</f>
        <v>5546162.579084605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5100000</v>
      </c>
      <c r="E42" s="11">
        <v>164981.29999999999</v>
      </c>
      <c r="F42" s="11">
        <v>-1482132.9796401977</v>
      </c>
      <c r="G42" s="12">
        <f>D42+Table84141941013242732394348535671421[[#This Row],[LỢI NHUẬN RÒNG]]</f>
        <v>3617867.0203598021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5070000</v>
      </c>
      <c r="E43" s="11">
        <v>358349.1</v>
      </c>
      <c r="F43" s="11">
        <v>-696000.83264972421</v>
      </c>
      <c r="G43" s="12">
        <f>D43+Table84141941013242732394348535671421[[#This Row],[LỢI NHUẬN RÒNG]]</f>
        <v>4373999.1673502754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1726718.6</v>
      </c>
      <c r="F44" s="11">
        <v>34890.609694460036</v>
      </c>
      <c r="G44" s="12">
        <f>D44+Table84141941013242732394348535671421[[#This Row],[LỢI NHUẬN RÒNG]]</f>
        <v>9034890.6096944604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5700000</v>
      </c>
      <c r="E45" s="11">
        <v>1326634.4424999999</v>
      </c>
      <c r="F45" s="11">
        <v>399222.38020726963</v>
      </c>
      <c r="G45" s="12">
        <f>D45+Table84141941013242732394348535671421[[#This Row],[LỢI NHUẬN RÒNG]]</f>
        <v>6099222.3802072695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1753364.2199999995</v>
      </c>
      <c r="F46" s="11">
        <v>729047.59499505756</v>
      </c>
      <c r="G46" s="12">
        <f>D46+Table84141941013242732394348535671421[[#This Row],[LỢI NHUẬN RÒNG]]</f>
        <v>6129047.5949950572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1324396.8</v>
      </c>
      <c r="F47" s="11">
        <v>687875.15908813255</v>
      </c>
      <c r="G47" s="12">
        <f>D47+Table84141941013242732394348535671421[[#This Row],[LỢI NHUẬN RÒNG]]</f>
        <v>3987875.1590881324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3264314.2999999993</v>
      </c>
      <c r="F48" s="11">
        <v>2259943.924360096</v>
      </c>
      <c r="G48" s="12">
        <f>D48+Table84141941013242732394348535671421[[#This Row],[LỢI NHUẬN RÒNG]]</f>
        <v>13344943.924360096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121559.4</v>
      </c>
      <c r="F49" s="11">
        <v>-1416797.3299651062</v>
      </c>
      <c r="G49" s="12">
        <f>D49+Table84141941013242732394348535671421[[#This Row],[LỢI NHUẬN RÒNG]]</f>
        <v>12413202.670034893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3148131.9</v>
      </c>
      <c r="F51" s="11">
        <v>763274.37074425223</v>
      </c>
      <c r="G51" s="12">
        <f>D51+Table84141941013242732394348535671421[[#This Row],[LỢI NHUẬN RÒNG]]</f>
        <v>19063274.370744251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2588953.2000000002</v>
      </c>
      <c r="F52" s="11">
        <v>1870296.7835046961</v>
      </c>
      <c r="G52" s="12">
        <f>D52+Table84141941013242732394348535671421[[#This Row],[LỢI NHUẬN RÒNG]]</f>
        <v>8030296.7835046966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5961822.2999999998</v>
      </c>
      <c r="F53" s="11">
        <v>3148335.298020096</v>
      </c>
      <c r="G53" s="12">
        <f>D53+Table84141941013242732394348535671421[[#This Row],[LỢI NHUẬN RÒNG]]</f>
        <v>16648335.298020096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5149495.8</v>
      </c>
      <c r="F54" s="11">
        <v>3809993.1327146171</v>
      </c>
      <c r="G54" s="12">
        <f>D54+Table84141941013242732394348535671421[[#This Row],[LỢI NHUẬN RÒNG]]</f>
        <v>11309993.132714618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2412550.5</v>
      </c>
      <c r="F55" s="11">
        <v>1043748.0546901993</v>
      </c>
      <c r="G55" s="12">
        <f>D55+Table84141941013242732394348535671421[[#This Row],[LỢI NHUẬN RÒNG]]</f>
        <v>4343748.054690199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4266666.666666666</v>
      </c>
      <c r="E56" s="18">
        <v>-693526.46666666644</v>
      </c>
      <c r="F56" s="18">
        <v>-1254864.9306465506</v>
      </c>
      <c r="G56" s="12">
        <f>D56+Table84141941013242732394348535671421[[#This Row],[LỢI NHUẬN RÒNG]]</f>
        <v>3011801.7360201152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1294476.6000000001</v>
      </c>
      <c r="F57" s="11">
        <v>935148.39175234805</v>
      </c>
      <c r="G57" s="12">
        <f>D57+Table84141941013242732394348535671421[[#This Row],[LỢI NHUẬN RÒNG]]</f>
        <v>4015148.3917523483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993637.05</v>
      </c>
      <c r="F58" s="11">
        <v>524722.54967001604</v>
      </c>
      <c r="G58" s="12">
        <f>D58+Table84141941013242732394348535671421[[#This Row],[LỢI NHUẬN RÒNG]]</f>
        <v>2774722.5496700159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4266666.666666666</v>
      </c>
      <c r="E59" s="11">
        <v>-693526.46666666644</v>
      </c>
      <c r="F59" s="11">
        <v>-1254864.9306465506</v>
      </c>
      <c r="G59" s="12">
        <f>D59+Table84141941013242732394348535671421[[#This Row],[LỢI NHUẬN RÒNG]]</f>
        <v>3011801.7360201152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1716498.6</v>
      </c>
      <c r="F60" s="11">
        <v>1269997.7109048725</v>
      </c>
      <c r="G60" s="12">
        <f>D60+Table84141941013242732394348535671421[[#This Row],[LỢI NHUẬN RÒNG]]</f>
        <v>3769997.7109048725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11400000</v>
      </c>
      <c r="E61" s="11">
        <v>2653268.8849999998</v>
      </c>
      <c r="F61" s="11">
        <v>798444.76041453925</v>
      </c>
      <c r="G61" s="12">
        <f>D61+Table84141941013242732394348535671421[[#This Row],[LỢI NHUẬN RÒNG]]</f>
        <v>12198444.760414539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3506728.439999999</v>
      </c>
      <c r="F62" s="11">
        <v>1458095.1899901151</v>
      </c>
      <c r="G62" s="12">
        <f>D62+Table84141941013242732394348535671421[[#This Row],[LỢI NHUẬN RÒNG]]</f>
        <v>12258095.189990114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2648793.6</v>
      </c>
      <c r="F63" s="11">
        <v>1375750.3181762651</v>
      </c>
      <c r="G63" s="12">
        <f>D63+Table84141941013242732394348535671421[[#This Row],[LỢI NHUẬN RÒNG]]</f>
        <v>7975750.3181762649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6528628.5999999987</v>
      </c>
      <c r="F64" s="11">
        <v>4519887.848720192</v>
      </c>
      <c r="G64" s="12">
        <f>D64+Table84141941013242732394348535671421[[#This Row],[LỢI NHUẬN RÒNG]]</f>
        <v>26689887.848720193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1608367</v>
      </c>
      <c r="F66" s="11">
        <v>695832.03646013292</v>
      </c>
      <c r="G66" s="12">
        <f>D66+Table84141941013242732394348535671421[[#This Row],[LỢI NHUẬN RÒNG]]</f>
        <v>2895832.0364601328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5100000</v>
      </c>
      <c r="E67" s="18">
        <v>164981.29999999999</v>
      </c>
      <c r="F67" s="18">
        <v>-1482132.9796401977</v>
      </c>
      <c r="G67" s="12">
        <f>D67+Table84141941013242732394348535671421[[#This Row],[LỢI NHUẬN RÒNG]]</f>
        <v>3617867.0203598021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4266666.666666666</v>
      </c>
      <c r="E68" s="11">
        <v>-693526.46666666644</v>
      </c>
      <c r="F68" s="11">
        <v>-1254864.9306465506</v>
      </c>
      <c r="G68" s="12">
        <f>D68+Table84141941013242732394348535671421[[#This Row],[LỢI NHUẬN RÒNG]]</f>
        <v>3011801.7360201152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5070000</v>
      </c>
      <c r="E69" s="11">
        <v>358349.1</v>
      </c>
      <c r="F69" s="11">
        <v>-696000.83264972421</v>
      </c>
      <c r="G69" s="12">
        <f>D69+Table84141941013242732394348535671421[[#This Row],[LỢI NHUẬN RÒNG]]</f>
        <v>4373999.1673502754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5100000</v>
      </c>
      <c r="E70" s="11">
        <v>633.9</v>
      </c>
      <c r="F70" s="11">
        <v>-845692.48244539648</v>
      </c>
      <c r="G70" s="12">
        <f>D70+Table84141941013242732394348535671421[[#This Row],[LỢI NHUẬN RÒNG]]</f>
        <v>4254307.5175546035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1049377.3</v>
      </c>
      <c r="F71" s="11">
        <v>254424.79024808406</v>
      </c>
      <c r="G71" s="12">
        <f>D71+Table84141941013242732394348535671421[[#This Row],[LỢI NHUẬN RÒNG]]</f>
        <v>6354424.7902480839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1294476.6000000001</v>
      </c>
      <c r="F72" s="11">
        <v>935148.39175234805</v>
      </c>
      <c r="G72" s="12">
        <f>D72+Table84141941013242732394348535671421[[#This Row],[LỢI NHUẬN RÒNG]]</f>
        <v>4015148.3917523483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1987274.1</v>
      </c>
      <c r="F73" s="11">
        <v>1049445.0993400321</v>
      </c>
      <c r="G73" s="12">
        <f>D73+Table84141941013242732394348535671421[[#This Row],[LỢI NHUẬN RÒNG]]</f>
        <v>5549445.0993400319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1716498.6</v>
      </c>
      <c r="F74" s="11">
        <v>1269997.7109048725</v>
      </c>
      <c r="G74" s="12">
        <f>D74+Table84141941013242732394348535671421[[#This Row],[LỢI NHUẬN RÒNG]]</f>
        <v>3769997.7109048725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1608367</v>
      </c>
      <c r="F75" s="11">
        <v>695832.03646013292</v>
      </c>
      <c r="G75" s="12">
        <f>D75+Table84141941013242732394348535671421[[#This Row],[LỢI NHUẬN RÒNG]]</f>
        <v>2895832.0364601328</v>
      </c>
    </row>
    <row r="76" spans="1:7" ht="15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882931.19999999995</v>
      </c>
      <c r="F76" s="11">
        <v>458583.43939208833</v>
      </c>
      <c r="G76" s="12">
        <f>D76+Table84141941013242732394348535671421[[#This Row],[LỢI NHUẬN RÒNG]]</f>
        <v>2658583.4393920884</v>
      </c>
    </row>
    <row r="77" spans="1:7" ht="15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2176209.5333333327</v>
      </c>
      <c r="F77" s="11">
        <v>1506629.2829067304</v>
      </c>
      <c r="G77" s="12">
        <f>D77+Table84141941013242732394348535671421[[#This Row],[LỢI NHUẬN RÒNG]]</f>
        <v>8896629.2829067297</v>
      </c>
    </row>
    <row r="78" spans="1:7" ht="15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1049377.3</v>
      </c>
      <c r="F79" s="11">
        <v>254424.79024808406</v>
      </c>
      <c r="G79" s="12">
        <f>D79+Table84141941013242732394348535671421[[#This Row],[LỢI NHUẬN RÒNG]]</f>
        <v>6354424.7902480839</v>
      </c>
    </row>
    <row r="80" spans="1:7" ht="15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1294476.6000000001</v>
      </c>
      <c r="F80" s="11">
        <v>935148.39175234805</v>
      </c>
      <c r="G80" s="12">
        <f>D80+Table84141941013242732394348535671421[[#This Row],[LỢI NHUẬN RÒNG]]</f>
        <v>4015148.3917523483</v>
      </c>
    </row>
    <row r="81" spans="1:7" ht="15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2980911.15</v>
      </c>
      <c r="F81" s="11">
        <v>1574167.649010048</v>
      </c>
      <c r="G81" s="12">
        <f>D81+Table84141941013242732394348535671421[[#This Row],[LỢI NHUẬN RÒNG]]</f>
        <v>8324167.6490100482</v>
      </c>
    </row>
    <row r="82" spans="1:7" ht="15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1716498.6</v>
      </c>
      <c r="F82" s="11">
        <v>1269997.7109048725</v>
      </c>
      <c r="G82" s="12">
        <f>D82+Table84141941013242732394348535671421[[#This Row],[LỢI NHUẬN RÒNG]]</f>
        <v>3769997.7109048725</v>
      </c>
    </row>
    <row r="83" spans="1:7" ht="15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804183.5</v>
      </c>
      <c r="F83" s="11">
        <v>347916.01823006646</v>
      </c>
      <c r="G83" s="12">
        <f>D83+Table84141941013242732394348535671421[[#This Row],[LỢI NHUẬN RÒNG]]</f>
        <v>1447916.0182300664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5070000</v>
      </c>
      <c r="E84" s="11">
        <v>358349.1</v>
      </c>
      <c r="F84" s="11">
        <v>-696000.83264972421</v>
      </c>
      <c r="G84" s="12">
        <f>D84+Table84141941013242732394348535671421[[#This Row],[LỢI NHUẬN RÒNG]]</f>
        <v>4373999.1673502754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1574065.95</v>
      </c>
      <c r="F85" s="11">
        <v>381637.18537212611</v>
      </c>
      <c r="G85" s="12">
        <f>D85+Table84141941013242732394348535671421[[#This Row],[LỢI NHUẬN RÒNG]]</f>
        <v>9531637.1853721254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1294476.6000000001</v>
      </c>
      <c r="F86" s="21">
        <v>935148.39175234805</v>
      </c>
      <c r="G86" s="12">
        <f>D86+Table84141941013242732394348535671421[[#This Row],[LỢI NHUẬN RÒNG]]</f>
        <v>4015148.3917523483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-1627680.4</v>
      </c>
      <c r="F87" s="21">
        <v>-6154411.5412993785</v>
      </c>
      <c r="G87" s="12">
        <f>D87+Table84141941013242732394348535671421[[#This Row],[LỢI NHUẬN RÒNG]]</f>
        <v>17845588.45870062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-1220760.3</v>
      </c>
      <c r="F88" s="21">
        <v>-4615808.6559745343</v>
      </c>
      <c r="G88" s="12">
        <f>D88+Table84141941013242732394348535671421[[#This Row],[LỢI NHUẬN RÒNG]]</f>
        <v>13384191.344025467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-203460.05</v>
      </c>
      <c r="F89" s="21">
        <v>-769301.44266242231</v>
      </c>
      <c r="G89" s="12">
        <f>D89+Table84141941013242732394348535671421[[#This Row],[LỢI NHUẬN RÒNG]]</f>
        <v>2230698.5573375775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-406920.1</v>
      </c>
      <c r="F90" s="21">
        <v>-1538602.8853248446</v>
      </c>
      <c r="G90" s="12">
        <f>D90+Table84141941013242732394348535671421[[#This Row],[LỢI NHUẬN RÒNG]]</f>
        <v>4461397.1146751549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-203460.05</v>
      </c>
      <c r="F91" s="21">
        <v>-769301.44266242231</v>
      </c>
      <c r="G91" s="12">
        <f>D91+Table84141941013242732394348535671421[[#This Row],[LỢI NHUẬN RÒNG]]</f>
        <v>2230698.5573375775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-203460.05</v>
      </c>
      <c r="F92" s="21">
        <v>-769301.44266242231</v>
      </c>
      <c r="G92" s="12">
        <f>D92+Table84141941013242732394348535671421[[#This Row],[LỢI NHUẬN RÒNG]]</f>
        <v>2230698.5573375775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-203460.05</v>
      </c>
      <c r="F93" s="21">
        <v>-769301.44266242231</v>
      </c>
      <c r="G93" s="12">
        <f>D93+Table84141941013242732394348535671421[[#This Row],[LỢI NHUẬN RÒNG]]</f>
        <v>2230698.5573375775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406058.48333333357</v>
      </c>
      <c r="F94" s="21">
        <v>122197.78501655608</v>
      </c>
      <c r="G94" s="12">
        <f>D94+Table84141941013242732394348535671421[[#This Row],[LỢI NHUẬN RÒNG]]</f>
        <v>1772197.785016556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2436350.9000000013</v>
      </c>
      <c r="F95" s="21">
        <v>733186.71009933646</v>
      </c>
      <c r="G95" s="12">
        <f>D95+Table84141941013242732394348535671421[[#This Row],[LỢI NHUẬN RÒNG]]</f>
        <v>10633186.710099336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406058.48333333357</v>
      </c>
      <c r="F96" s="21">
        <v>122197.78501655608</v>
      </c>
      <c r="G96" s="12">
        <f>D96+Table84141941013242732394348535671421[[#This Row],[LỢI NHUẬN RÒNG]]</f>
        <v>1772197.785016556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812116.96666666714</v>
      </c>
      <c r="F97" s="21">
        <v>244395.57003311216</v>
      </c>
      <c r="G97" s="12">
        <f>D97+Table84141941013242732394348535671421[[#This Row],[LỢI NHUẬN RÒNG]]</f>
        <v>3544395.5700331121</v>
      </c>
    </row>
    <row r="98" spans="1:7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406058.48333333357</v>
      </c>
      <c r="F98" s="21">
        <v>122197.78501655608</v>
      </c>
      <c r="G98" s="12">
        <f>D98+Table84141941013242732394348535671421[[#This Row],[LỢI NHUẬN RÒNG]]</f>
        <v>1772197.785016556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2436350.9000000013</v>
      </c>
      <c r="F99" s="21">
        <v>733186.71009933646</v>
      </c>
      <c r="G99" s="12">
        <f>D99+Table84141941013242732394348535671421[[#This Row],[LỢI NHUẬN RÒNG]]</f>
        <v>10633186.710099336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406058.48333333357</v>
      </c>
      <c r="F100" s="21">
        <v>122197.78501655608</v>
      </c>
      <c r="G100" s="12">
        <f>D100+Table84141941013242732394348535671421[[#This Row],[LỢI NHUẬN RÒNG]]</f>
        <v>1772197.785016556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406058.48333333357</v>
      </c>
      <c r="F101" s="21">
        <v>122197.78501655608</v>
      </c>
      <c r="G101" s="12">
        <f>D101+Table84141941013242732394348535671421[[#This Row],[LỢI NHUẬN RÒNG]]</f>
        <v>1772197.785016556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406058.48333333357</v>
      </c>
      <c r="F102" s="21">
        <v>122197.78501655608</v>
      </c>
      <c r="G102" s="12">
        <f>D102+Table84141941013242732394348535671421[[#This Row],[LỢI NHUẬN RÒNG]]</f>
        <v>1772197.785016556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518615.06666666677</v>
      </c>
      <c r="F103" s="21">
        <v>227775.74580030516</v>
      </c>
      <c r="G103" s="12">
        <f>D103+Table84141941013242732394348535671421[[#This Row],[LỢI NHUẬN RÒNG]]</f>
        <v>2152775.7458003052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3111690.4000000004</v>
      </c>
      <c r="F104" s="21">
        <v>1366654.4748018309</v>
      </c>
      <c r="G104" s="12">
        <f>D104+Table84141941013242732394348535671421[[#This Row],[LỢI NHUẬN RÒNG]]</f>
        <v>12916654.474801831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518615.06666666677</v>
      </c>
      <c r="F105" s="21">
        <v>227775.74580030516</v>
      </c>
      <c r="G105" s="12">
        <f>D105+Table84141941013242732394348535671421[[#This Row],[LỢI NHUẬN RÒNG]]</f>
        <v>2152775.7458003052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1037230.1333333335</v>
      </c>
      <c r="F106" s="21">
        <v>455551.49160061032</v>
      </c>
      <c r="G106" s="12">
        <f>D106+Table84141941013242732394348535671421[[#This Row],[LỢI NHUẬN RÒNG]]</f>
        <v>4305551.4916006103</v>
      </c>
    </row>
    <row r="107" spans="1:7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518615.06666666677</v>
      </c>
      <c r="F107" s="21">
        <v>227775.74580030516</v>
      </c>
      <c r="G107" s="12">
        <f>D107+Table84141941013242732394348535671421[[#This Row],[LỢI NHUẬN RÒNG]]</f>
        <v>2152775.7458003052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3111690.4000000004</v>
      </c>
      <c r="F108" s="21">
        <v>1366654.4748018309</v>
      </c>
      <c r="G108" s="12">
        <f>D108+Table84141941013242732394348535671421[[#This Row],[LỢI NHUẬN RÒNG]]</f>
        <v>12916654.474801831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518615.06666666677</v>
      </c>
      <c r="F109" s="21">
        <v>227775.74580030516</v>
      </c>
      <c r="G109" s="12">
        <f>D109+Table84141941013242732394348535671421[[#This Row],[LỢI NHUẬN RÒNG]]</f>
        <v>2152775.7458003052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518615.06666666677</v>
      </c>
      <c r="F110" s="21">
        <v>227775.74580030516</v>
      </c>
      <c r="G110" s="12">
        <f>D110+Table84141941013242732394348535671421[[#This Row],[LỢI NHUẬN RÒNG]]</f>
        <v>2152775.7458003052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518615.06666666677</v>
      </c>
      <c r="F111" s="21">
        <v>227775.74580030516</v>
      </c>
      <c r="G111" s="12">
        <f>D111+Table84141941013242732394348535671421[[#This Row],[LỢI NHUẬN RÒNG]]</f>
        <v>2152775.7458003052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191141.56666666659</v>
      </c>
      <c r="F112" s="21">
        <v>-19332.900547298043</v>
      </c>
      <c r="G112" s="12">
        <f>D112+Table84141941013242732394348535671421[[#This Row],[LỢI NHUẬN RÒNG]]</f>
        <v>1180667.0994527019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1146849.3999999997</v>
      </c>
      <c r="F113" s="21">
        <v>-115997.40328378827</v>
      </c>
      <c r="G113" s="12">
        <f>D113+Table84141941013242732394348535671421[[#This Row],[LỢI NHUẬN RÒNG]]</f>
        <v>7084002.5967162121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191141.56666666659</v>
      </c>
      <c r="F114" s="21">
        <v>-19332.900547298043</v>
      </c>
      <c r="G114" s="12">
        <f>D114+Table84141941013242732394348535671421[[#This Row],[LỢI NHUẬN RÒNG]]</f>
        <v>1180667.0994527019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382283.13333333319</v>
      </c>
      <c r="F115" s="11">
        <v>-38665.801094596085</v>
      </c>
      <c r="G115" s="12">
        <f>D115+Table84141941013242732394348535671421[[#This Row],[LỢI NHUẬN RÒNG]]</f>
        <v>2361334.1989054037</v>
      </c>
    </row>
    <row r="116" spans="1:7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191141.56666666659</v>
      </c>
      <c r="F116" s="11">
        <v>-19332.900547298043</v>
      </c>
      <c r="G116" s="12">
        <f>D116+Table84141941013242732394348535671421[[#This Row],[LỢI NHUẬN RÒNG]]</f>
        <v>1180667.0994527019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1146849.3999999997</v>
      </c>
      <c r="F117" s="11">
        <v>-115997.40328378827</v>
      </c>
      <c r="G117" s="12">
        <f>D117+Table84141941013242732394348535671421[[#This Row],[LỢI NHUẬN RÒNG]]</f>
        <v>7084002.5967162121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191141.56666666659</v>
      </c>
      <c r="F118" s="11">
        <v>-19332.900547298043</v>
      </c>
      <c r="G118" s="12">
        <f>D118+Table84141941013242732394348535671421[[#This Row],[LỢI NHUẬN RÒNG]]</f>
        <v>1180667.0994527019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191141.56666666659</v>
      </c>
      <c r="F119" s="11">
        <v>-19332.900547298043</v>
      </c>
      <c r="G119" s="12">
        <f>D119+Table84141941013242732394348535671421[[#This Row],[LỢI NHUẬN RÒNG]]</f>
        <v>1180667.0994527019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191141.56666666659</v>
      </c>
      <c r="F120" s="21">
        <v>-19332.900547298043</v>
      </c>
      <c r="G120" s="12">
        <f>D120+Table84141941013242732394348535671421[[#This Row],[LỢI NHUẬN RÒNG]]</f>
        <v>1180667.0994527019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3682972.3</v>
      </c>
      <c r="F121" s="11">
        <v>1999656.7972482103</v>
      </c>
      <c r="G121" s="12">
        <f>D121+Table84141941013242732394348535671421[[#This Row],[LỢI NHUẬN RÒNG]]</f>
        <v>6899656.7972482108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1052277.8</v>
      </c>
      <c r="F122" s="11">
        <v>571330.5134994887</v>
      </c>
      <c r="G122" s="12">
        <f>D122+Table84141941013242732394348535671421[[#This Row],[LỢI NHUẬN RÒNG]]</f>
        <v>1971330.5134994886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1052277.8</v>
      </c>
      <c r="F123" s="11">
        <v>571330.5134994887</v>
      </c>
      <c r="G123" s="12">
        <f>D123+Table84141941013242732394348535671421[[#This Row],[LỢI NHUẬN RÒNG]]</f>
        <v>1971330.5134994886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1052277.8</v>
      </c>
      <c r="F124" s="11">
        <v>571330.5134994887</v>
      </c>
      <c r="G124" s="12">
        <f>D124+Table84141941013242732394348535671421[[#This Row],[LỢI NHUẬN RÒNG]]</f>
        <v>1971330.5134994886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526138.9</v>
      </c>
      <c r="F125" s="11">
        <v>285665.25674974435</v>
      </c>
      <c r="G125" s="12">
        <f>D125+Table84141941013242732394348535671421[[#This Row],[LỢI NHUẬN RÒNG]]</f>
        <v>985665.25674974429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2104555.6</v>
      </c>
      <c r="F126" s="11">
        <v>1142661.0269989774</v>
      </c>
      <c r="G126" s="12">
        <f>D126+Table84141941013242732394348535671421[[#This Row],[LỢI NHUẬN RÒNG]]</f>
        <v>3942661.0269989772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1052277.8</v>
      </c>
      <c r="F127" s="21">
        <v>571330.5134994887</v>
      </c>
      <c r="G127" s="12">
        <f>D127+Table84141941013242732394348535671421[[#This Row],[LỢI NHUẬN RÒNG]]</f>
        <v>1971330.5134994886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1994987.6</v>
      </c>
      <c r="F128" s="11">
        <v>802349.270209232</v>
      </c>
      <c r="G128" s="12">
        <f>D128+Table84141941013242732394348535671421[[#This Row],[LỢI NHUẬN RÒNG]]</f>
        <v>9462349.2702092323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997493.8</v>
      </c>
      <c r="F129" s="11">
        <v>401174.635104616</v>
      </c>
      <c r="G129" s="12">
        <f>D129+Table84141941013242732394348535671421[[#This Row],[LỢI NHUẬN RÒNG]]</f>
        <v>4731174.6351046162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997493.8</v>
      </c>
      <c r="F130" s="11">
        <v>401174.635104616</v>
      </c>
      <c r="G130" s="12">
        <f>D130+Table84141941013242732394348535671421[[#This Row],[LỢI NHUẬN RÒNG]]</f>
        <v>4731174.6351046162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1994987.6</v>
      </c>
      <c r="F131" s="11">
        <v>802349.270209232</v>
      </c>
      <c r="G131" s="12">
        <f>D131+Table84141941013242732394348535671421[[#This Row],[LỢI NHUẬN RÒNG]]</f>
        <v>9462349.2702092323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498746.9</v>
      </c>
      <c r="F132" s="11">
        <v>200587.317552308</v>
      </c>
      <c r="G132" s="12">
        <f>D132+Table84141941013242732394348535671421[[#This Row],[LỢI NHUẬN RÒNG]]</f>
        <v>2365587.3175523081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997493.8</v>
      </c>
      <c r="F133" s="11">
        <v>401174.635104616</v>
      </c>
      <c r="G133" s="12">
        <f>D133+Table84141941013242732394348535671421[[#This Row],[LỢI NHUẬN RÒNG]]</f>
        <v>4731174.6351046162</v>
      </c>
    </row>
    <row r="134" spans="1:7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498746.9</v>
      </c>
      <c r="F134" s="11">
        <v>200587.317552308</v>
      </c>
      <c r="G134" s="12">
        <f>D134+Table84141941013242732394348535671421[[#This Row],[LỢI NHUẬN RÒNG]]</f>
        <v>2365587.3175523081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498746.9</v>
      </c>
      <c r="F135" s="11">
        <v>200587.317552308</v>
      </c>
      <c r="G135" s="12">
        <f>D135+Table84141941013242732394348535671421[[#This Row],[LỢI NHUẬN RÒNG]]</f>
        <v>2365587.3175523081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1496240.7</v>
      </c>
      <c r="F136" s="11">
        <v>601761.95265692403</v>
      </c>
      <c r="G136" s="12">
        <f>D136+Table84141941013242732394348535671421[[#This Row],[LỢI NHUẬN RÒNG]]</f>
        <v>7096761.9526569238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848680.9</v>
      </c>
      <c r="F137" s="11">
        <v>409130.46103776543</v>
      </c>
      <c r="G137" s="12">
        <f>D137+Table84141941013242732394348535671421[[#This Row],[LỢI NHUẬN RÒNG]]</f>
        <v>1459130.4610377655</v>
      </c>
    </row>
    <row r="138" spans="1:7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848680.9</v>
      </c>
      <c r="F138" s="11">
        <v>409130.46103776543</v>
      </c>
      <c r="G138" s="12">
        <f>D138+Table84141941013242732394348535671421[[#This Row],[LỢI NHUẬN RÒNG]]</f>
        <v>1459130.4610377655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3819064.05</v>
      </c>
      <c r="F139" s="11">
        <v>1841087.0746699446</v>
      </c>
      <c r="G139" s="12">
        <f>D139+Table84141941013242732394348535671421[[#This Row],[LỢI NHUẬN RÒNG]]</f>
        <v>6566087.0746699441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848680.9</v>
      </c>
      <c r="F140" s="11">
        <v>409130.46103776543</v>
      </c>
      <c r="G140" s="12">
        <f>D140+Table84141941013242732394348535671421[[#This Row],[LỢI NHUẬN RÒNG]]</f>
        <v>1459130.4610377655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1294476.6000000001</v>
      </c>
      <c r="F141" s="21">
        <v>935148.39175234805</v>
      </c>
      <c r="G141" s="12">
        <f>D141+Table84141941013242732394348535671421[[#This Row],[LỢI NHUẬN RÒNG]]</f>
        <v>4015148.3917523483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848680.9</v>
      </c>
      <c r="F142" s="21">
        <v>409130.46103776543</v>
      </c>
      <c r="G142" s="12">
        <f>D142+Table84141941013242732394348535671421[[#This Row],[LỢI NHUẬN RÒNG]]</f>
        <v>1459130.4610377655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1273021.3500000001</v>
      </c>
      <c r="F143" s="21">
        <v>613695.69155664812</v>
      </c>
      <c r="G143" s="12">
        <f>D143+Table84141941013242732394348535671421[[#This Row],[LỢI NHUẬN RÒNG]]</f>
        <v>2188695.6915566484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2826483.1333333324</v>
      </c>
      <c r="F144" s="21">
        <v>1649984.7070604295</v>
      </c>
      <c r="G144" s="12">
        <f>D144+Table84141941013242732394348535671421[[#This Row],[LỢI NHUẬN RÒNG]]</f>
        <v>10049984.70706043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2119862.3499999996</v>
      </c>
      <c r="F145" s="21">
        <v>1237488.5302953222</v>
      </c>
      <c r="G145" s="12">
        <f>D145+Table84141941013242732394348535671421[[#This Row],[LỢI NHUẬN RÒNG]]</f>
        <v>7537488.5302953217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1413241.5666666662</v>
      </c>
      <c r="F146" s="21">
        <v>824992.35353021475</v>
      </c>
      <c r="G146" s="12">
        <f>D146+Table84141941013242732394348535671421[[#This Row],[LỢI NHUẬN RÒNG]]</f>
        <v>5024992.3535302151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4239724.6999999993</v>
      </c>
      <c r="F147" s="21">
        <v>2474977.0605906444</v>
      </c>
      <c r="G147" s="12">
        <f>D147+Table84141941013242732394348535671421[[#This Row],[LỢI NHUẬN RÒNG]]</f>
        <v>15074977.060590643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1413241.5666666662</v>
      </c>
      <c r="F148" s="21">
        <v>824992.35353021475</v>
      </c>
      <c r="G148" s="12">
        <f>D148+Table84141941013242732394348535671421[[#This Row],[LỢI NHUẬN RÒNG]]</f>
        <v>5024992.3535302151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2119862.3499999996</v>
      </c>
      <c r="F149" s="21">
        <v>1237488.5302953222</v>
      </c>
      <c r="G149" s="12">
        <f>D149+Table84141941013242732394348535671421[[#This Row],[LỢI NHUẬN RÒNG]]</f>
        <v>7537488.5302953217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769168</v>
      </c>
      <c r="F150" s="21">
        <v>312585.85239113122</v>
      </c>
      <c r="G150" s="12">
        <f>D150+Table84141941013242732394348535671421[[#This Row],[LỢI NHUẬN RÒNG]]</f>
        <v>3162585.8523911312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769168</v>
      </c>
      <c r="F151" s="21">
        <v>312585.85239113122</v>
      </c>
      <c r="G151" s="12">
        <f>D151+Table84141941013242732394348535671421[[#This Row],[LỢI NHUẬN RÒNG]]</f>
        <v>3162585.8523911312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769168</v>
      </c>
      <c r="F152" s="21">
        <v>312585.85239113122</v>
      </c>
      <c r="G152" s="12">
        <f>D152+Table84141941013242732394348535671421[[#This Row],[LỢI NHUẬN RÒNG]]</f>
        <v>3162585.8523911312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1538336</v>
      </c>
      <c r="F153" s="21">
        <v>625171.70478226244</v>
      </c>
      <c r="G153" s="12">
        <f>D153+Table84141941013242732394348535671421[[#This Row],[LỢI NHUẬN RÒNG]]</f>
        <v>6325171.7047822624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1538336</v>
      </c>
      <c r="F154" s="21">
        <v>625171.70478226244</v>
      </c>
      <c r="G154" s="12">
        <f>D154+Table84141941013242732394348535671421[[#This Row],[LỢI NHUẬN RÒNG]]</f>
        <v>6325171.7047822624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769168</v>
      </c>
      <c r="F155" s="21">
        <v>312585.85239113122</v>
      </c>
      <c r="G155" s="12">
        <f>D155+Table84141941013242732394348535671421[[#This Row],[LỢI NHUẬN RÒNG]]</f>
        <v>3162585.8523911312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769168</v>
      </c>
      <c r="F156" s="21">
        <v>312585.85239113122</v>
      </c>
      <c r="G156" s="12">
        <f>D156+Table84141941013242732394348535671421[[#This Row],[LỢI NHUẬN RÒNG]]</f>
        <v>3162585.8523911312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769168</v>
      </c>
      <c r="F157" s="21">
        <v>312585.85239113122</v>
      </c>
      <c r="G157" s="12">
        <f>D157+Table84141941013242732394348535671421[[#This Row],[LỢI NHUẬN RÒNG]]</f>
        <v>3162585.8523911312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12000000</v>
      </c>
      <c r="E158" s="21">
        <v>-1062037.9800000004</v>
      </c>
      <c r="F158" s="21">
        <v>-2749807.9066821341</v>
      </c>
      <c r="G158" s="12">
        <f>D158+Table84141941013242732394348535671421[[#This Row],[LỢI NHUẬN RÒNG]]</f>
        <v>9250192.0933178663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2000000</v>
      </c>
      <c r="E159" s="21">
        <v>-177006.33000000007</v>
      </c>
      <c r="F159" s="21">
        <v>-458301.31778035575</v>
      </c>
      <c r="G159" s="12">
        <f>D159+Table84141941013242732394348535671421[[#This Row],[LỢI NHUẬN RÒNG]]</f>
        <v>1541698.6822196443</v>
      </c>
      <c r="H159" s="11"/>
    </row>
    <row r="160" spans="1:10" x14ac:dyDescent="0.3">
      <c r="A160" s="23" t="s">
        <v>57</v>
      </c>
      <c r="B160" s="21" t="s">
        <v>33</v>
      </c>
      <c r="C160" s="21">
        <v>5</v>
      </c>
      <c r="D160" s="21">
        <v>2000000</v>
      </c>
      <c r="E160" s="21">
        <v>-177006.33000000007</v>
      </c>
      <c r="F160" s="21">
        <v>-458301.31778035575</v>
      </c>
      <c r="G160" s="12">
        <f>D160+Table84141941013242732394348535671421[[#This Row],[LỢI NHUẬN RÒNG]]</f>
        <v>1541698.6822196443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4000000</v>
      </c>
      <c r="E161" s="21">
        <v>-354012.66000000015</v>
      </c>
      <c r="F161" s="21">
        <v>-916602.6355607115</v>
      </c>
      <c r="G161" s="12">
        <f>D161+Table84141941013242732394348535671421[[#This Row],[LỢI NHUẬN RÒNG]]</f>
        <v>3083397.3644392886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8000000</v>
      </c>
      <c r="E162" s="21">
        <v>-708025.3200000003</v>
      </c>
      <c r="F162" s="21">
        <v>-1833205.271121423</v>
      </c>
      <c r="G162" s="12">
        <f>D162+Table84141941013242732394348535671421[[#This Row],[LỢI NHUẬN RÒNG]]</f>
        <v>6166794.7288785772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2000000</v>
      </c>
      <c r="E163" s="21">
        <v>-177006.33000000007</v>
      </c>
      <c r="F163" s="21">
        <v>-458301.31778035575</v>
      </c>
      <c r="G163" s="12">
        <f>D163+Table84141941013242732394348535671421[[#This Row],[LỢI NHUẬN RÒNG]]</f>
        <v>1541698.6822196443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10000000</v>
      </c>
      <c r="E164" s="21">
        <v>-885031.65000000026</v>
      </c>
      <c r="F164" s="21">
        <v>-2291506.5889017787</v>
      </c>
      <c r="G164" s="12">
        <f>D164+Table84141941013242732394348535671421[[#This Row],[LỢI NHUẬN RÒNG]]</f>
        <v>7708493.4110982213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1875000</v>
      </c>
      <c r="E165" s="21">
        <v>1162485.54</v>
      </c>
      <c r="F165" s="21">
        <v>511201.92171529011</v>
      </c>
      <c r="G165" s="12">
        <f>D165+Table84141941013242732394348535671421[[#This Row],[LỢI NHUẬN RÒNG]]</f>
        <v>2386201.9217152903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3750000</v>
      </c>
      <c r="E166" s="21">
        <v>2324971.08</v>
      </c>
      <c r="F166" s="21">
        <v>1022403.8434305802</v>
      </c>
      <c r="G166" s="12">
        <f>D166+Table84141941013242732394348535671421[[#This Row],[LỢI NHUẬN RÒNG]]</f>
        <v>4772403.8434305806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625000</v>
      </c>
      <c r="E167" s="18">
        <v>387495.18</v>
      </c>
      <c r="F167" s="18">
        <v>170400.64057176336</v>
      </c>
      <c r="G167" s="12">
        <f>D167+Table84141941013242732394348535671421[[#This Row],[LỢI NHUẬN RÒNG]]</f>
        <v>795400.64057176339</v>
      </c>
      <c r="H167" s="11"/>
    </row>
    <row r="168" spans="1:10" x14ac:dyDescent="0.3">
      <c r="A168" s="23" t="s">
        <v>58</v>
      </c>
      <c r="B168" s="21" t="s">
        <v>33</v>
      </c>
      <c r="C168" s="21">
        <v>5</v>
      </c>
      <c r="D168" s="21">
        <v>625000</v>
      </c>
      <c r="E168" s="21">
        <v>387495.18</v>
      </c>
      <c r="F168" s="21">
        <v>170400.64057176336</v>
      </c>
      <c r="G168" s="12">
        <f>D168+Table84141941013242732394348535671421[[#This Row],[LỢI NHUẬN RÒNG]]</f>
        <v>795400.64057176339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1250000</v>
      </c>
      <c r="E169" s="21">
        <v>774990.36</v>
      </c>
      <c r="F169" s="21">
        <v>340801.28114352672</v>
      </c>
      <c r="G169" s="12">
        <f>D169+Table84141941013242732394348535671421[[#This Row],[LỢI NHUẬN RÒNG]]</f>
        <v>1590801.2811435268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2500000</v>
      </c>
      <c r="E170" s="21">
        <v>1549980.72</v>
      </c>
      <c r="F170" s="21">
        <v>681602.56228705344</v>
      </c>
      <c r="G170" s="12">
        <f>D170+Table84141941013242732394348535671421[[#This Row],[LỢI NHUẬN RÒNG]]</f>
        <v>3181602.5622870536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625000</v>
      </c>
      <c r="E171" s="21">
        <v>387495.18</v>
      </c>
      <c r="F171" s="21">
        <v>170400.64057176336</v>
      </c>
      <c r="G171" s="12">
        <f>D171+Table84141941013242732394348535671421[[#This Row],[LỢI NHUẬN RÒNG]]</f>
        <v>795400.64057176339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625000</v>
      </c>
      <c r="E172" s="21">
        <v>387495.18</v>
      </c>
      <c r="F172" s="21">
        <v>170400.64057176336</v>
      </c>
      <c r="G172" s="12">
        <f>D172+Table84141941013242732394348535671421[[#This Row],[LỢI NHUẬN RÒNG]]</f>
        <v>795400.64057176339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625000</v>
      </c>
      <c r="E173" s="21">
        <v>387495.18</v>
      </c>
      <c r="F173" s="21">
        <v>170400.64057176336</v>
      </c>
      <c r="G173" s="12">
        <f>D173+Table84141941013242732394348535671421[[#This Row],[LỢI NHUẬN RÒNG]]</f>
        <v>795400.64057176339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2309127.2000000002</v>
      </c>
      <c r="F174" s="21">
        <v>1571555.4842803315</v>
      </c>
      <c r="G174" s="12">
        <f>D174+Table84141941013242732394348535671421[[#This Row],[LỢI NHUẬN RÒNG]]</f>
        <v>8971555.4842803311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577281.80000000005</v>
      </c>
      <c r="F175" s="21">
        <v>392888.87107008288</v>
      </c>
      <c r="G175" s="12">
        <f>D175+Table84141941013242732394348535671421[[#This Row],[LỢI NHUẬN RÒNG]]</f>
        <v>2242888.8710700828</v>
      </c>
      <c r="H175" s="11"/>
    </row>
    <row r="176" spans="1:10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1154563.6000000001</v>
      </c>
      <c r="F176" s="21">
        <v>785777.74214016576</v>
      </c>
      <c r="G176" s="12">
        <f>D176+Table84141941013242732394348535671421[[#This Row],[LỢI NHUẬN RÒNG]]</f>
        <v>4485777.7421401655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1154563.6000000001</v>
      </c>
      <c r="F177" s="21">
        <v>785777.74214016576</v>
      </c>
      <c r="G177" s="12">
        <f>D177+Table84141941013242732394348535671421[[#This Row],[LỢI NHUẬN RÒNG]]</f>
        <v>4485777.7421401655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577281.80000000005</v>
      </c>
      <c r="F178" s="21">
        <v>392888.87107008288</v>
      </c>
      <c r="G178" s="12">
        <f>D178+Table84141941013242732394348535671421[[#This Row],[LỢI NHUẬN RÒNG]]</f>
        <v>2242888.8710700828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2309127.2000000002</v>
      </c>
      <c r="F179" s="21">
        <v>1571555.4842803315</v>
      </c>
      <c r="G179" s="12">
        <f>D179+Table84141941013242732394348535671421[[#This Row],[LỢI NHUẬN RÒNG]]</f>
        <v>8971555.4842803311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1154563.6000000001</v>
      </c>
      <c r="F180" s="21">
        <v>785777.74214016576</v>
      </c>
      <c r="G180" s="12">
        <f>D180+Table84141941013242732394348535671421[[#This Row],[LỢI NHUẬN RÒNG]]</f>
        <v>4485777.7421401655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577281.80000000005</v>
      </c>
      <c r="F181" s="21">
        <v>392888.87107008288</v>
      </c>
      <c r="G181" s="12">
        <f>D181+Table84141941013242732394348535671421[[#This Row],[LỢI NHUẬN RÒNG]]</f>
        <v>2242888.8710700828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1731845.4</v>
      </c>
      <c r="F182" s="21">
        <v>1178666.6132102488</v>
      </c>
      <c r="G182" s="12">
        <f>D182+Table84141941013242732394348535671421[[#This Row],[LỢI NHUẬN RÒNG]]</f>
        <v>6728666.6132102488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255587.43333333282</v>
      </c>
      <c r="F183" s="18">
        <v>-50002.542227378486</v>
      </c>
      <c r="G183" s="12">
        <f>D183+Table84141941013242732394348535671421[[#This Row],[LỢI NHUẬN RÒNG]]</f>
        <v>3116664.1244392884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383381.14999999927</v>
      </c>
      <c r="F184" s="21">
        <v>-75003.813341067726</v>
      </c>
      <c r="G184" s="12">
        <f>D184+Table84141941013242732394348535671421[[#This Row],[LỢI NHUẬN RÒNG]]</f>
        <v>4674996.1866589319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127793.71666666641</v>
      </c>
      <c r="F185" s="21">
        <v>-25001.271113689243</v>
      </c>
      <c r="G185" s="12">
        <f>D185+Table84141941013242732394348535671421[[#This Row],[LỢI NHUẬN RÒNG]]</f>
        <v>1558332.0622196442</v>
      </c>
      <c r="H185" s="28"/>
    </row>
    <row r="186" spans="1:9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127793.71666666641</v>
      </c>
      <c r="F186" s="21">
        <v>-25001.271113689243</v>
      </c>
      <c r="G186" s="12">
        <f>D186+Table84141941013242732394348535671421[[#This Row],[LỢI NHUẬN RÒNG]]</f>
        <v>1558332.0622196442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255587.43333333282</v>
      </c>
      <c r="F187" s="21">
        <v>-50002.542227378486</v>
      </c>
      <c r="G187" s="12">
        <f>D187+Table84141941013242732394348535671421[[#This Row],[LỢI NHUẬN RÒNG]]</f>
        <v>3116664.1244392884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255587.43333333282</v>
      </c>
      <c r="F188" s="21">
        <v>-50002.542227378486</v>
      </c>
      <c r="G188" s="12">
        <f>D188+Table84141941013242732394348535671421[[#This Row],[LỢI NHUẬN RÒNG]]</f>
        <v>3116664.1244392884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383381.14999999927</v>
      </c>
      <c r="F189" s="21">
        <v>-75003.813341067726</v>
      </c>
      <c r="G189" s="12">
        <f>D189+Table84141941013242732394348535671421[[#This Row],[LỢI NHUẬN RÒNG]]</f>
        <v>4674996.1866589319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127793.71666666641</v>
      </c>
      <c r="F190" s="21">
        <v>-25001.271113689243</v>
      </c>
      <c r="G190" s="12">
        <f>D190+Table84141941013242732394348535671421[[#This Row],[LỢI NHUẬN RÒNG]]</f>
        <v>1558332.0622196442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255587.43333333282</v>
      </c>
      <c r="F191" s="21">
        <v>-50002.542227378486</v>
      </c>
      <c r="G191" s="12">
        <f>D191+Table84141941013242732394348535671421[[#This Row],[LỢI NHUẬN RÒNG]]</f>
        <v>3116664.1244392884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127793.71666666641</v>
      </c>
      <c r="F192" s="21">
        <v>-25001.271113689243</v>
      </c>
      <c r="G192" s="12">
        <f>D192+Table84141941013242732394348535671421[[#This Row],[LỢI NHUẬN RÒNG]]</f>
        <v>1558332.0622196442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127793.71666666641</v>
      </c>
      <c r="F193" s="21">
        <v>-25001.271113689243</v>
      </c>
      <c r="G193" s="12">
        <f>D193+Table84141941013242732394348535671421[[#This Row],[LỢI NHUẬN RÒNG]]</f>
        <v>1558332.0622196442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127793.71666666641</v>
      </c>
      <c r="F194" s="21">
        <v>-25001.271113689243</v>
      </c>
      <c r="G194" s="12">
        <f>D194+Table84141941013242732394348535671421[[#This Row],[LỢI NHUẬN RÒNG]]</f>
        <v>1558332.0622196442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1233134.8500000001</v>
      </c>
      <c r="F195" s="21">
        <v>816752.36442272877</v>
      </c>
      <c r="G195" s="12">
        <f>D195+Table84141941013242732394348535671421[[#This Row],[LỢI NHUẬN RÒNG]]</f>
        <v>2316752.3644227288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1233134.8500000001</v>
      </c>
      <c r="F196" s="21">
        <v>816752.36442272877</v>
      </c>
      <c r="G196" s="12">
        <f>D196+Table84141941013242732394348535671421[[#This Row],[LỢI NHUẬN RÒNG]]</f>
        <v>2316752.3644227288</v>
      </c>
      <c r="H196" s="28"/>
    </row>
    <row r="197" spans="1:8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411044.95</v>
      </c>
      <c r="F197" s="21">
        <v>272250.78814090957</v>
      </c>
      <c r="G197" s="12">
        <f>D197+Table84141941013242732394348535671421[[#This Row],[LỢI NHUẬN RÒNG]]</f>
        <v>772250.78814090951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822089.9</v>
      </c>
      <c r="F198" s="21">
        <v>544501.57628181914</v>
      </c>
      <c r="G198" s="12">
        <f>D198+Table84141941013242732394348535671421[[#This Row],[LỢI NHUẬN RÒNG]]</f>
        <v>1544501.576281819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822089.9</v>
      </c>
      <c r="F199" s="21">
        <v>544501.57628181914</v>
      </c>
      <c r="G199" s="12">
        <f>D199+Table84141941013242732394348535671421[[#This Row],[LỢI NHUẬN RÒNG]]</f>
        <v>1544501.576281819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1233134.8500000001</v>
      </c>
      <c r="F200" s="21">
        <v>816752.36442272877</v>
      </c>
      <c r="G200" s="12">
        <f>D200+Table84141941013242732394348535671421[[#This Row],[LỢI NHUẬN RÒNG]]</f>
        <v>2316752.3644227288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411044.95</v>
      </c>
      <c r="F201" s="21">
        <v>272250.78814090957</v>
      </c>
      <c r="G201" s="12">
        <f>D201+Table84141941013242732394348535671421[[#This Row],[LỢI NHUẬN RÒNG]]</f>
        <v>772250.78814090951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411044.95</v>
      </c>
      <c r="F202" s="21">
        <v>272250.78814090957</v>
      </c>
      <c r="G202" s="12">
        <f>D202+Table84141941013242732394348535671421[[#This Row],[LỢI NHUẬN RÒNG]]</f>
        <v>772250.78814090951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411044.95</v>
      </c>
      <c r="F203" s="21">
        <v>272250.78814090957</v>
      </c>
      <c r="G203" s="12">
        <f>D203+Table84141941013242732394348535671421[[#This Row],[LỢI NHUẬN RÒNG]]</f>
        <v>772250.78814090951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822089.9</v>
      </c>
      <c r="F204" s="21">
        <v>544501.57628181914</v>
      </c>
      <c r="G204" s="12">
        <f>D204+Table84141941013242732394348535671421[[#This Row],[LỢI NHUẬN RÒNG]]</f>
        <v>1544501.576281819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411044.95</v>
      </c>
      <c r="F205" s="21">
        <v>272250.78814090957</v>
      </c>
      <c r="G205" s="12">
        <f>D205+Table84141941013242732394348535671421[[#This Row],[LỢI NHUẬN RÒNG]]</f>
        <v>772250.78814090951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746497.1</v>
      </c>
      <c r="F206" s="21">
        <v>202958.78674219101</v>
      </c>
      <c r="G206" s="21">
        <f>Table84141941013242732394348535671421[[#This Row],[VỐN CP]]+Table84141941013242732394348535671421[[#This Row],[LỢI NHUẬN RÒNG]]</f>
        <v>3802958.7867421908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1866242.75</v>
      </c>
      <c r="F207" s="21">
        <v>507396.96685547754</v>
      </c>
      <c r="G207" s="21">
        <f>Table84141941013242732394348535671421[[#This Row],[VỐN CP]]+Table84141941013242732394348535671421[[#This Row],[LỢI NHUẬN RÒNG]]</f>
        <v>9507396.9668554775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746497.1</v>
      </c>
      <c r="F208" s="21">
        <v>202958.78674219101</v>
      </c>
      <c r="G208" s="21">
        <f>Table84141941013242732394348535671421[[#This Row],[VỐN CP]]+Table84141941013242732394348535671421[[#This Row],[LỢI NHUẬN RÒNG]]</f>
        <v>3802958.7867421908</v>
      </c>
      <c r="H208" s="28"/>
    </row>
    <row r="209" spans="1:8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373248.55</v>
      </c>
      <c r="F209" s="21">
        <v>101479.3933710955</v>
      </c>
      <c r="G209" s="21">
        <f>Table84141941013242732394348535671421[[#This Row],[VỐN CP]]+Table84141941013242732394348535671421[[#This Row],[LỢI NHUẬN RÒNG]]</f>
        <v>1901479.3933710954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373248.55</v>
      </c>
      <c r="F210" s="21">
        <v>101479.3933710955</v>
      </c>
      <c r="G210" s="21">
        <f>Table84141941013242732394348535671421[[#This Row],[VỐN CP]]+Table84141941013242732394348535671421[[#This Row],[LỢI NHUẬN RÒNG]]</f>
        <v>1901479.3933710954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1492994.2</v>
      </c>
      <c r="F211" s="21">
        <v>405917.57348438201</v>
      </c>
      <c r="G211" s="21">
        <f>Table84141941013242732394348535671421[[#This Row],[VỐN CP]]+Table84141941013242732394348535671421[[#This Row],[LỢI NHUẬN RÒNG]]</f>
        <v>7605917.5734843817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746497.1</v>
      </c>
      <c r="F212" s="21">
        <v>202958.78674219101</v>
      </c>
      <c r="G212" s="21">
        <f>Table84141941013242732394348535671421[[#This Row],[VỐN CP]]+Table84141941013242732394348535671421[[#This Row],[LỢI NHUẬN RÒNG]]</f>
        <v>3802958.7867421908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373248.55</v>
      </c>
      <c r="F213" s="21">
        <v>101479.3933710955</v>
      </c>
      <c r="G213" s="21">
        <f>Table84141941013242732394348535671421[[#This Row],[VỐN CP]]+Table84141941013242732394348535671421[[#This Row],[LỢI NHUẬN RÒNG]]</f>
        <v>1901479.3933710954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746497.1</v>
      </c>
      <c r="F214" s="21">
        <v>202958.78674219101</v>
      </c>
      <c r="G214" s="21">
        <f>Table84141941013242732394348535671421[[#This Row],[VỐN CP]]+Table84141941013242732394348535671421[[#This Row],[LỢI NHUẬN RÒNG]]</f>
        <v>3802958.7867421908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822365.4</v>
      </c>
      <c r="F215" s="21">
        <v>109575.30281465649</v>
      </c>
      <c r="G215" s="21">
        <f>Table84141941013242732394348535671421[[#This Row],[VỐN CP]]+Table84141941013242732394348535671421[[#This Row],[LỢI NHUẬN RÒNG]]</f>
        <v>6309575.3028146569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1644730.8</v>
      </c>
      <c r="F216" s="21">
        <v>219150.60562931298</v>
      </c>
      <c r="G216" s="21">
        <f>Table84141941013242732394348535671421[[#This Row],[VỐN CP]]+Table84141941013242732394348535671421[[#This Row],[LỢI NHUẬN RÒNG]]</f>
        <v>12619150.605629314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822365.4</v>
      </c>
      <c r="F217" s="21">
        <v>109575.30281465649</v>
      </c>
      <c r="G217" s="21">
        <f>Table84141941013242732394348535671421[[#This Row],[VỐN CP]]+Table84141941013242732394348535671421[[#This Row],[LỢI NHUẬN RÒNG]]</f>
        <v>6309575.3028146569</v>
      </c>
      <c r="H217" s="28"/>
    </row>
    <row r="218" spans="1:8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411182.7</v>
      </c>
      <c r="F218" s="21">
        <v>54787.651407328245</v>
      </c>
      <c r="G218" s="21">
        <f>Table84141941013242732394348535671421[[#This Row],[VỐN CP]]+Table84141941013242732394348535671421[[#This Row],[LỢI NHUẬN RÒNG]]</f>
        <v>3154787.6514073284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411182.7</v>
      </c>
      <c r="F219" s="21">
        <v>54787.651407328245</v>
      </c>
      <c r="G219" s="21">
        <f>Table84141941013242732394348535671421[[#This Row],[VỐN CP]]+Table84141941013242732394348535671421[[#This Row],[LỢI NHUẬN RÒNG]]</f>
        <v>3154787.6514073284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822365.4</v>
      </c>
      <c r="F220" s="21">
        <v>109575.30281465649</v>
      </c>
      <c r="G220" s="21">
        <f>Table84141941013242732394348535671421[[#This Row],[VỐN CP]]+Table84141941013242732394348535671421[[#This Row],[LỢI NHUẬN RÒNG]]</f>
        <v>6309575.3028146569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411182.7</v>
      </c>
      <c r="F221" s="21">
        <v>54787.651407328245</v>
      </c>
      <c r="G221" s="21">
        <f>Table84141941013242732394348535671421[[#This Row],[VỐN CP]]+Table84141941013242732394348535671421[[#This Row],[LỢI NHUẬN RÒNG]]</f>
        <v>3154787.6514073284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822365.4</v>
      </c>
      <c r="F222" s="21">
        <v>109575.30281465649</v>
      </c>
      <c r="G222" s="21">
        <f>Table84141941013242732394348535671421[[#This Row],[VỐN CP]]+Table84141941013242732394348535671421[[#This Row],[LỢI NHUẬN RÒNG]]</f>
        <v>6309575.3028146569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822365.4</v>
      </c>
      <c r="F223" s="21">
        <v>109575.30281465649</v>
      </c>
      <c r="G223" s="21">
        <f>Table84141941013242732394348535671421[[#This Row],[VỐN CP]]+Table84141941013242732394348535671421[[#This Row],[LỢI NHUẬN RÒNG]]</f>
        <v>6309575.3028146569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411182.7</v>
      </c>
      <c r="F224" s="21">
        <v>54787.651407328245</v>
      </c>
      <c r="G224" s="21">
        <f>Table84141941013242732394348535671421[[#This Row],[VỐN CP]]+Table84141941013242732394348535671421[[#This Row],[LỢI NHUẬN RÒNG]]</f>
        <v>3154787.6514073284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822365.4</v>
      </c>
      <c r="F225" s="21">
        <v>109575.30281465649</v>
      </c>
      <c r="G225" s="21">
        <f>Table84141941013242732394348535671421[[#This Row],[VỐN CP]]+Table84141941013242732394348535671421[[#This Row],[LỢI NHUẬN RÒNG]]</f>
        <v>6309575.3028146569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1211185.6000000001</v>
      </c>
      <c r="F226" s="21">
        <v>663229.42887807486</v>
      </c>
      <c r="G226" s="21">
        <f>Table84141941013242732394348535671421[[#This Row],[VỐN CP]]+Table84141941013242732394348535671421[[#This Row],[LỢI NHUẬN RÒNG]]</f>
        <v>4363229.4288780745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2422371.2000000002</v>
      </c>
      <c r="F227" s="21">
        <v>1326458.8577561497</v>
      </c>
      <c r="G227" s="21">
        <f>Table84141941013242732394348535671421[[#This Row],[VỐN CP]]+Table84141941013242732394348535671421[[#This Row],[LỢI NHUẬN RÒNG]]</f>
        <v>8726458.857756149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1211185.6000000001</v>
      </c>
      <c r="F228" s="21">
        <v>663229.42887807486</v>
      </c>
      <c r="G228" s="21">
        <f>Table84141941013242732394348535671421[[#This Row],[VỐN CP]]+Table84141941013242732394348535671421[[#This Row],[LỢI NHUẬN RÒNG]]</f>
        <v>4363229.4288780745</v>
      </c>
      <c r="H228" s="28"/>
    </row>
    <row r="229" spans="1:10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605592.80000000005</v>
      </c>
      <c r="F229" s="21">
        <v>331614.71443903743</v>
      </c>
      <c r="G229" s="21">
        <f>Table84141941013242732394348535671421[[#This Row],[VỐN CP]]+Table84141941013242732394348535671421[[#This Row],[LỢI NHUẬN RÒNG]]</f>
        <v>2181614.7144390373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605592.80000000005</v>
      </c>
      <c r="F230" s="21">
        <v>331614.71443903743</v>
      </c>
      <c r="G230" s="21">
        <f>Table84141941013242732394348535671421[[#This Row],[VỐN CP]]+Table84141941013242732394348535671421[[#This Row],[LỢI NHUẬN RÒNG]]</f>
        <v>2181614.7144390373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1211185.6000000001</v>
      </c>
      <c r="F231" s="21">
        <v>663229.42887807486</v>
      </c>
      <c r="G231" s="21">
        <f>Table84141941013242732394348535671421[[#This Row],[VỐN CP]]+Table84141941013242732394348535671421[[#This Row],[LỢI NHUẬN RÒNG]]</f>
        <v>4363229.4288780745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605592.80000000005</v>
      </c>
      <c r="F232" s="21">
        <v>331614.71443903743</v>
      </c>
      <c r="G232" s="21">
        <f>Table84141941013242732394348535671421[[#This Row],[VỐN CP]]+Table84141941013242732394348535671421[[#This Row],[LỢI NHUẬN RÒNG]]</f>
        <v>2181614.7144390373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1211185.6000000001</v>
      </c>
      <c r="F233" s="21">
        <v>663229.42887807486</v>
      </c>
      <c r="G233" s="21">
        <f>Table84141941013242732394348535671421[[#This Row],[VỐN CP]]+Table84141941013242732394348535671421[[#This Row],[LỢI NHUẬN RÒNG]]</f>
        <v>4363229.4288780745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605592.80000000005</v>
      </c>
      <c r="F234" s="11">
        <v>331614.71443903743</v>
      </c>
      <c r="G234" s="21">
        <f>Table84141941013242732394348535671421[[#This Row],[VỐN CP]]+Table84141941013242732394348535671421[[#This Row],[LỢI NHUẬN RÒNG]]</f>
        <v>2181614.7144390373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1211185.6000000001</v>
      </c>
      <c r="F235" s="21">
        <v>663229.42887807486</v>
      </c>
      <c r="G235" s="21">
        <f>Table84141941013242732394348535671421[[#This Row],[VỐN CP]]+Table84141941013242732394348535671421[[#This Row],[LỢI NHUẬN RÒNG]]</f>
        <v>4363229.4288780745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1211185.6000000001</v>
      </c>
      <c r="F236" s="21">
        <v>663229.42887807486</v>
      </c>
      <c r="G236" s="21">
        <f>Table84141941013242732394348535671421[[#This Row],[VỐN CP]]+Table84141941013242732394348535671421[[#This Row],[LỢI NHUẬN RÒNG]]</f>
        <v>4363229.4288780745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640701.5</v>
      </c>
      <c r="F237" s="21">
        <v>157827.65970089211</v>
      </c>
      <c r="G237" s="21">
        <f>Table84141941013242732394348535671421[[#This Row],[VỐN CP]]+Table84141941013242732394348535671421[[#This Row],[LỢI NHUẬN RÒNG]]</f>
        <v>3657827.6597008919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1922104.5</v>
      </c>
      <c r="F238" s="21">
        <v>473482.97910267639</v>
      </c>
      <c r="G238" s="21">
        <f>Table84141941013242732394348535671421[[#This Row],[VỐN CP]]+Table84141941013242732394348535671421[[#This Row],[LỢI NHUẬN RÒNG]]</f>
        <v>10973482.979102677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640701.5</v>
      </c>
      <c r="F239" s="21">
        <v>157827.65970089211</v>
      </c>
      <c r="G239" s="21">
        <f>Table84141941013242732394348535671421[[#This Row],[VỐN CP]]+Table84141941013242732394348535671421[[#This Row],[LỢI NHUẬN RÒNG]]</f>
        <v>3657827.6597008919</v>
      </c>
      <c r="H239" s="28"/>
      <c r="I239" s="11"/>
      <c r="J239" s="11"/>
    </row>
    <row r="240" spans="1:10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320350.75</v>
      </c>
      <c r="F240" s="21">
        <v>78913.829850446054</v>
      </c>
      <c r="G240" s="21">
        <f>Table84141941013242732394348535671421[[#This Row],[VỐN CP]]+Table84141941013242732394348535671421[[#This Row],[LỢI NHUẬN RÒNG]]</f>
        <v>1828913.829850446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640701.5</v>
      </c>
      <c r="F241" s="21">
        <v>157827.65970089211</v>
      </c>
      <c r="G241" s="21">
        <f>Table84141941013242732394348535671421[[#This Row],[VỐN CP]]+Table84141941013242732394348535671421[[#This Row],[LỢI NHUẬN RÒNG]]</f>
        <v>3657827.6597008919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640701.5</v>
      </c>
      <c r="F242" s="21">
        <v>157827.65970089211</v>
      </c>
      <c r="G242" s="21">
        <f>Table84141941013242732394348535671421[[#This Row],[VỐN CP]]+Table84141941013242732394348535671421[[#This Row],[LỢI NHUẬN RÒNG]]</f>
        <v>3657827.6597008919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640701.5</v>
      </c>
      <c r="F243" s="21">
        <v>157827.65970089211</v>
      </c>
      <c r="G243" s="21">
        <f>Table84141941013242732394348535671421[[#This Row],[VỐN CP]]+Table84141941013242732394348535671421[[#This Row],[LỢI NHUẬN RÒNG]]</f>
        <v>3657827.6597008919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640701.5</v>
      </c>
      <c r="F244" s="21">
        <v>157827.65970089211</v>
      </c>
      <c r="G244" s="21">
        <f>Table84141941013242732394348535671421[[#This Row],[VỐN CP]]+Table84141941013242732394348535671421[[#This Row],[LỢI NHUẬN RÒNG]]</f>
        <v>3657827.6597008919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320350.75</v>
      </c>
      <c r="F245" s="21">
        <v>78913.829850446054</v>
      </c>
      <c r="G245" s="21">
        <f>Table84141941013242732394348535671421[[#This Row],[VỐN CP]]+Table84141941013242732394348535671421[[#This Row],[LỢI NHUẬN RÒNG]]</f>
        <v>1828913.829850446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1119912.5</v>
      </c>
      <c r="F246" s="21">
        <v>-9732.7183014154434</v>
      </c>
      <c r="G246" s="21">
        <f>Table84141941013242732394348535671421[[#This Row],[VỐN CP]]+Table84141941013242732394348535671421[[#This Row],[LỢI NHUẬN RÒNG]]</f>
        <v>4990267.2816985846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2239825</v>
      </c>
      <c r="F247" s="21">
        <v>-19465.436602830887</v>
      </c>
      <c r="G247" s="21">
        <f>Table84141941013242732394348535671421[[#This Row],[VỐN CP]]+Table84141941013242732394348535671421[[#This Row],[LỢI NHUẬN RÒNG]]</f>
        <v>9980534.5633971691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1119912.5</v>
      </c>
      <c r="F248" s="21">
        <v>-9732.7183014154434</v>
      </c>
      <c r="G248" s="21">
        <f>Table84141941013242732394348535671421[[#This Row],[VỐN CP]]+Table84141941013242732394348535671421[[#This Row],[LỢI NHUẬN RÒNG]]</f>
        <v>4990267.2816985846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559956.25</v>
      </c>
      <c r="F249" s="21">
        <v>-4866.3591507077217</v>
      </c>
      <c r="G249" s="21">
        <f>Table84141941013242732394348535671421[[#This Row],[VỐN CP]]+Table84141941013242732394348535671421[[#This Row],[LỢI NHUẬN RÒNG]]</f>
        <v>2495133.6408492923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1119912.5</v>
      </c>
      <c r="F250" s="21">
        <v>-9732.7183014154434</v>
      </c>
      <c r="G250" s="21">
        <f>Table84141941013242732394348535671421[[#This Row],[VỐN CP]]+Table84141941013242732394348535671421[[#This Row],[LỢI NHUẬN RÒNG]]</f>
        <v>4990267.2816985846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559956.25</v>
      </c>
      <c r="F251" s="21">
        <v>-4866.3591507077217</v>
      </c>
      <c r="G251" s="21">
        <f>Table84141941013242732394348535671421[[#This Row],[VỐN CP]]+Table84141941013242732394348535671421[[#This Row],[LỢI NHUẬN RÒNG]]</f>
        <v>2495133.6408492923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1119912.5</v>
      </c>
      <c r="F252" s="21">
        <v>-9732.7183014154434</v>
      </c>
      <c r="G252" s="21">
        <f>Table84141941013242732394348535671421[[#This Row],[VỐN CP]]+Table84141941013242732394348535671421[[#This Row],[LỢI NHUẬN RÒNG]]</f>
        <v>4990267.2816985846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559956.25</v>
      </c>
      <c r="F253" s="21">
        <v>-4866.3591507077217</v>
      </c>
      <c r="G253" s="21">
        <f>Table84141941013242732394348535671421[[#This Row],[VỐN CP]]+Table84141941013242732394348535671421[[#This Row],[LỢI NHUẬN RÒNG]]</f>
        <v>2495133.6408492923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559956.25</v>
      </c>
      <c r="F254" s="21">
        <v>-4866.3591507077217</v>
      </c>
      <c r="G254" s="21">
        <f>Table84141941013242732394348535671421[[#This Row],[VỐN CP]]+Table84141941013242732394348535671421[[#This Row],[LỢI NHUẬN RÒNG]]</f>
        <v>2495133.6408492923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1119912.5</v>
      </c>
      <c r="F255" s="21">
        <v>-9732.7183014154434</v>
      </c>
      <c r="G255" s="21">
        <f>Table84141941013242732394348535671421[[#This Row],[VỐN CP]]+Table84141941013242732394348535671421[[#This Row],[LỢI NHUẬN RÒNG]]</f>
        <v>4990267.2816985846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559956.25</v>
      </c>
      <c r="F256" s="21">
        <v>-4866.3591507077217</v>
      </c>
      <c r="G256" s="21">
        <f>Table84141941013242732394348535671421[[#This Row],[VỐN CP]]+Table84141941013242732394348535671421[[#This Row],[LỢI NHUẬN RÒNG]]</f>
        <v>2495133.6408492923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559956.25</v>
      </c>
      <c r="F257" s="21">
        <v>-4866.3591507077217</v>
      </c>
      <c r="G257" s="21">
        <f>Table84141941013242732394348535671421[[#This Row],[VỐN CP]]+Table84141941013242732394348535671421[[#This Row],[LỢI NHUẬN RÒNG]]</f>
        <v>2495133.6408492923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737097.7</v>
      </c>
      <c r="F258" s="21">
        <v>304446.58756053372</v>
      </c>
      <c r="G258" s="21">
        <f>Table84141941013242732394348535671421[[#This Row],[VỐN CP]]+Table84141941013242732394348535671421[[#This Row],[LỢI NHUẬN RÒNG]]</f>
        <v>2204446.5875605335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1474195.4</v>
      </c>
      <c r="F259" s="21">
        <v>608893.17512106744</v>
      </c>
      <c r="G259" s="21">
        <f>Table84141941013242732394348535671421[[#This Row],[VỐN CP]]+Table84141941013242732394348535671421[[#This Row],[LỢI NHUẬN RÒNG]]</f>
        <v>4408893.1751210671</v>
      </c>
      <c r="H259" s="28"/>
      <c r="I259" s="11"/>
      <c r="J259" s="11"/>
    </row>
    <row r="260" spans="1:10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368548.85</v>
      </c>
      <c r="F260" s="21">
        <v>152223.29378026686</v>
      </c>
      <c r="G260" s="21">
        <f>Table84141941013242732394348535671421[[#This Row],[VỐN CP]]+Table84141941013242732394348535671421[[#This Row],[LỢI NHUẬN RÒNG]]</f>
        <v>1102223.2937802668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737097.7</v>
      </c>
      <c r="F261" s="21">
        <v>304446.58756053372</v>
      </c>
      <c r="G261" s="21">
        <f>Table84141941013242732394348535671421[[#This Row],[VỐN CP]]+Table84141941013242732394348535671421[[#This Row],[LỢI NHUẬN RÒNG]]</f>
        <v>2204446.5875605335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1105646.55</v>
      </c>
      <c r="F262" s="21">
        <v>456669.88134080061</v>
      </c>
      <c r="G262" s="21">
        <f>Table84141941013242732394348535671421[[#This Row],[VỐN CP]]+Table84141941013242732394348535671421[[#This Row],[LỢI NHUẬN RÒNG]]</f>
        <v>3306669.8813408008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737097.7</v>
      </c>
      <c r="F263" s="21">
        <v>304446.58756053372</v>
      </c>
      <c r="G263" s="21">
        <f>Table84141941013242732394348535671421[[#This Row],[VỐN CP]]+Table84141941013242732394348535671421[[#This Row],[LỢI NHUẬN RÒNG]]</f>
        <v>2204446.5875605335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368548.85</v>
      </c>
      <c r="F264" s="21">
        <v>152223.29378026686</v>
      </c>
      <c r="G264" s="21">
        <f>Table84141941013242732394348535671421[[#This Row],[VỐN CP]]+Table84141941013242732394348535671421[[#This Row],[LỢI NHUẬN RÒNG]]</f>
        <v>1102223.2937802668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1474195.4</v>
      </c>
      <c r="F265" s="21">
        <v>608893.17512106744</v>
      </c>
      <c r="G265" s="21">
        <f>Table84141941013242732394348535671421[[#This Row],[VỐN CP]]+Table84141941013242732394348535671421[[#This Row],[LỢI NHUẬN RÒNG]]</f>
        <v>4408893.1751210671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368548.85</v>
      </c>
      <c r="F266" s="21">
        <v>152223.29378026686</v>
      </c>
      <c r="G266" s="21">
        <f>Table84141941013242732394348535671421[[#This Row],[VỐN CP]]+Table84141941013242732394348535671421[[#This Row],[LỢI NHUẬN RÒNG]]</f>
        <v>1102223.2937802668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1641758</v>
      </c>
      <c r="F267" s="21">
        <v>1250686.7527485981</v>
      </c>
      <c r="G267" s="21">
        <f>Table84141941013242732394348535671421[[#This Row],[VỐN CP]]+Table84141941013242732394348535671421[[#This Row],[LỢI NHUẬN RÒNG]]</f>
        <v>2750686.7527485983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547252.66666666674</v>
      </c>
      <c r="F268" s="21">
        <v>416895.58424953267</v>
      </c>
      <c r="G268" s="21">
        <f>Table84141941013242732394348535671421[[#This Row],[VỐN CP]]+Table84141941013242732394348535671421[[#This Row],[LỢI NHUẬN RÒNG]]</f>
        <v>916895.58424953267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1094505.3333333335</v>
      </c>
      <c r="F269" s="21">
        <v>833791.16849906533</v>
      </c>
      <c r="G269" s="21">
        <f>Table84141941013242732394348535671421[[#This Row],[VỐN CP]]+Table84141941013242732394348535671421[[#This Row],[LỢI NHUẬN RÒNG]]</f>
        <v>1833791.1684990653</v>
      </c>
      <c r="H269" s="28"/>
      <c r="I269" s="11"/>
      <c r="J269" s="11"/>
    </row>
    <row r="270" spans="1:10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547252.66666666674</v>
      </c>
      <c r="F270" s="21">
        <v>416895.58424953267</v>
      </c>
      <c r="G270" s="21">
        <f>Table84141941013242732394348535671421[[#This Row],[VỐN CP]]+Table84141941013242732394348535671421[[#This Row],[LỢI NHUẬN RÒNG]]</f>
        <v>916895.58424953267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547252.66666666674</v>
      </c>
      <c r="F271" s="21">
        <v>416895.58424953267</v>
      </c>
      <c r="G271" s="21">
        <f>Table84141941013242732394348535671421[[#This Row],[VỐN CP]]+Table84141941013242732394348535671421[[#This Row],[LỢI NHUẬN RÒNG]]</f>
        <v>916895.58424953267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547252.66666666674</v>
      </c>
      <c r="F272" s="21">
        <v>416895.58424953267</v>
      </c>
      <c r="G272" s="21">
        <f>Table84141941013242732394348535671421[[#This Row],[VỐN CP]]+Table84141941013242732394348535671421[[#This Row],[LỢI NHUẬN RÒNG]]</f>
        <v>916895.58424953267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1641758</v>
      </c>
      <c r="F273" s="21">
        <v>1250686.7527485981</v>
      </c>
      <c r="G273" s="21">
        <f>Table84141941013242732394348535671421[[#This Row],[VỐN CP]]+Table84141941013242732394348535671421[[#This Row],[LỢI NHUẬN RÒNG]]</f>
        <v>2750686.7527485983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547252.66666666674</v>
      </c>
      <c r="F274" s="21">
        <v>416895.58424953267</v>
      </c>
      <c r="G274" s="21">
        <f>Table84141941013242732394348535671421[[#This Row],[VỐN CP]]+Table84141941013242732394348535671421[[#This Row],[LỢI NHUẬN RÒNG]]</f>
        <v>916895.58424953267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1094505.3333333335</v>
      </c>
      <c r="F275" s="21">
        <v>833791.16849906533</v>
      </c>
      <c r="G275" s="21">
        <f>Table84141941013242732394348535671421[[#This Row],[VỐN CP]]+Table84141941013242732394348535671421[[#This Row],[LỢI NHUẬN RÒNG]]</f>
        <v>1833791.1684990653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1094505.3333333335</v>
      </c>
      <c r="F276" s="21">
        <v>833791.16849906533</v>
      </c>
      <c r="G276" s="21">
        <f>Table84141941013242732394348535671421[[#This Row],[VỐN CP]]+Table84141941013242732394348535671421[[#This Row],[LỢI NHUẬN RÒNG]]</f>
        <v>1833791.1684990653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547252.66666666674</v>
      </c>
      <c r="F277" s="21">
        <v>416895.58424953267</v>
      </c>
      <c r="G277" s="21">
        <f>Table84141941013242732394348535671421[[#This Row],[VỐN CP]]+Table84141941013242732394348535671421[[#This Row],[LỢI NHUẬN RÒNG]]</f>
        <v>916895.58424953267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1094505.3333333335</v>
      </c>
      <c r="F278" s="21">
        <v>833791.16849906533</v>
      </c>
      <c r="G278" s="21">
        <f>Table84141941013242732394348535671421[[#This Row],[VỐN CP]]+Table84141941013242732394348535671421[[#This Row],[LỢI NHUẬN RÒNG]]</f>
        <v>1833791.1684990653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2020465.6</v>
      </c>
      <c r="F279" s="21">
        <v>895673.52889609488</v>
      </c>
      <c r="G279" s="21">
        <f>Table84141941013242732394348535671421[[#This Row],[VỐN CP]]+Table84141941013242732394348535671421[[#This Row],[LỢI NHUẬN RÒNG]]</f>
        <v>8095673.5288960952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1010232.8</v>
      </c>
      <c r="F280" s="21">
        <v>447836.76444804744</v>
      </c>
      <c r="G280" s="21">
        <f>Table84141941013242732394348535671421[[#This Row],[VỐN CP]]+Table84141941013242732394348535671421[[#This Row],[LỢI NHUẬN RÒNG]]</f>
        <v>4047836.7644480476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1010232.8</v>
      </c>
      <c r="F281" s="21">
        <v>447836.76444804744</v>
      </c>
      <c r="G281" s="21">
        <f>Table84141941013242732394348535671421[[#This Row],[VỐN CP]]+Table84141941013242732394348535671421[[#This Row],[LỢI NHUẬN RÒNG]]</f>
        <v>4047836.7644480476</v>
      </c>
      <c r="H281" s="28"/>
      <c r="I281" s="11"/>
      <c r="J281" s="11"/>
    </row>
    <row r="282" spans="1:10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505116.4</v>
      </c>
      <c r="F282" s="21">
        <v>223918.38222402372</v>
      </c>
      <c r="G282" s="21">
        <f>Table84141941013242732394348535671421[[#This Row],[VỐN CP]]+Table84141941013242732394348535671421[[#This Row],[LỢI NHUẬN RÒNG]]</f>
        <v>2023918.3822240238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505116.4</v>
      </c>
      <c r="F283" s="21">
        <v>223918.38222402372</v>
      </c>
      <c r="G283" s="21">
        <f>Table84141941013242732394348535671421[[#This Row],[VỐN CP]]+Table84141941013242732394348535671421[[#This Row],[LỢI NHUẬN RÒNG]]</f>
        <v>2023918.3822240238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505116.4</v>
      </c>
      <c r="F284" s="21">
        <v>223918.38222402372</v>
      </c>
      <c r="G284" s="21">
        <f>Table84141941013242732394348535671421[[#This Row],[VỐN CP]]+Table84141941013242732394348535671421[[#This Row],[LỢI NHUẬN RÒNG]]</f>
        <v>2023918.3822240238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1515349.2</v>
      </c>
      <c r="F285" s="21">
        <v>671755.14667207119</v>
      </c>
      <c r="G285" s="21">
        <f>Table84141941013242732394348535671421[[#This Row],[VỐN CP]]+Table84141941013242732394348535671421[[#This Row],[LỢI NHUẬN RÒNG]]</f>
        <v>6071755.146672071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505116.4</v>
      </c>
      <c r="F286" s="21">
        <v>223918.38222402372</v>
      </c>
      <c r="G286" s="21">
        <f>Table84141941013242732394348535671421[[#This Row],[VỐN CP]]+Table84141941013242732394348535671421[[#This Row],[LỢI NHUẬN RÒNG]]</f>
        <v>2023918.3822240238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1515349.2</v>
      </c>
      <c r="F287" s="21">
        <v>671755.14667207119</v>
      </c>
      <c r="G287" s="21">
        <f>Table84141941013242732394348535671421[[#This Row],[VỐN CP]]+Table84141941013242732394348535671421[[#This Row],[LỢI NHUẬN RÒNG]]</f>
        <v>6071755.146672071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1010232.8</v>
      </c>
      <c r="F288" s="21">
        <v>447836.76444804744</v>
      </c>
      <c r="G288" s="21">
        <f>Table84141941013242732394348535671421[[#This Row],[VỐN CP]]+Table84141941013242732394348535671421[[#This Row],[LỢI NHUẬN RÒNG]]</f>
        <v>4047836.7644480476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1982760</v>
      </c>
      <c r="F289" s="21">
        <v>260028.22625325172</v>
      </c>
      <c r="G289" s="21">
        <f>Table84141941013242732394348535671421[[#This Row],[VỐN CP]]+Table84141941013242732394348535671421[[#This Row],[LỢI NHUẬN RÒNG]]</f>
        <v>5460028.2262532515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991380</v>
      </c>
      <c r="F290" s="21">
        <v>130014.11312662586</v>
      </c>
      <c r="G290" s="21">
        <f>Table84141941013242732394348535671421[[#This Row],[VỐN CP]]+Table84141941013242732394348535671421[[#This Row],[LỢI NHUẬN RÒNG]]</f>
        <v>2730014.1131266258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991380</v>
      </c>
      <c r="F291" s="21">
        <v>130014.11312662586</v>
      </c>
      <c r="G291" s="21">
        <f>Table84141941013242732394348535671421[[#This Row],[VỐN CP]]+Table84141941013242732394348535671421[[#This Row],[LỢI NHUẬN RÒNG]]</f>
        <v>2730014.1131266258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1982760</v>
      </c>
      <c r="F292" s="21">
        <v>260028.22625325172</v>
      </c>
      <c r="G292" s="21">
        <f>Table84141941013242732394348535671421[[#This Row],[VỐN CP]]+Table84141941013242732394348535671421[[#This Row],[LỢI NHUẬN RÒNG]]</f>
        <v>5460028.2262532515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495690</v>
      </c>
      <c r="F293" s="21">
        <v>65007.05656331293</v>
      </c>
      <c r="G293" s="21">
        <f>Table84141941013242732394348535671421[[#This Row],[VỐN CP]]+Table84141941013242732394348535671421[[#This Row],[LỢI NHUẬN RÒNG]]</f>
        <v>1365007.0565633129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495690</v>
      </c>
      <c r="F294" s="21">
        <v>65007.05656331293</v>
      </c>
      <c r="G294" s="21">
        <f>Table84141941013242732394348535671421[[#This Row],[VỐN CP]]+Table84141941013242732394348535671421[[#This Row],[LỢI NHUẬN RÒNG]]</f>
        <v>1365007.0565633129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495690</v>
      </c>
      <c r="F295" s="21">
        <v>65007.05656331293</v>
      </c>
      <c r="G295" s="21">
        <f>Table84141941013242732394348535671421[[#This Row],[VỐN CP]]+Table84141941013242732394348535671421[[#This Row],[LỢI NHUẬN RÒNG]]</f>
        <v>1365007.0565633129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1487070</v>
      </c>
      <c r="F296" s="21">
        <v>195021.1696899388</v>
      </c>
      <c r="G296" s="21">
        <f>Table84141941013242732394348535671421[[#This Row],[VỐN CP]]+Table84141941013242732394348535671421[[#This Row],[LỢI NHUẬN RÒNG]]</f>
        <v>4095021.1696899389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991380</v>
      </c>
      <c r="F297" s="21">
        <v>130014.11312662586</v>
      </c>
      <c r="G297" s="21">
        <f>Table84141941013242732394348535671421[[#This Row],[VỐN CP]]+Table84141941013242732394348535671421[[#This Row],[LỢI NHUẬN RÒNG]]</f>
        <v>2730014.1131266258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3975663.1000000029</v>
      </c>
      <c r="F298" s="21">
        <v>1549728.0396430851</v>
      </c>
      <c r="G298" s="21">
        <f>Table84141941013242732394348535671421[[#This Row],[VỐN CP]]+Table84141941013242732394348535671421[[#This Row],[LỢI NHUẬN RÒNG]]</f>
        <v>20989728.039643086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1987831.5500000014</v>
      </c>
      <c r="F299" s="21">
        <v>774864.01982154255</v>
      </c>
      <c r="G299" s="21">
        <f>Table84141941013242732394348535671421[[#This Row],[VỐN CP]]+Table84141941013242732394348535671421[[#This Row],[LỢI NHUẬN RÒNG]]</f>
        <v>10494864.019821543</v>
      </c>
      <c r="H299" s="28"/>
      <c r="I299" s="11"/>
      <c r="J299" s="11"/>
    </row>
    <row r="300" spans="1:10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662610.51666666719</v>
      </c>
      <c r="F300" s="21">
        <v>258288.00660718084</v>
      </c>
      <c r="G300" s="21">
        <f>Table84141941013242732394348535671421[[#This Row],[VỐN CP]]+Table84141941013242732394348535671421[[#This Row],[LỢI NHUẬN RÒNG]]</f>
        <v>3498288.0066071809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1987831.5500000014</v>
      </c>
      <c r="F301" s="21">
        <v>774864.01982154255</v>
      </c>
      <c r="G301" s="21">
        <f>Table84141941013242732394348535671421[[#This Row],[VỐN CP]]+Table84141941013242732394348535671421[[#This Row],[LỢI NHUẬN RÒNG]]</f>
        <v>10494864.019821543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662610.51666666719</v>
      </c>
      <c r="F302" s="21">
        <v>258288.00660718084</v>
      </c>
      <c r="G302" s="21">
        <f>Table84141941013242732394348535671421[[#This Row],[VỐN CP]]+Table84141941013242732394348535671421[[#This Row],[LỢI NHUẬN RÒNG]]</f>
        <v>3498288.0066071809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662610.51666666719</v>
      </c>
      <c r="F303" s="21">
        <v>258288.00660718084</v>
      </c>
      <c r="G303" s="21">
        <f>Table84141941013242732394348535671421[[#This Row],[VỐN CP]]+Table84141941013242732394348535671421[[#This Row],[LỢI NHUẬN RÒNG]]</f>
        <v>3498288.0066071809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1987831.5500000014</v>
      </c>
      <c r="F304" s="21">
        <v>774864.01982154255</v>
      </c>
      <c r="G304" s="21">
        <f>Table84141941013242732394348535671421[[#This Row],[VỐN CP]]+Table84141941013242732394348535671421[[#This Row],[LỢI NHUẬN RÒNG]]</f>
        <v>10494864.019821543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1325221.0333333344</v>
      </c>
      <c r="F305" s="21">
        <v>516576.01321436168</v>
      </c>
      <c r="G305" s="21">
        <f>Table84141941013242732394348535671421[[#This Row],[VỐN CP]]+Table84141941013242732394348535671421[[#This Row],[LỢI NHUẬN RÒNG]]</f>
        <v>6996576.0132143619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2537858.1</v>
      </c>
      <c r="F306" s="21">
        <v>-1485153.3144236461</v>
      </c>
      <c r="G306" s="21">
        <f>Table84141941013242732394348535671421[[#This Row],[VỐN CP]]+Table84141941013242732394348535671421[[#This Row],[LỢI NHUẬN RÒNG]]</f>
        <v>10514846.685576353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845952.7</v>
      </c>
      <c r="F307" s="21">
        <v>-495051.10480788199</v>
      </c>
      <c r="G307" s="21">
        <f>Table84141941013242732394348535671421[[#This Row],[VỐN CP]]+Table84141941013242732394348535671421[[#This Row],[LỢI NHUẬN RÒNG]]</f>
        <v>3504948.8951921179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3383810.8</v>
      </c>
      <c r="F308" s="21">
        <v>-1980204.419231528</v>
      </c>
      <c r="G308" s="21">
        <f>Table84141941013242732394348535671421[[#This Row],[VỐN CP]]+Table84141941013242732394348535671421[[#This Row],[LỢI NHUẬN RÒNG]]</f>
        <v>14019795.580768472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845952.7</v>
      </c>
      <c r="F309" s="21">
        <v>-495051.10480788199</v>
      </c>
      <c r="G309" s="21">
        <f>Table84141941013242732394348535671421[[#This Row],[VỐN CP]]+Table84141941013242732394348535671421[[#This Row],[LỢI NHUẬN RÒNG]]</f>
        <v>3504948.8951921179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845952.7</v>
      </c>
      <c r="F310" s="21">
        <v>-495051.10480788199</v>
      </c>
      <c r="G310" s="21">
        <f>Table84141941013242732394348535671421[[#This Row],[VỐN CP]]+Table84141941013242732394348535671421[[#This Row],[LỢI NHUẬN RÒNG]]</f>
        <v>3504948.8951921179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1691905.4</v>
      </c>
      <c r="F311" s="21">
        <v>-990102.20961576398</v>
      </c>
      <c r="G311" s="21">
        <f>Table84141941013242732394348535671421[[#This Row],[VỐN CP]]+Table84141941013242732394348535671421[[#This Row],[LỢI NHUẬN RÒNG]]</f>
        <v>7009897.7903842358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845952.7</v>
      </c>
      <c r="F312" s="21">
        <v>-495051.10480788199</v>
      </c>
      <c r="G312" s="21">
        <f>Table84141941013242732394348535671421[[#This Row],[VỐN CP]]+Table84141941013242732394348535671421[[#This Row],[LỢI NHUẬN RÒNG]]</f>
        <v>3504948.8951921179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1691905.4</v>
      </c>
      <c r="F313" s="21">
        <v>-990102.20961576398</v>
      </c>
      <c r="G313" s="21">
        <f>Table84141941013242732394348535671421[[#This Row],[VỐN CP]]+Table84141941013242732394348535671421[[#This Row],[LỢI NHUẬN RÒNG]]</f>
        <v>7009897.7903842358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845952.7</v>
      </c>
      <c r="F314" s="21">
        <v>-495051.10480788199</v>
      </c>
      <c r="G314" s="21">
        <f>Table84141941013242732394348535671421[[#This Row],[VỐN CP]]+Table84141941013242732394348535671421[[#This Row],[LỢI NHUẬN RÒNG]]</f>
        <v>3504948.8951921179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3383810.8</v>
      </c>
      <c r="F315" s="21">
        <v>-1980204.419231528</v>
      </c>
      <c r="G315" s="21">
        <f>Table84141941013242732394348535671421[[#This Row],[VỐN CP]]+Table84141941013242732394348535671421[[#This Row],[LỢI NHUẬN RÒNG]]</f>
        <v>14019795.580768472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1897654.35</v>
      </c>
      <c r="F316" s="21">
        <v>837348.22080813418</v>
      </c>
      <c r="G316" s="21">
        <f>Table84141941013242732394348535671421[[#This Row],[VỐN CP]]+Table84141941013242732394348535671421[[#This Row],[LỢI NHUẬN RÒNG]]</f>
        <v>8832348.2208081335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632551.44999999995</v>
      </c>
      <c r="F317" s="21">
        <v>279116.07360271143</v>
      </c>
      <c r="G317" s="21">
        <f>Table84141941013242732394348535671421[[#This Row],[VỐN CP]]+Table84141941013242732394348535671421[[#This Row],[LỢI NHUẬN RÒNG]]</f>
        <v>2944116.0736027113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1265102.8999999999</v>
      </c>
      <c r="F318" s="21">
        <v>558232.14720542287</v>
      </c>
      <c r="G318" s="21">
        <f>Table84141941013242732394348535671421[[#This Row],[VỐN CP]]+Table84141941013242732394348535671421[[#This Row],[LỢI NHUẬN RÒNG]]</f>
        <v>5888232.1472054226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632551.44999999995</v>
      </c>
      <c r="F319" s="21">
        <v>279116.07360271143</v>
      </c>
      <c r="G319" s="21">
        <f>Table84141941013242732394348535671421[[#This Row],[VỐN CP]]+Table84141941013242732394348535671421[[#This Row],[LỢI NHUẬN RÒNG]]</f>
        <v>2944116.0736027113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632551.44999999995</v>
      </c>
      <c r="F320" s="21">
        <v>279116.07360271143</v>
      </c>
      <c r="G320" s="21">
        <f>Table84141941013242732394348535671421[[#This Row],[VỐN CP]]+Table84141941013242732394348535671421[[#This Row],[LỢI NHUẬN RÒNG]]</f>
        <v>2944116.0736027113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2530205.7999999998</v>
      </c>
      <c r="F321" s="21">
        <v>1116464.2944108457</v>
      </c>
      <c r="G321" s="21">
        <f>Table84141941013242732394348535671421[[#This Row],[VỐN CP]]+Table84141941013242732394348535671421[[#This Row],[LỢI NHUẬN RÒNG]]</f>
        <v>11776464.294410845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632551.44999999995</v>
      </c>
      <c r="F322" s="21">
        <v>279116.07360271143</v>
      </c>
      <c r="G322" s="21">
        <f>Table84141941013242732394348535671421[[#This Row],[VỐN CP]]+Table84141941013242732394348535671421[[#This Row],[LỢI NHUẬN RÒNG]]</f>
        <v>2944116.0736027113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632551.44999999995</v>
      </c>
      <c r="F323" s="21">
        <v>279116.07360271143</v>
      </c>
      <c r="G323" s="21">
        <f>Table84141941013242732394348535671421[[#This Row],[VỐN CP]]+Table84141941013242732394348535671421[[#This Row],[LỢI NHUẬN RÒNG]]</f>
        <v>2944116.0736027113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632551.44999999995</v>
      </c>
      <c r="F324" s="21">
        <v>279116.07360271143</v>
      </c>
      <c r="G324" s="21">
        <f>Table84141941013242732394348535671421[[#This Row],[VỐN CP]]+Table84141941013242732394348535671421[[#This Row],[LỢI NHUẬN RÒNG]]</f>
        <v>2944116.0736027113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632551.44999999995</v>
      </c>
      <c r="F325" s="21">
        <v>279116.07360271143</v>
      </c>
      <c r="G325" s="21">
        <f>Table84141941013242732394348535671421[[#This Row],[VỐN CP]]+Table84141941013242732394348535671421[[#This Row],[LỢI NHUẬN RÒNG]]</f>
        <v>2944116.0736027113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632551.44999999995</v>
      </c>
      <c r="F326" s="21">
        <v>279116.07360271143</v>
      </c>
      <c r="G326" s="21">
        <f>Table84141941013242732394348535671421[[#This Row],[VỐN CP]]+Table84141941013242732394348535671421[[#This Row],[LỢI NHUẬN RÒNG]]</f>
        <v>2944116.0736027113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1265102.8999999999</v>
      </c>
      <c r="F327" s="21">
        <v>558232.14720542287</v>
      </c>
      <c r="G327" s="21">
        <f>Table84141941013242732394348535671421[[#This Row],[VỐN CP]]+Table84141941013242732394348535671421[[#This Row],[LỢI NHUẬN RÒNG]]</f>
        <v>5888232.1472054226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632551.44999999995</v>
      </c>
      <c r="F328" s="21">
        <v>279116.07360271143</v>
      </c>
      <c r="G328" s="21">
        <f>Table84141941013242732394348535671421[[#This Row],[VỐN CP]]+Table84141941013242732394348535671421[[#This Row],[LỢI NHUẬN RÒNG]]</f>
        <v>2944116.0736027113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3677154.5</v>
      </c>
      <c r="F329" s="21">
        <v>1567686.0536731661</v>
      </c>
      <c r="G329" s="21">
        <f>Table84141941013242732394348535671421[[#This Row],[VỐN CP]]+Table84141941013242732394348535671421[[#This Row],[LỢI NHUẬN RÒNG]]</f>
        <v>12067686.053673167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3677154.5</v>
      </c>
      <c r="F330" s="21">
        <v>1567686.0536731661</v>
      </c>
      <c r="G330" s="21">
        <f>Table84141941013242732394348535671421[[#This Row],[VỐN CP]]+Table84141941013242732394348535671421[[#This Row],[LỢI NHUẬN RÒNG]]</f>
        <v>12067686.053673167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5515731.75</v>
      </c>
      <c r="F331" s="21">
        <v>2351529.0805097492</v>
      </c>
      <c r="G331" s="21">
        <f>Table84141941013242732394348535671421[[#This Row],[VỐN CP]]+Table84141941013242732394348535671421[[#This Row],[LỢI NHUẬN RÒNG]]</f>
        <v>18101529.080509748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1838577.25</v>
      </c>
      <c r="F332" s="21">
        <v>783843.02683658304</v>
      </c>
      <c r="G332" s="21">
        <f>Table84141941013242732394348535671421[[#This Row],[VỐN CP]]+Table84141941013242732394348535671421[[#This Row],[LỢI NHUẬN RÒNG]]</f>
        <v>6033843.0268365834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1838577.25</v>
      </c>
      <c r="F333" s="21">
        <v>783843.02683658304</v>
      </c>
      <c r="G333" s="21">
        <f>Table84141941013242732394348535671421[[#This Row],[VỐN CP]]+Table84141941013242732394348535671421[[#This Row],[LỢI NHUẬN RÒNG]]</f>
        <v>6033843.0268365834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3677154.5</v>
      </c>
      <c r="F334" s="21">
        <v>1567686.0536731661</v>
      </c>
      <c r="G334" s="21">
        <f>Table84141941013242732394348535671421[[#This Row],[VỐN CP]]+Table84141941013242732394348535671421[[#This Row],[LỢI NHUẬN RÒNG]]</f>
        <v>12067686.053673167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1838577.25</v>
      </c>
      <c r="F335" s="21">
        <v>783843.02683658304</v>
      </c>
      <c r="G335" s="21">
        <f>Table84141941013242732394348535671421[[#This Row],[VỐN CP]]+Table84141941013242732394348535671421[[#This Row],[LỢI NHUẬN RÒNG]]</f>
        <v>6033843.0268365834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7354309</v>
      </c>
      <c r="F336" s="21">
        <v>3135372.1073463322</v>
      </c>
      <c r="G336" s="21">
        <f>Table84141941013242732394348535671421[[#This Row],[VỐN CP]]+Table84141941013242732394348535671421[[#This Row],[LỢI NHUẬN RÒNG]]</f>
        <v>24135372.107346334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7354309</v>
      </c>
      <c r="F337" s="21">
        <v>3135372.1073463322</v>
      </c>
      <c r="G337" s="21">
        <f>Table84141941013242732394348535671421[[#This Row],[VỐN CP]]+Table84141941013242732394348535671421[[#This Row],[LỢI NHUẬN RÒNG]]</f>
        <v>24135372.107346334</v>
      </c>
      <c r="H337" s="28"/>
      <c r="I337" s="11"/>
      <c r="J337" s="11"/>
    </row>
    <row r="338" spans="1:10" hidden="1" x14ac:dyDescent="0.3">
      <c r="A338" s="23" t="s">
        <v>76</v>
      </c>
      <c r="B338" s="27" t="s">
        <v>9</v>
      </c>
      <c r="C338" s="21">
        <v>20</v>
      </c>
      <c r="D338" s="21">
        <v>5333333.333333334</v>
      </c>
      <c r="E338" s="21">
        <v>2236068.8666666662</v>
      </c>
      <c r="F338" s="21">
        <v>1582152.8027621254</v>
      </c>
      <c r="G338" s="21">
        <f>Table84141941013242732394348535671421[[#This Row],[VỐN CP]]+Table84141941013242732394348535671421[[#This Row],[LỢI NHUẬN RÒNG]]</f>
        <v>6915486.1360954596</v>
      </c>
      <c r="H338" s="28"/>
      <c r="I338" s="11"/>
      <c r="J338" s="11"/>
    </row>
    <row r="339" spans="1:10" hidden="1" x14ac:dyDescent="0.3">
      <c r="A339" s="23" t="s">
        <v>76</v>
      </c>
      <c r="B339" s="27" t="s">
        <v>19</v>
      </c>
      <c r="C339" s="21">
        <v>10</v>
      </c>
      <c r="D339" s="21">
        <v>2666666.666666667</v>
      </c>
      <c r="E339" s="21">
        <v>1118034.4333333331</v>
      </c>
      <c r="F339" s="21">
        <v>791076.40138106269</v>
      </c>
      <c r="G339" s="21">
        <f>Table84141941013242732394348535671421[[#This Row],[VỐN CP]]+Table84141941013242732394348535671421[[#This Row],[LỢI NHUẬN RÒNG]]</f>
        <v>3457743.0680477298</v>
      </c>
      <c r="H339" s="28"/>
      <c r="I339" s="11"/>
      <c r="J339" s="11"/>
    </row>
    <row r="340" spans="1:10" hidden="1" x14ac:dyDescent="0.3">
      <c r="A340" s="23" t="s">
        <v>76</v>
      </c>
      <c r="B340" s="27" t="s">
        <v>37</v>
      </c>
      <c r="C340" s="21">
        <v>10</v>
      </c>
      <c r="D340" s="21">
        <v>2666666.666666667</v>
      </c>
      <c r="E340" s="21">
        <v>1118034.4333333331</v>
      </c>
      <c r="F340" s="21">
        <v>791076.40138106269</v>
      </c>
      <c r="G340" s="21">
        <f>Table84141941013242732394348535671421[[#This Row],[VỐN CP]]+Table84141941013242732394348535671421[[#This Row],[LỢI NHUẬN RÒNG]]</f>
        <v>3457743.0680477298</v>
      </c>
      <c r="H340" s="28"/>
      <c r="I340" s="11"/>
      <c r="J340" s="11"/>
    </row>
    <row r="341" spans="1:10" hidden="1" x14ac:dyDescent="0.3">
      <c r="A341" s="23" t="s">
        <v>76</v>
      </c>
      <c r="B341" s="27" t="s">
        <v>31</v>
      </c>
      <c r="C341" s="21">
        <v>5</v>
      </c>
      <c r="D341" s="21">
        <v>1333333.3333333335</v>
      </c>
      <c r="E341" s="21">
        <v>559017.21666666656</v>
      </c>
      <c r="F341" s="21">
        <v>395538.20069053135</v>
      </c>
      <c r="G341" s="21">
        <f>Table84141941013242732394348535671421[[#This Row],[VỐN CP]]+Table84141941013242732394348535671421[[#This Row],[LỢI NHUẬN RÒNG]]</f>
        <v>1728871.5340238649</v>
      </c>
      <c r="H341" s="28"/>
      <c r="I341" s="11"/>
      <c r="J341" s="11"/>
    </row>
    <row r="342" spans="1:10" hidden="1" x14ac:dyDescent="0.3">
      <c r="A342" s="23" t="s">
        <v>76</v>
      </c>
      <c r="B342" s="27" t="s">
        <v>21</v>
      </c>
      <c r="C342" s="21">
        <v>15</v>
      </c>
      <c r="D342" s="21">
        <v>4000000.0000000005</v>
      </c>
      <c r="E342" s="21">
        <v>1677051.6499999997</v>
      </c>
      <c r="F342" s="21">
        <v>1186614.602071594</v>
      </c>
      <c r="G342" s="21">
        <f>Table84141941013242732394348535671421[[#This Row],[VỐN CP]]+Table84141941013242732394348535671421[[#This Row],[LỢI NHUẬN RÒNG]]</f>
        <v>5186614.6020715944</v>
      </c>
      <c r="H342" s="28"/>
      <c r="I342" s="11"/>
      <c r="J342" s="11"/>
    </row>
    <row r="343" spans="1:10" hidden="1" x14ac:dyDescent="0.3">
      <c r="A343" s="23" t="s">
        <v>76</v>
      </c>
      <c r="B343" s="27" t="s">
        <v>10</v>
      </c>
      <c r="C343" s="21">
        <v>5</v>
      </c>
      <c r="D343" s="21">
        <v>1333333.3333333335</v>
      </c>
      <c r="E343" s="21">
        <v>559017.21666666656</v>
      </c>
      <c r="F343" s="21">
        <v>395538.20069053135</v>
      </c>
      <c r="G343" s="21">
        <f>Table84141941013242732394348535671421[[#This Row],[VỐN CP]]+Table84141941013242732394348535671421[[#This Row],[LỢI NHUẬN RÒNG]]</f>
        <v>1728871.5340238649</v>
      </c>
      <c r="H343" s="28"/>
      <c r="I343" s="11"/>
      <c r="J343" s="11"/>
    </row>
    <row r="344" spans="1:10" hidden="1" x14ac:dyDescent="0.3">
      <c r="A344" s="23" t="s">
        <v>76</v>
      </c>
      <c r="B344" s="27" t="s">
        <v>13</v>
      </c>
      <c r="C344" s="21">
        <v>5</v>
      </c>
      <c r="D344" s="21">
        <v>1333333.3333333335</v>
      </c>
      <c r="E344" s="21">
        <v>559017.21666666656</v>
      </c>
      <c r="F344" s="21">
        <v>395538.20069053135</v>
      </c>
      <c r="G344" s="21">
        <f>Table84141941013242732394348535671421[[#This Row],[VỐN CP]]+Table84141941013242732394348535671421[[#This Row],[LỢI NHUẬN RÒNG]]</f>
        <v>1728871.5340238649</v>
      </c>
      <c r="H344" s="28"/>
      <c r="I344" s="11"/>
      <c r="J344" s="11"/>
    </row>
    <row r="345" spans="1:10" hidden="1" x14ac:dyDescent="0.3">
      <c r="A345" s="23" t="s">
        <v>76</v>
      </c>
      <c r="B345" s="27" t="s">
        <v>29</v>
      </c>
      <c r="C345" s="21">
        <v>5</v>
      </c>
      <c r="D345" s="21">
        <v>1333333.3333333335</v>
      </c>
      <c r="E345" s="21">
        <v>559017.21666666656</v>
      </c>
      <c r="F345" s="21">
        <v>395538.20069053135</v>
      </c>
      <c r="G345" s="21">
        <f>Table84141941013242732394348535671421[[#This Row],[VỐN CP]]+Table84141941013242732394348535671421[[#This Row],[LỢI NHUẬN RÒNG]]</f>
        <v>1728871.5340238649</v>
      </c>
      <c r="H345" s="28"/>
      <c r="I345" s="11"/>
      <c r="J345" s="11"/>
    </row>
    <row r="346" spans="1:10" hidden="1" x14ac:dyDescent="0.3">
      <c r="A346" s="23" t="s">
        <v>76</v>
      </c>
      <c r="B346" s="27" t="s">
        <v>35</v>
      </c>
      <c r="C346" s="21">
        <v>5</v>
      </c>
      <c r="D346" s="21">
        <v>1333333.3333333335</v>
      </c>
      <c r="E346" s="21">
        <v>559017.21666666656</v>
      </c>
      <c r="F346" s="21">
        <v>395538.20069053135</v>
      </c>
      <c r="G346" s="21">
        <f>Table84141941013242732394348535671421[[#This Row],[VỐN CP]]+Table84141941013242732394348535671421[[#This Row],[LỢI NHUẬN RÒNG]]</f>
        <v>1728871.5340238649</v>
      </c>
      <c r="H346" s="28"/>
      <c r="I346" s="11"/>
      <c r="J346" s="11"/>
    </row>
    <row r="347" spans="1:10" hidden="1" x14ac:dyDescent="0.3">
      <c r="A347" s="23" t="s">
        <v>76</v>
      </c>
      <c r="B347" s="27" t="s">
        <v>43</v>
      </c>
      <c r="C347" s="21">
        <v>10</v>
      </c>
      <c r="D347" s="21">
        <v>2666666.666666667</v>
      </c>
      <c r="E347" s="21">
        <v>1118034.4333333331</v>
      </c>
      <c r="F347" s="21">
        <v>791076.40138106269</v>
      </c>
      <c r="G347" s="21">
        <f>Table84141941013242732394348535671421[[#This Row],[VỐN CP]]+Table84141941013242732394348535671421[[#This Row],[LỢI NHUẬN RÒNG]]</f>
        <v>3457743.0680477298</v>
      </c>
      <c r="H347" s="28"/>
      <c r="I347" s="11"/>
      <c r="J347" s="11"/>
    </row>
    <row r="348" spans="1:10" hidden="1" x14ac:dyDescent="0.3">
      <c r="A348" s="23" t="s">
        <v>76</v>
      </c>
      <c r="B348" s="27" t="s">
        <v>25</v>
      </c>
      <c r="C348" s="21">
        <v>10</v>
      </c>
      <c r="D348" s="21">
        <v>2666666.666666667</v>
      </c>
      <c r="E348" s="21">
        <v>1118034.4333333331</v>
      </c>
      <c r="F348" s="21">
        <v>791076.40138106269</v>
      </c>
      <c r="G348" s="21">
        <f>Table84141941013242732394348535671421[[#This Row],[VỐN CP]]+Table84141941013242732394348535671421[[#This Row],[LỢI NHUẬN RÒNG]]</f>
        <v>3457743.0680477298</v>
      </c>
      <c r="H348" s="28"/>
      <c r="I348" s="11"/>
      <c r="J348" s="11"/>
    </row>
    <row r="349" spans="1:10" hidden="1" x14ac:dyDescent="0.3">
      <c r="A349" s="23" t="s">
        <v>77</v>
      </c>
      <c r="B349" s="27" t="s">
        <v>9</v>
      </c>
      <c r="C349" s="21">
        <v>15</v>
      </c>
      <c r="D349" s="21">
        <v>3300000</v>
      </c>
      <c r="E349" s="21">
        <v>1221654.3</v>
      </c>
      <c r="F349" s="21">
        <v>537806.76971324312</v>
      </c>
      <c r="G349" s="21">
        <f>Table84141941013242732394348535671421[[#This Row],[VỐN CP]]+Table84141941013242732394348535671421[[#This Row],[LỢI NHUẬN RÒNG]]</f>
        <v>3837806.769713243</v>
      </c>
      <c r="H349" s="28"/>
      <c r="I349" s="11"/>
      <c r="J349" s="11"/>
    </row>
    <row r="350" spans="1:10" hidden="1" x14ac:dyDescent="0.3">
      <c r="A350" s="23" t="s">
        <v>77</v>
      </c>
      <c r="B350" s="27" t="s">
        <v>19</v>
      </c>
      <c r="C350" s="21">
        <v>10</v>
      </c>
      <c r="D350" s="21">
        <v>2200000</v>
      </c>
      <c r="E350" s="21">
        <v>814436.2</v>
      </c>
      <c r="F350" s="21">
        <v>358537.84647549537</v>
      </c>
      <c r="G350" s="21">
        <f>Table84141941013242732394348535671421[[#This Row],[VỐN CP]]+Table84141941013242732394348535671421[[#This Row],[LỢI NHUẬN RÒNG]]</f>
        <v>2558537.8464754955</v>
      </c>
      <c r="H350" s="28"/>
      <c r="I350" s="11"/>
      <c r="J350" s="11"/>
    </row>
    <row r="351" spans="1:10" hidden="1" x14ac:dyDescent="0.3">
      <c r="A351" s="23" t="s">
        <v>77</v>
      </c>
      <c r="B351" s="27" t="s">
        <v>37</v>
      </c>
      <c r="C351" s="21">
        <v>15</v>
      </c>
      <c r="D351" s="21">
        <v>3300000</v>
      </c>
      <c r="E351" s="21">
        <v>1221654.3</v>
      </c>
      <c r="F351" s="21">
        <v>537806.76971324312</v>
      </c>
      <c r="G351" s="21">
        <f>Table84141941013242732394348535671421[[#This Row],[VỐN CP]]+Table84141941013242732394348535671421[[#This Row],[LỢI NHUẬN RÒNG]]</f>
        <v>3837806.769713243</v>
      </c>
      <c r="H351" s="28"/>
      <c r="I351" s="11"/>
      <c r="J351" s="11"/>
    </row>
    <row r="352" spans="1:10" x14ac:dyDescent="0.3">
      <c r="A352" s="23" t="s">
        <v>77</v>
      </c>
      <c r="B352" s="27" t="s">
        <v>33</v>
      </c>
      <c r="C352" s="21">
        <v>5</v>
      </c>
      <c r="D352" s="21">
        <v>1100000</v>
      </c>
      <c r="E352" s="21">
        <v>407218.1</v>
      </c>
      <c r="F352" s="21">
        <v>179268.92323774769</v>
      </c>
      <c r="G352" s="21">
        <f>Table84141941013242732394348535671421[[#This Row],[VỐN CP]]+Table84141941013242732394348535671421[[#This Row],[LỢI NHUẬN RÒNG]]</f>
        <v>1279268.9232377477</v>
      </c>
      <c r="H352" s="28"/>
      <c r="I352" s="11"/>
      <c r="J352" s="11"/>
    </row>
    <row r="353" spans="1:10" hidden="1" x14ac:dyDescent="0.3">
      <c r="A353" s="23" t="s">
        <v>77</v>
      </c>
      <c r="B353" s="27" t="s">
        <v>31</v>
      </c>
      <c r="C353" s="21">
        <v>5</v>
      </c>
      <c r="D353" s="21">
        <v>1100000</v>
      </c>
      <c r="E353" s="21">
        <v>407218.1</v>
      </c>
      <c r="F353" s="21">
        <v>179268.92323774769</v>
      </c>
      <c r="G353" s="21">
        <f>Table84141941013242732394348535671421[[#This Row],[VỐN CP]]+Table84141941013242732394348535671421[[#This Row],[LỢI NHUẬN RÒNG]]</f>
        <v>1279268.9232377477</v>
      </c>
      <c r="H353" s="28"/>
      <c r="I353" s="11"/>
      <c r="J353" s="11"/>
    </row>
    <row r="354" spans="1:10" hidden="1" x14ac:dyDescent="0.3">
      <c r="A354" s="23" t="s">
        <v>77</v>
      </c>
      <c r="B354" s="27" t="s">
        <v>15</v>
      </c>
      <c r="C354" s="21">
        <v>5</v>
      </c>
      <c r="D354" s="21">
        <v>1100000</v>
      </c>
      <c r="E354" s="21">
        <v>407218.1</v>
      </c>
      <c r="F354" s="21">
        <v>179268.92323774769</v>
      </c>
      <c r="G354" s="21">
        <f>Table84141941013242732394348535671421[[#This Row],[VỐN CP]]+Table84141941013242732394348535671421[[#This Row],[LỢI NHUẬN RÒNG]]</f>
        <v>1279268.9232377477</v>
      </c>
      <c r="H354" s="28"/>
      <c r="I354" s="11"/>
      <c r="J354" s="11"/>
    </row>
    <row r="355" spans="1:10" hidden="1" x14ac:dyDescent="0.3">
      <c r="A355" s="23" t="s">
        <v>77</v>
      </c>
      <c r="B355" s="27" t="s">
        <v>21</v>
      </c>
      <c r="C355" s="21">
        <v>20</v>
      </c>
      <c r="D355" s="21">
        <v>4400000</v>
      </c>
      <c r="E355" s="21">
        <v>1628872.4</v>
      </c>
      <c r="F355" s="21">
        <v>717075.69295099075</v>
      </c>
      <c r="G355" s="21">
        <f>Table84141941013242732394348535671421[[#This Row],[VỐN CP]]+Table84141941013242732394348535671421[[#This Row],[LỢI NHUẬN RÒNG]]</f>
        <v>5117075.692950991</v>
      </c>
      <c r="H355" s="28"/>
      <c r="I355" s="11"/>
      <c r="J355" s="11"/>
    </row>
    <row r="356" spans="1:10" hidden="1" x14ac:dyDescent="0.3">
      <c r="A356" s="23" t="s">
        <v>77</v>
      </c>
      <c r="B356" s="27" t="s">
        <v>43</v>
      </c>
      <c r="C356" s="21">
        <v>10</v>
      </c>
      <c r="D356" s="21">
        <v>2200000</v>
      </c>
      <c r="E356" s="21">
        <v>814436.2</v>
      </c>
      <c r="F356" s="21">
        <v>358537.84647549537</v>
      </c>
      <c r="G356" s="21">
        <f>Table84141941013242732394348535671421[[#This Row],[VỐN CP]]+Table84141941013242732394348535671421[[#This Row],[LỢI NHUẬN RÒNG]]</f>
        <v>2558537.8464754955</v>
      </c>
      <c r="H356" s="28"/>
      <c r="I356" s="11"/>
      <c r="J356" s="11"/>
    </row>
    <row r="357" spans="1:10" hidden="1" x14ac:dyDescent="0.3">
      <c r="A357" s="23" t="s">
        <v>77</v>
      </c>
      <c r="B357" s="27" t="s">
        <v>45</v>
      </c>
      <c r="C357" s="21">
        <v>5</v>
      </c>
      <c r="D357" s="21">
        <v>1100000</v>
      </c>
      <c r="E357" s="21">
        <v>407218.1</v>
      </c>
      <c r="F357" s="21">
        <v>179268.92323774769</v>
      </c>
      <c r="G357" s="21">
        <f>Table84141941013242732394348535671421[[#This Row],[VỐN CP]]+Table84141941013242732394348535671421[[#This Row],[LỢI NHUẬN RÒNG]]</f>
        <v>1279268.9232377477</v>
      </c>
      <c r="H357" s="28"/>
      <c r="I357" s="11"/>
      <c r="J357" s="11"/>
    </row>
    <row r="358" spans="1:10" hidden="1" x14ac:dyDescent="0.3">
      <c r="A358" s="23" t="s">
        <v>77</v>
      </c>
      <c r="B358" s="27" t="s">
        <v>25</v>
      </c>
      <c r="C358" s="21">
        <v>10</v>
      </c>
      <c r="D358" s="21">
        <v>2200000</v>
      </c>
      <c r="E358" s="21">
        <v>814436.2</v>
      </c>
      <c r="F358" s="21">
        <v>358537.84647549537</v>
      </c>
      <c r="G358" s="21">
        <f>Table84141941013242732394348535671421[[#This Row],[VỐN CP]]+Table84141941013242732394348535671421[[#This Row],[LỢI NHUẬN RÒNG]]</f>
        <v>2558537.8464754955</v>
      </c>
      <c r="H358" s="28"/>
      <c r="I358" s="11"/>
      <c r="J358" s="11"/>
    </row>
    <row r="359" spans="1:10" hidden="1" x14ac:dyDescent="0.3">
      <c r="A359" s="23" t="s">
        <v>78</v>
      </c>
      <c r="B359" s="27" t="s">
        <v>9</v>
      </c>
      <c r="C359" s="21">
        <v>15</v>
      </c>
      <c r="D359" s="21">
        <v>3900000</v>
      </c>
      <c r="E359" s="21">
        <v>1249196.2000000002</v>
      </c>
      <c r="F359" s="21">
        <v>563216.9401113264</v>
      </c>
      <c r="G359" s="21">
        <f>Table84141941013242732394348535671421[[#This Row],[VỐN CP]]+Table84141941013242732394348535671421[[#This Row],[LỢI NHUẬN RÒNG]]</f>
        <v>4463216.9401113261</v>
      </c>
      <c r="H359" s="28"/>
      <c r="I359" s="11"/>
      <c r="J359" s="11"/>
    </row>
    <row r="360" spans="1:10" hidden="1" x14ac:dyDescent="0.3">
      <c r="A360" s="23" t="s">
        <v>78</v>
      </c>
      <c r="B360" s="27" t="s">
        <v>19</v>
      </c>
      <c r="C360" s="21">
        <v>5</v>
      </c>
      <c r="D360" s="21">
        <v>1300000</v>
      </c>
      <c r="E360" s="21">
        <v>416398.73333333345</v>
      </c>
      <c r="F360" s="21">
        <v>187738.98003710882</v>
      </c>
      <c r="G360" s="21">
        <f>Table84141941013242732394348535671421[[#This Row],[VỐN CP]]+Table84141941013242732394348535671421[[#This Row],[LỢI NHUẬN RÒNG]]</f>
        <v>1487738.9800371088</v>
      </c>
      <c r="H360" s="28"/>
      <c r="I360" s="11"/>
      <c r="J360" s="11"/>
    </row>
    <row r="361" spans="1:10" hidden="1" x14ac:dyDescent="0.3">
      <c r="A361" s="23" t="s">
        <v>78</v>
      </c>
      <c r="B361" s="27" t="s">
        <v>37</v>
      </c>
      <c r="C361" s="21">
        <v>15</v>
      </c>
      <c r="D361" s="21">
        <v>3900000</v>
      </c>
      <c r="E361" s="21">
        <v>1249196.2000000002</v>
      </c>
      <c r="F361" s="21">
        <v>563216.9401113264</v>
      </c>
      <c r="G361" s="21">
        <f>Table84141941013242732394348535671421[[#This Row],[VỐN CP]]+Table84141941013242732394348535671421[[#This Row],[LỢI NHUẬN RÒNG]]</f>
        <v>4463216.9401113261</v>
      </c>
      <c r="H361" s="28"/>
      <c r="I361" s="11"/>
      <c r="J361" s="11"/>
    </row>
    <row r="362" spans="1:10" hidden="1" x14ac:dyDescent="0.3">
      <c r="A362" s="23" t="s">
        <v>78</v>
      </c>
      <c r="B362" s="27" t="s">
        <v>31</v>
      </c>
      <c r="C362" s="21">
        <v>10</v>
      </c>
      <c r="D362" s="21">
        <v>2600000</v>
      </c>
      <c r="E362" s="21">
        <v>832797.46666666691</v>
      </c>
      <c r="F362" s="21">
        <v>375477.96007421764</v>
      </c>
      <c r="G362" s="21">
        <f>Table84141941013242732394348535671421[[#This Row],[VỐN CP]]+Table84141941013242732394348535671421[[#This Row],[LỢI NHUẬN RÒNG]]</f>
        <v>2975477.9600742175</v>
      </c>
      <c r="H362" s="28"/>
      <c r="I362" s="11"/>
      <c r="J362" s="11"/>
    </row>
    <row r="363" spans="1:10" hidden="1" x14ac:dyDescent="0.3">
      <c r="A363" s="23" t="s">
        <v>78</v>
      </c>
      <c r="B363" s="27" t="s">
        <v>15</v>
      </c>
      <c r="C363" s="21">
        <v>5</v>
      </c>
      <c r="D363" s="21">
        <v>1300000</v>
      </c>
      <c r="E363" s="21">
        <v>416398.73333333345</v>
      </c>
      <c r="F363" s="21">
        <v>187738.98003710882</v>
      </c>
      <c r="G363" s="21">
        <f>Table84141941013242732394348535671421[[#This Row],[VỐN CP]]+Table84141941013242732394348535671421[[#This Row],[LỢI NHUẬN RÒNG]]</f>
        <v>1487738.9800371088</v>
      </c>
      <c r="H363" s="28"/>
      <c r="I363" s="11"/>
      <c r="J363" s="11"/>
    </row>
    <row r="364" spans="1:10" hidden="1" x14ac:dyDescent="0.3">
      <c r="A364" s="23" t="s">
        <v>78</v>
      </c>
      <c r="B364" s="27" t="s">
        <v>21</v>
      </c>
      <c r="C364" s="21">
        <v>20</v>
      </c>
      <c r="D364" s="21">
        <v>5200000</v>
      </c>
      <c r="E364" s="21">
        <v>1665594.9333333338</v>
      </c>
      <c r="F364" s="21">
        <v>750955.92014843528</v>
      </c>
      <c r="G364" s="21">
        <f>Table84141941013242732394348535671421[[#This Row],[VỐN CP]]+Table84141941013242732394348535671421[[#This Row],[LỢI NHUẬN RÒNG]]</f>
        <v>5950955.920148435</v>
      </c>
      <c r="H364" s="28"/>
      <c r="I364" s="11"/>
      <c r="J364" s="11"/>
    </row>
    <row r="365" spans="1:10" hidden="1" x14ac:dyDescent="0.3">
      <c r="A365" s="23" t="s">
        <v>78</v>
      </c>
      <c r="B365" s="27" t="s">
        <v>13</v>
      </c>
      <c r="C365" s="21">
        <v>5</v>
      </c>
      <c r="D365" s="21">
        <v>1300000</v>
      </c>
      <c r="E365" s="21">
        <v>416398.73333333345</v>
      </c>
      <c r="F365" s="21">
        <v>187738.98003710882</v>
      </c>
      <c r="G365" s="21">
        <f>Table84141941013242732394348535671421[[#This Row],[VỐN CP]]+Table84141941013242732394348535671421[[#This Row],[LỢI NHUẬN RÒNG]]</f>
        <v>1487738.9800371088</v>
      </c>
      <c r="H365" s="28"/>
      <c r="I365" s="11"/>
      <c r="J365" s="11"/>
    </row>
    <row r="366" spans="1:10" hidden="1" x14ac:dyDescent="0.3">
      <c r="A366" s="23" t="s">
        <v>78</v>
      </c>
      <c r="B366" s="27" t="s">
        <v>29</v>
      </c>
      <c r="C366" s="21">
        <v>5</v>
      </c>
      <c r="D366" s="21">
        <v>1300000</v>
      </c>
      <c r="E366" s="21">
        <v>416398.73333333345</v>
      </c>
      <c r="F366" s="21">
        <v>187738.98003710882</v>
      </c>
      <c r="G366" s="21">
        <f>Table84141941013242732394348535671421[[#This Row],[VỐN CP]]+Table84141941013242732394348535671421[[#This Row],[LỢI NHUẬN RÒNG]]</f>
        <v>1487738.9800371088</v>
      </c>
      <c r="H366" s="28"/>
      <c r="I366" s="11"/>
      <c r="J366" s="11"/>
    </row>
    <row r="367" spans="1:10" hidden="1" x14ac:dyDescent="0.3">
      <c r="A367" s="23" t="s">
        <v>78</v>
      </c>
      <c r="B367" s="27" t="s">
        <v>43</v>
      </c>
      <c r="C367" s="21">
        <v>5</v>
      </c>
      <c r="D367" s="21">
        <v>1300000</v>
      </c>
      <c r="E367" s="21">
        <v>416398.73333333345</v>
      </c>
      <c r="F367" s="21">
        <v>187738.98003710882</v>
      </c>
      <c r="G367" s="21">
        <f>Table84141941013242732394348535671421[[#This Row],[VỐN CP]]+Table84141941013242732394348535671421[[#This Row],[LỢI NHUẬN RÒNG]]</f>
        <v>1487738.9800371088</v>
      </c>
      <c r="H367" s="28"/>
      <c r="I367" s="11"/>
      <c r="J367" s="11"/>
    </row>
    <row r="368" spans="1:10" hidden="1" x14ac:dyDescent="0.3">
      <c r="A368" s="23" t="s">
        <v>78</v>
      </c>
      <c r="B368" s="27" t="s">
        <v>44</v>
      </c>
      <c r="C368" s="21">
        <v>5</v>
      </c>
      <c r="D368" s="21">
        <v>1300000</v>
      </c>
      <c r="E368" s="21">
        <v>416398.73333333345</v>
      </c>
      <c r="F368" s="21">
        <v>187738.98003710882</v>
      </c>
      <c r="G368" s="21">
        <f>Table84141941013242732394348535671421[[#This Row],[VỐN CP]]+Table84141941013242732394348535671421[[#This Row],[LỢI NHUẬN RÒNG]]</f>
        <v>1487738.9800371088</v>
      </c>
      <c r="H368" s="28"/>
      <c r="I368" s="11"/>
      <c r="J368" s="11"/>
    </row>
    <row r="369" spans="1:10" hidden="1" x14ac:dyDescent="0.3">
      <c r="A369" s="23" t="s">
        <v>78</v>
      </c>
      <c r="B369" s="27" t="s">
        <v>25</v>
      </c>
      <c r="C369" s="21">
        <v>10</v>
      </c>
      <c r="D369" s="21">
        <v>2600000</v>
      </c>
      <c r="E369" s="21">
        <v>832797.46666666691</v>
      </c>
      <c r="F369" s="21">
        <v>375477.96007421764</v>
      </c>
      <c r="G369" s="21">
        <f>Table84141941013242732394348535671421[[#This Row],[VỐN CP]]+Table84141941013242732394348535671421[[#This Row],[LỢI NHUẬN RÒNG]]</f>
        <v>2975477.9600742175</v>
      </c>
      <c r="H369" s="28"/>
      <c r="I369" s="11"/>
      <c r="J369" s="11"/>
    </row>
    <row r="370" spans="1:10" hidden="1" x14ac:dyDescent="0.3">
      <c r="A370" s="23" t="s">
        <v>79</v>
      </c>
      <c r="B370" s="27" t="s">
        <v>9</v>
      </c>
      <c r="C370" s="21">
        <v>30</v>
      </c>
      <c r="D370" s="21">
        <v>18000000</v>
      </c>
      <c r="E370" s="21">
        <v>6322393.7999999998</v>
      </c>
      <c r="F370" s="21">
        <v>3102959.4220231534</v>
      </c>
      <c r="G370" s="21">
        <f>Table84141941013242732394348535671421[[#This Row],[VỐN CP]]+Table84141941013242732394348535671421[[#This Row],[LỢI NHUẬN RÒNG]]</f>
        <v>21102959.422023155</v>
      </c>
      <c r="H370" s="28"/>
      <c r="I370" s="11"/>
      <c r="J370" s="11"/>
    </row>
    <row r="371" spans="1:10" hidden="1" x14ac:dyDescent="0.3">
      <c r="A371" s="23" t="s">
        <v>79</v>
      </c>
      <c r="B371" s="27" t="s">
        <v>37</v>
      </c>
      <c r="C371" s="21">
        <v>30</v>
      </c>
      <c r="D371" s="21">
        <v>18000000</v>
      </c>
      <c r="E371" s="21">
        <v>6322393.7999999998</v>
      </c>
      <c r="F371" s="21">
        <v>3102959.4220231534</v>
      </c>
      <c r="G371" s="21">
        <f>Table84141941013242732394348535671421[[#This Row],[VỐN CP]]+Table84141941013242732394348535671421[[#This Row],[LỢI NHUẬN RÒNG]]</f>
        <v>21102959.422023155</v>
      </c>
      <c r="H371" s="28"/>
      <c r="I371" s="11"/>
      <c r="J371" s="11"/>
    </row>
    <row r="372" spans="1:10" hidden="1" x14ac:dyDescent="0.3">
      <c r="A372" s="23" t="s">
        <v>79</v>
      </c>
      <c r="B372" s="27" t="s">
        <v>21</v>
      </c>
      <c r="C372" s="21">
        <v>30</v>
      </c>
      <c r="D372" s="21">
        <v>18000000</v>
      </c>
      <c r="E372" s="21">
        <v>6322393.7999999998</v>
      </c>
      <c r="F372" s="21">
        <v>3102959.4220231534</v>
      </c>
      <c r="G372" s="21">
        <f>Table84141941013242732394348535671421[[#This Row],[VỐN CP]]+Table84141941013242732394348535671421[[#This Row],[LỢI NHUẬN RÒNG]]</f>
        <v>21102959.422023155</v>
      </c>
      <c r="H372" s="28"/>
      <c r="I372" s="11"/>
      <c r="J372" s="11"/>
    </row>
    <row r="373" spans="1:10" hidden="1" x14ac:dyDescent="0.3">
      <c r="A373" s="23" t="s">
        <v>79</v>
      </c>
      <c r="B373" s="27" t="s">
        <v>10</v>
      </c>
      <c r="C373" s="21">
        <v>10</v>
      </c>
      <c r="D373" s="21">
        <v>6000000</v>
      </c>
      <c r="E373" s="21">
        <v>2107464.6</v>
      </c>
      <c r="F373" s="21">
        <v>1034319.8073410511</v>
      </c>
      <c r="G373" s="21">
        <f>Table84141941013242732394348535671421[[#This Row],[VỐN CP]]+Table84141941013242732394348535671421[[#This Row],[LỢI NHUẬN RÒNG]]</f>
        <v>7034319.8073410513</v>
      </c>
      <c r="H373" s="28"/>
      <c r="I373" s="11"/>
      <c r="J373" s="11"/>
    </row>
    <row r="374" spans="1:10" hidden="1" x14ac:dyDescent="0.3">
      <c r="A374" s="23" t="s">
        <v>80</v>
      </c>
      <c r="B374" s="27" t="s">
        <v>9</v>
      </c>
      <c r="C374" s="21">
        <v>30</v>
      </c>
      <c r="D374" s="21">
        <v>15000000</v>
      </c>
      <c r="E374" s="21">
        <v>6218427.9000000004</v>
      </c>
      <c r="F374" s="21">
        <v>4517994.411118282</v>
      </c>
      <c r="G374" s="21">
        <f>Table84141941013242732394348535671421[[#This Row],[VỐN CP]]+Table84141941013242732394348535671421[[#This Row],[LỢI NHUẬN RÒNG]]</f>
        <v>19517994.411118284</v>
      </c>
      <c r="H374" s="28"/>
      <c r="I374" s="11"/>
      <c r="J374" s="11"/>
    </row>
    <row r="375" spans="1:10" hidden="1" x14ac:dyDescent="0.3">
      <c r="A375" s="23" t="s">
        <v>80</v>
      </c>
      <c r="B375" s="27" t="s">
        <v>37</v>
      </c>
      <c r="C375" s="21">
        <v>40</v>
      </c>
      <c r="D375" s="21">
        <v>20000000</v>
      </c>
      <c r="E375" s="21">
        <v>8291237.2000000002</v>
      </c>
      <c r="F375" s="21">
        <v>6023992.5481577097</v>
      </c>
      <c r="G375" s="21">
        <f>Table84141941013242732394348535671421[[#This Row],[VỐN CP]]+Table84141941013242732394348535671421[[#This Row],[LỢI NHUẬN RÒNG]]</f>
        <v>26023992.548157711</v>
      </c>
      <c r="H375" s="28"/>
      <c r="I375" s="11"/>
      <c r="J375" s="11"/>
    </row>
    <row r="376" spans="1:10" hidden="1" x14ac:dyDescent="0.3">
      <c r="A376" s="23" t="s">
        <v>80</v>
      </c>
      <c r="B376" s="27" t="s">
        <v>21</v>
      </c>
      <c r="C376" s="21">
        <v>20</v>
      </c>
      <c r="D376" s="21">
        <v>10000000</v>
      </c>
      <c r="E376" s="21">
        <v>4145618.6</v>
      </c>
      <c r="F376" s="21">
        <v>3011996.2740788548</v>
      </c>
      <c r="G376" s="21">
        <f>Table84141941013242732394348535671421[[#This Row],[VỐN CP]]+Table84141941013242732394348535671421[[#This Row],[LỢI NHUẬN RÒNG]]</f>
        <v>13011996.274078855</v>
      </c>
      <c r="H376" s="28"/>
      <c r="I376" s="11"/>
      <c r="J376" s="11"/>
    </row>
    <row r="377" spans="1:10" hidden="1" x14ac:dyDescent="0.3">
      <c r="A377" s="23" t="s">
        <v>80</v>
      </c>
      <c r="B377" s="27" t="s">
        <v>10</v>
      </c>
      <c r="C377" s="21">
        <v>10</v>
      </c>
      <c r="D377" s="21">
        <v>5000000</v>
      </c>
      <c r="E377" s="21">
        <v>2072809.3</v>
      </c>
      <c r="F377" s="21">
        <v>1505998.1370394274</v>
      </c>
      <c r="G377" s="21">
        <f>Table84141941013242732394348535671421[[#This Row],[VỐN CP]]+Table84141941013242732394348535671421[[#This Row],[LỢI NHUẬN RÒNG]]</f>
        <v>6505998.1370394276</v>
      </c>
      <c r="H377" s="28"/>
      <c r="I377" s="11"/>
      <c r="J377" s="11"/>
    </row>
    <row r="378" spans="1:10" hidden="1" x14ac:dyDescent="0.3">
      <c r="A378" s="23" t="s">
        <v>81</v>
      </c>
      <c r="B378" s="27" t="s">
        <v>9</v>
      </c>
      <c r="C378" s="21">
        <v>15</v>
      </c>
      <c r="D378" s="21">
        <v>4800000</v>
      </c>
      <c r="E378" s="21">
        <v>679765.8</v>
      </c>
      <c r="F378" s="21">
        <v>117914.84525670335</v>
      </c>
      <c r="G378" s="21">
        <f>Table84141941013242732394348535671421[[#This Row],[VỐN CP]]+Table84141941013242732394348535671421[[#This Row],[LỢI NHUẬN RÒNG]]</f>
        <v>4917914.845256703</v>
      </c>
      <c r="H378" s="28"/>
      <c r="I378" s="11"/>
      <c r="J378" s="11"/>
    </row>
    <row r="379" spans="1:10" hidden="1" x14ac:dyDescent="0.3">
      <c r="A379" s="23" t="s">
        <v>81</v>
      </c>
      <c r="B379" s="27" t="s">
        <v>19</v>
      </c>
      <c r="C379" s="21">
        <v>5</v>
      </c>
      <c r="D379" s="21">
        <v>1600000</v>
      </c>
      <c r="E379" s="21">
        <v>226588.6</v>
      </c>
      <c r="F379" s="21">
        <v>39304.948418901113</v>
      </c>
      <c r="G379" s="21">
        <f>Table84141941013242732394348535671421[[#This Row],[VỐN CP]]+Table84141941013242732394348535671421[[#This Row],[LỢI NHUẬN RÒNG]]</f>
        <v>1639304.9484189011</v>
      </c>
      <c r="H379" s="28"/>
      <c r="I379" s="11"/>
      <c r="J379" s="11"/>
    </row>
    <row r="380" spans="1:10" hidden="1" x14ac:dyDescent="0.3">
      <c r="A380" s="23" t="s">
        <v>81</v>
      </c>
      <c r="B380" s="27" t="s">
        <v>37</v>
      </c>
      <c r="C380" s="21">
        <v>15</v>
      </c>
      <c r="D380" s="21">
        <v>4800000</v>
      </c>
      <c r="E380" s="21">
        <v>679765.8</v>
      </c>
      <c r="F380" s="21">
        <v>117914.84525670335</v>
      </c>
      <c r="G380" s="21">
        <f>Table84141941013242732394348535671421[[#This Row],[VỐN CP]]+Table84141941013242732394348535671421[[#This Row],[LỢI NHUẬN RÒNG]]</f>
        <v>4917914.845256703</v>
      </c>
      <c r="H380" s="28"/>
      <c r="I380" s="11"/>
      <c r="J380" s="11"/>
    </row>
    <row r="381" spans="1:10" hidden="1" x14ac:dyDescent="0.3">
      <c r="A381" s="23" t="s">
        <v>81</v>
      </c>
      <c r="B381" s="27" t="s">
        <v>31</v>
      </c>
      <c r="C381" s="21">
        <v>5</v>
      </c>
      <c r="D381" s="21">
        <v>1600000</v>
      </c>
      <c r="E381" s="21">
        <v>226588.6</v>
      </c>
      <c r="F381" s="21">
        <v>39304.948418901113</v>
      </c>
      <c r="G381" s="21">
        <f>Table84141941013242732394348535671421[[#This Row],[VỐN CP]]+Table84141941013242732394348535671421[[#This Row],[LỢI NHUẬN RÒNG]]</f>
        <v>1639304.9484189011</v>
      </c>
      <c r="H381" s="28"/>
      <c r="I381" s="11"/>
      <c r="J381" s="11"/>
    </row>
    <row r="382" spans="1:10" hidden="1" x14ac:dyDescent="0.3">
      <c r="A382" s="23" t="s">
        <v>81</v>
      </c>
      <c r="B382" s="27" t="s">
        <v>15</v>
      </c>
      <c r="C382" s="21">
        <v>5</v>
      </c>
      <c r="D382" s="21">
        <v>1600000</v>
      </c>
      <c r="E382" s="21">
        <v>226588.6</v>
      </c>
      <c r="F382" s="21">
        <v>39304.948418901113</v>
      </c>
      <c r="G382" s="21">
        <f>Table84141941013242732394348535671421[[#This Row],[VỐN CP]]+Table84141941013242732394348535671421[[#This Row],[LỢI NHUẬN RÒNG]]</f>
        <v>1639304.9484189011</v>
      </c>
      <c r="H382" s="28"/>
      <c r="I382" s="11"/>
      <c r="J382" s="11"/>
    </row>
    <row r="383" spans="1:10" hidden="1" x14ac:dyDescent="0.3">
      <c r="A383" s="23" t="s">
        <v>81</v>
      </c>
      <c r="B383" s="27" t="s">
        <v>21</v>
      </c>
      <c r="C383" s="21">
        <v>15</v>
      </c>
      <c r="D383" s="21">
        <v>4800000</v>
      </c>
      <c r="E383" s="21">
        <v>679765.8</v>
      </c>
      <c r="F383" s="21">
        <v>117914.84525670335</v>
      </c>
      <c r="G383" s="21">
        <f>Table84141941013242732394348535671421[[#This Row],[VỐN CP]]+Table84141941013242732394348535671421[[#This Row],[LỢI NHUẬN RÒNG]]</f>
        <v>4917914.845256703</v>
      </c>
      <c r="H383" s="28"/>
      <c r="I383" s="11"/>
      <c r="J383" s="11"/>
    </row>
    <row r="384" spans="1:10" hidden="1" x14ac:dyDescent="0.3">
      <c r="A384" s="23" t="s">
        <v>81</v>
      </c>
      <c r="B384" s="27" t="s">
        <v>10</v>
      </c>
      <c r="C384" s="21">
        <v>5</v>
      </c>
      <c r="D384" s="21">
        <v>1600000</v>
      </c>
      <c r="E384" s="21">
        <v>226588.6</v>
      </c>
      <c r="F384" s="21">
        <v>39304.948418901113</v>
      </c>
      <c r="G384" s="21">
        <f>Table84141941013242732394348535671421[[#This Row],[VỐN CP]]+Table84141941013242732394348535671421[[#This Row],[LỢI NHUẬN RÒNG]]</f>
        <v>1639304.9484189011</v>
      </c>
      <c r="H384" s="28"/>
      <c r="I384" s="11"/>
      <c r="J384" s="11"/>
    </row>
    <row r="385" spans="1:10" hidden="1" x14ac:dyDescent="0.3">
      <c r="A385" s="23" t="s">
        <v>81</v>
      </c>
      <c r="B385" s="27" t="s">
        <v>13</v>
      </c>
      <c r="C385" s="21">
        <v>10</v>
      </c>
      <c r="D385" s="21">
        <v>3200000</v>
      </c>
      <c r="E385" s="21">
        <v>453177.2</v>
      </c>
      <c r="F385" s="21">
        <v>78609.896837802225</v>
      </c>
      <c r="G385" s="21">
        <f>Table84141941013242732394348535671421[[#This Row],[VỐN CP]]+Table84141941013242732394348535671421[[#This Row],[LỢI NHUẬN RÒNG]]</f>
        <v>3278609.8968378021</v>
      </c>
      <c r="H385" s="28"/>
      <c r="I385" s="11"/>
      <c r="J385" s="11"/>
    </row>
    <row r="386" spans="1:10" hidden="1" x14ac:dyDescent="0.3">
      <c r="A386" s="23" t="s">
        <v>81</v>
      </c>
      <c r="B386" s="27" t="s">
        <v>35</v>
      </c>
      <c r="C386" s="21">
        <v>5</v>
      </c>
      <c r="D386" s="21">
        <v>1600000</v>
      </c>
      <c r="E386" s="21">
        <v>226588.6</v>
      </c>
      <c r="F386" s="21">
        <v>39304.948418901113</v>
      </c>
      <c r="G386" s="21">
        <f>Table84141941013242732394348535671421[[#This Row],[VỐN CP]]+Table84141941013242732394348535671421[[#This Row],[LỢI NHUẬN RÒNG]]</f>
        <v>1639304.9484189011</v>
      </c>
      <c r="H386" s="28"/>
      <c r="I386" s="11"/>
      <c r="J386" s="11"/>
    </row>
    <row r="387" spans="1:10" hidden="1" x14ac:dyDescent="0.3">
      <c r="A387" s="23" t="s">
        <v>81</v>
      </c>
      <c r="B387" s="27" t="s">
        <v>43</v>
      </c>
      <c r="C387" s="21">
        <v>10</v>
      </c>
      <c r="D387" s="21">
        <v>3200000</v>
      </c>
      <c r="E387" s="21">
        <v>453177.2</v>
      </c>
      <c r="F387" s="21">
        <v>78609.896837802225</v>
      </c>
      <c r="G387" s="21">
        <f>Table84141941013242732394348535671421[[#This Row],[VỐN CP]]+Table84141941013242732394348535671421[[#This Row],[LỢI NHUẬN RÒNG]]</f>
        <v>3278609.8968378021</v>
      </c>
      <c r="H387" s="28"/>
      <c r="I387" s="11"/>
      <c r="J387" s="11"/>
    </row>
    <row r="388" spans="1:10" hidden="1" x14ac:dyDescent="0.3">
      <c r="A388" s="23" t="s">
        <v>81</v>
      </c>
      <c r="B388" s="27" t="s">
        <v>25</v>
      </c>
      <c r="C388" s="21">
        <v>10</v>
      </c>
      <c r="D388" s="21">
        <v>3200000</v>
      </c>
      <c r="E388" s="21">
        <v>453177.2</v>
      </c>
      <c r="F388" s="21">
        <v>78609.896837802225</v>
      </c>
      <c r="G388" s="21">
        <f>Table84141941013242732394348535671421[[#This Row],[VỐN CP]]+Table84141941013242732394348535671421[[#This Row],[LỢI NHUẬN RÒNG]]</f>
        <v>3278609.8968378021</v>
      </c>
      <c r="H388" s="28"/>
      <c r="I388" s="11"/>
      <c r="J388" s="11"/>
    </row>
    <row r="389" spans="1:10" hidden="1" x14ac:dyDescent="0.3">
      <c r="A389" s="23" t="s">
        <v>82</v>
      </c>
      <c r="B389" s="27" t="s">
        <v>9</v>
      </c>
      <c r="C389" s="21">
        <v>25</v>
      </c>
      <c r="D389" s="21">
        <v>4000000</v>
      </c>
      <c r="E389" s="21">
        <v>4149292.25</v>
      </c>
      <c r="F389" s="21">
        <v>3282952.7061658977</v>
      </c>
      <c r="G389" s="21">
        <f>Table84141941013242732394348535671421[[#This Row],[VỐN CP]]+Table84141941013242732394348535671421[[#This Row],[LỢI NHUẬN RÒNG]]</f>
        <v>7282952.7061658977</v>
      </c>
      <c r="H389" s="28"/>
      <c r="I389" s="11"/>
      <c r="J389" s="11"/>
    </row>
    <row r="390" spans="1:10" hidden="1" x14ac:dyDescent="0.3">
      <c r="A390" s="23" t="s">
        <v>82</v>
      </c>
      <c r="B390" s="27" t="s">
        <v>19</v>
      </c>
      <c r="C390" s="21">
        <v>20</v>
      </c>
      <c r="D390" s="21">
        <v>3200000</v>
      </c>
      <c r="E390" s="21">
        <v>3319433.8</v>
      </c>
      <c r="F390" s="21">
        <v>2626362.1649327185</v>
      </c>
      <c r="G390" s="21">
        <f>Table84141941013242732394348535671421[[#This Row],[VỐN CP]]+Table84141941013242732394348535671421[[#This Row],[LỢI NHUẬN RÒNG]]</f>
        <v>5826362.1649327185</v>
      </c>
      <c r="H390" s="28"/>
      <c r="I390" s="11"/>
      <c r="J390" s="11"/>
    </row>
    <row r="391" spans="1:10" hidden="1" x14ac:dyDescent="0.3">
      <c r="A391" s="23" t="s">
        <v>82</v>
      </c>
      <c r="B391" s="27" t="s">
        <v>37</v>
      </c>
      <c r="C391" s="21">
        <v>25</v>
      </c>
      <c r="D391" s="21">
        <v>4000000</v>
      </c>
      <c r="E391" s="21">
        <v>4149292.25</v>
      </c>
      <c r="F391" s="21">
        <v>3282952.7061658977</v>
      </c>
      <c r="G391" s="21">
        <f>Table84141941013242732394348535671421[[#This Row],[VỐN CP]]+Table84141941013242732394348535671421[[#This Row],[LỢI NHUẬN RÒNG]]</f>
        <v>7282952.7061658977</v>
      </c>
      <c r="H391" s="28"/>
      <c r="I391" s="11"/>
      <c r="J391" s="11"/>
    </row>
    <row r="392" spans="1:10" hidden="1" x14ac:dyDescent="0.3">
      <c r="A392" s="23" t="s">
        <v>82</v>
      </c>
      <c r="B392" s="27" t="s">
        <v>21</v>
      </c>
      <c r="C392" s="21">
        <v>25</v>
      </c>
      <c r="D392" s="21">
        <v>4000000</v>
      </c>
      <c r="E392" s="21">
        <v>4149292.25</v>
      </c>
      <c r="F392" s="21">
        <v>3282952.7061658977</v>
      </c>
      <c r="G392" s="21">
        <f>Table84141941013242732394348535671421[[#This Row],[VỐN CP]]+Table84141941013242732394348535671421[[#This Row],[LỢI NHUẬN RÒNG]]</f>
        <v>7282952.7061658977</v>
      </c>
      <c r="H392" s="28"/>
      <c r="I392" s="11"/>
      <c r="J392" s="11"/>
    </row>
    <row r="393" spans="1:10" hidden="1" x14ac:dyDescent="0.3">
      <c r="A393" s="23" t="s">
        <v>82</v>
      </c>
      <c r="B393" s="27" t="s">
        <v>10</v>
      </c>
      <c r="C393" s="21">
        <v>5</v>
      </c>
      <c r="D393" s="21">
        <v>800000</v>
      </c>
      <c r="E393" s="21">
        <v>829858.45</v>
      </c>
      <c r="F393" s="21">
        <v>656590.54123317963</v>
      </c>
      <c r="G393" s="21">
        <f>Table84141941013242732394348535671421[[#This Row],[VỐN CP]]+Table84141941013242732394348535671421[[#This Row],[LỢI NHUẬN RÒNG]]</f>
        <v>1456590.5412331796</v>
      </c>
      <c r="H393" s="28"/>
      <c r="I393" s="11"/>
      <c r="J393" s="11"/>
    </row>
    <row r="394" spans="1:10" hidden="1" x14ac:dyDescent="0.3">
      <c r="A394" s="23" t="s">
        <v>83</v>
      </c>
      <c r="B394" s="27" t="s">
        <v>9</v>
      </c>
      <c r="C394" s="21">
        <v>20</v>
      </c>
      <c r="D394" s="21">
        <v>8200000</v>
      </c>
      <c r="E394" s="21">
        <v>2320321.6</v>
      </c>
      <c r="F394" s="21">
        <v>1035795.485856381</v>
      </c>
      <c r="G394" s="21">
        <f>Table84141941013242732394348535671421[[#This Row],[VỐN CP]]+Table84141941013242732394348535671421[[#This Row],[LỢI NHUẬN RÒNG]]</f>
        <v>9235795.4858563803</v>
      </c>
      <c r="H394" s="28"/>
      <c r="I394" s="11"/>
      <c r="J394" s="11"/>
    </row>
    <row r="395" spans="1:10" hidden="1" x14ac:dyDescent="0.3">
      <c r="A395" s="23" t="s">
        <v>83</v>
      </c>
      <c r="B395" s="27" t="s">
        <v>19</v>
      </c>
      <c r="C395" s="21">
        <v>5</v>
      </c>
      <c r="D395" s="21">
        <v>2050000</v>
      </c>
      <c r="E395" s="21">
        <v>580080.4</v>
      </c>
      <c r="F395" s="21">
        <v>258948.87146409525</v>
      </c>
      <c r="G395" s="21">
        <f>Table84141941013242732394348535671421[[#This Row],[VỐN CP]]+Table84141941013242732394348535671421[[#This Row],[LỢI NHUẬN RÒNG]]</f>
        <v>2308948.8714640951</v>
      </c>
      <c r="H395" s="28"/>
      <c r="I395" s="11"/>
      <c r="J395" s="11"/>
    </row>
    <row r="396" spans="1:10" hidden="1" x14ac:dyDescent="0.3">
      <c r="A396" s="23" t="s">
        <v>83</v>
      </c>
      <c r="B396" s="27" t="s">
        <v>37</v>
      </c>
      <c r="C396" s="21">
        <v>10</v>
      </c>
      <c r="D396" s="21">
        <v>4100000</v>
      </c>
      <c r="E396" s="21">
        <v>1160160.8</v>
      </c>
      <c r="F396" s="21">
        <v>517897.74292819051</v>
      </c>
      <c r="G396" s="21">
        <f>Table84141941013242732394348535671421[[#This Row],[VỐN CP]]+Table84141941013242732394348535671421[[#This Row],[LỢI NHUẬN RÒNG]]</f>
        <v>4617897.7429281902</v>
      </c>
      <c r="H396" s="28"/>
      <c r="I396" s="11"/>
      <c r="J396" s="11"/>
    </row>
    <row r="397" spans="1:10" hidden="1" x14ac:dyDescent="0.3">
      <c r="A397" s="23" t="s">
        <v>83</v>
      </c>
      <c r="B397" s="27" t="s">
        <v>31</v>
      </c>
      <c r="C397" s="21">
        <v>20</v>
      </c>
      <c r="D397" s="21">
        <v>8200000</v>
      </c>
      <c r="E397" s="21">
        <v>2320321.6</v>
      </c>
      <c r="F397" s="21">
        <v>1035795.485856381</v>
      </c>
      <c r="G397" s="21">
        <f>Table84141941013242732394348535671421[[#This Row],[VỐN CP]]+Table84141941013242732394348535671421[[#This Row],[LỢI NHUẬN RÒNG]]</f>
        <v>9235795.4858563803</v>
      </c>
      <c r="H397" s="28"/>
      <c r="I397" s="11"/>
      <c r="J397" s="11"/>
    </row>
    <row r="398" spans="1:10" hidden="1" x14ac:dyDescent="0.3">
      <c r="A398" s="23" t="s">
        <v>83</v>
      </c>
      <c r="B398" s="27" t="s">
        <v>21</v>
      </c>
      <c r="C398" s="21">
        <v>20</v>
      </c>
      <c r="D398" s="21">
        <v>8200000</v>
      </c>
      <c r="E398" s="21">
        <v>2320321.6</v>
      </c>
      <c r="F398" s="21">
        <v>1035795.485856381</v>
      </c>
      <c r="G398" s="21">
        <f>Table84141941013242732394348535671421[[#This Row],[VỐN CP]]+Table84141941013242732394348535671421[[#This Row],[LỢI NHUẬN RÒNG]]</f>
        <v>9235795.4858563803</v>
      </c>
      <c r="H398" s="28"/>
      <c r="I398" s="11"/>
      <c r="J398" s="11"/>
    </row>
    <row r="399" spans="1:10" hidden="1" x14ac:dyDescent="0.3">
      <c r="A399" s="23" t="s">
        <v>83</v>
      </c>
      <c r="B399" s="27" t="s">
        <v>35</v>
      </c>
      <c r="C399" s="21">
        <v>5</v>
      </c>
      <c r="D399" s="21">
        <v>2050000</v>
      </c>
      <c r="E399" s="21">
        <v>580080.4</v>
      </c>
      <c r="F399" s="21">
        <v>258948.87146409525</v>
      </c>
      <c r="G399" s="21">
        <f>Table84141941013242732394348535671421[[#This Row],[VỐN CP]]+Table84141941013242732394348535671421[[#This Row],[LỢI NHUẬN RÒNG]]</f>
        <v>2308948.8714640951</v>
      </c>
      <c r="H399" s="28"/>
      <c r="I399" s="11"/>
      <c r="J399" s="11"/>
    </row>
    <row r="400" spans="1:10" hidden="1" x14ac:dyDescent="0.3">
      <c r="A400" s="23" t="s">
        <v>83</v>
      </c>
      <c r="B400" s="27" t="s">
        <v>43</v>
      </c>
      <c r="C400" s="21">
        <v>10</v>
      </c>
      <c r="D400" s="21">
        <v>4100000</v>
      </c>
      <c r="E400" s="21">
        <v>1160160.8</v>
      </c>
      <c r="F400" s="21">
        <v>517897.74292819051</v>
      </c>
      <c r="G400" s="21">
        <f>Table84141941013242732394348535671421[[#This Row],[VỐN CP]]+Table84141941013242732394348535671421[[#This Row],[LỢI NHUẬN RÒNG]]</f>
        <v>4617897.7429281902</v>
      </c>
      <c r="H400" s="28"/>
      <c r="I400" s="11"/>
      <c r="J400" s="11"/>
    </row>
    <row r="401" spans="1:11" hidden="1" x14ac:dyDescent="0.3">
      <c r="A401" s="23" t="s">
        <v>83</v>
      </c>
      <c r="B401" s="27" t="s">
        <v>25</v>
      </c>
      <c r="C401" s="21">
        <v>10</v>
      </c>
      <c r="D401" s="21">
        <v>4100000</v>
      </c>
      <c r="E401" s="21">
        <v>1160160.8</v>
      </c>
      <c r="F401" s="21">
        <v>517897.74292819051</v>
      </c>
      <c r="G401" s="21">
        <f>Table84141941013242732394348535671421[[#This Row],[VỐN CP]]+Table84141941013242732394348535671421[[#This Row],[LỢI NHUẬN RÒNG]]</f>
        <v>4617897.7429281902</v>
      </c>
      <c r="H401" s="28"/>
      <c r="I401" s="11"/>
      <c r="J401" s="11"/>
    </row>
    <row r="402" spans="1:11" hidden="1" x14ac:dyDescent="0.3">
      <c r="A402" s="23" t="s">
        <v>84</v>
      </c>
      <c r="B402" s="27" t="s">
        <v>9</v>
      </c>
      <c r="C402" s="21">
        <v>20</v>
      </c>
      <c r="D402" s="21">
        <v>19000000</v>
      </c>
      <c r="E402" s="21">
        <v>7397956.2000000002</v>
      </c>
      <c r="F402" s="21">
        <v>3793400.2091483744</v>
      </c>
      <c r="G402" s="21">
        <f>Table84141941013242732394348535671421[[#This Row],[VỐN CP]]+Table84141941013242732394348535671421[[#This Row],[LỢI NHUẬN RÒNG]]</f>
        <v>22793400.209148373</v>
      </c>
      <c r="H402" s="28"/>
      <c r="I402" s="11"/>
      <c r="J402" s="11"/>
    </row>
    <row r="403" spans="1:11" hidden="1" x14ac:dyDescent="0.3">
      <c r="A403" s="23" t="s">
        <v>84</v>
      </c>
      <c r="B403" s="27" t="s">
        <v>19</v>
      </c>
      <c r="C403" s="21">
        <v>10</v>
      </c>
      <c r="D403" s="21">
        <v>9500000</v>
      </c>
      <c r="E403" s="21">
        <v>3698978.1</v>
      </c>
      <c r="F403" s="21">
        <v>1896700.1045741872</v>
      </c>
      <c r="G403" s="21">
        <f>Table84141941013242732394348535671421[[#This Row],[VỐN CP]]+Table84141941013242732394348535671421[[#This Row],[LỢI NHUẬN RÒNG]]</f>
        <v>11396700.104574187</v>
      </c>
      <c r="H403" s="28"/>
      <c r="I403" s="11"/>
      <c r="J403" s="11"/>
    </row>
    <row r="404" spans="1:11" hidden="1" x14ac:dyDescent="0.3">
      <c r="A404" s="23" t="s">
        <v>84</v>
      </c>
      <c r="B404" s="27" t="s">
        <v>37</v>
      </c>
      <c r="C404" s="21">
        <v>10</v>
      </c>
      <c r="D404" s="21">
        <v>9500000</v>
      </c>
      <c r="E404" s="21">
        <v>3698978.1</v>
      </c>
      <c r="F404" s="21">
        <v>1896700.1045741872</v>
      </c>
      <c r="G404" s="21">
        <f>Table84141941013242732394348535671421[[#This Row],[VỐN CP]]+Table84141941013242732394348535671421[[#This Row],[LỢI NHUẬN RÒNG]]</f>
        <v>11396700.104574187</v>
      </c>
      <c r="H404" s="28"/>
      <c r="I404" s="11"/>
      <c r="J404" s="11"/>
    </row>
    <row r="405" spans="1:11" hidden="1" x14ac:dyDescent="0.3">
      <c r="A405" s="23" t="s">
        <v>84</v>
      </c>
      <c r="B405" s="27" t="s">
        <v>31</v>
      </c>
      <c r="C405" s="21">
        <v>20</v>
      </c>
      <c r="D405" s="21">
        <v>19000000</v>
      </c>
      <c r="E405" s="21">
        <v>7397956.2000000002</v>
      </c>
      <c r="F405" s="21">
        <v>3793400.2091483744</v>
      </c>
      <c r="G405" s="21">
        <f>Table84141941013242732394348535671421[[#This Row],[VỐN CP]]+Table84141941013242732394348535671421[[#This Row],[LỢI NHUẬN RÒNG]]</f>
        <v>22793400.209148373</v>
      </c>
      <c r="H405" s="28"/>
      <c r="I405" s="11"/>
      <c r="J405" s="11"/>
    </row>
    <row r="406" spans="1:11" hidden="1" x14ac:dyDescent="0.3">
      <c r="A406" s="23" t="s">
        <v>84</v>
      </c>
      <c r="B406" s="27" t="s">
        <v>21</v>
      </c>
      <c r="C406" s="21">
        <v>20</v>
      </c>
      <c r="D406" s="21">
        <v>19000000</v>
      </c>
      <c r="E406" s="21">
        <v>7397956.2000000002</v>
      </c>
      <c r="F406" s="21">
        <v>3793400.2091483744</v>
      </c>
      <c r="G406" s="21">
        <f>Table84141941013242732394348535671421[[#This Row],[VỐN CP]]+Table84141941013242732394348535671421[[#This Row],[LỢI NHUẬN RÒNG]]</f>
        <v>22793400.209148373</v>
      </c>
      <c r="H406" s="28"/>
      <c r="I406" s="11"/>
      <c r="J406" s="11"/>
    </row>
    <row r="407" spans="1:11" hidden="1" x14ac:dyDescent="0.3">
      <c r="A407" s="23" t="s">
        <v>84</v>
      </c>
      <c r="B407" s="27" t="s">
        <v>29</v>
      </c>
      <c r="C407" s="21">
        <v>5</v>
      </c>
      <c r="D407" s="21">
        <v>4750000</v>
      </c>
      <c r="E407" s="21">
        <v>1849489.05</v>
      </c>
      <c r="F407" s="21">
        <v>948350.0522870936</v>
      </c>
      <c r="G407" s="21">
        <f>Table84141941013242732394348535671421[[#This Row],[VỐN CP]]+Table84141941013242732394348535671421[[#This Row],[LỢI NHUẬN RÒNG]]</f>
        <v>5698350.0522870934</v>
      </c>
      <c r="H407" s="28"/>
      <c r="I407" s="11"/>
      <c r="J407" s="11"/>
    </row>
    <row r="408" spans="1:11" hidden="1" x14ac:dyDescent="0.3">
      <c r="A408" s="23" t="s">
        <v>84</v>
      </c>
      <c r="B408" s="27" t="s">
        <v>43</v>
      </c>
      <c r="C408" s="21">
        <v>10</v>
      </c>
      <c r="D408" s="21">
        <v>9500000</v>
      </c>
      <c r="E408" s="21">
        <v>3698978.1</v>
      </c>
      <c r="F408" s="21">
        <v>1896700.1045741872</v>
      </c>
      <c r="G408" s="21">
        <f>Table84141941013242732394348535671421[[#This Row],[VỐN CP]]+Table84141941013242732394348535671421[[#This Row],[LỢI NHUẬN RÒNG]]</f>
        <v>11396700.104574187</v>
      </c>
      <c r="H408" s="28"/>
      <c r="I408" s="11"/>
      <c r="J408" s="11"/>
    </row>
    <row r="409" spans="1:11" hidden="1" x14ac:dyDescent="0.3">
      <c r="A409" s="23" t="s">
        <v>84</v>
      </c>
      <c r="B409" s="27" t="s">
        <v>25</v>
      </c>
      <c r="C409" s="21">
        <v>5</v>
      </c>
      <c r="D409" s="21">
        <v>4750000</v>
      </c>
      <c r="E409" s="21">
        <v>1849489.05</v>
      </c>
      <c r="F409" s="21">
        <v>948350.0522870936</v>
      </c>
      <c r="G409" s="21">
        <f>Table84141941013242732394348535671421[[#This Row],[VỐN CP]]+Table84141941013242732394348535671421[[#This Row],[LỢI NHUẬN RÒNG]]</f>
        <v>5698350.0522870934</v>
      </c>
      <c r="H409" s="28"/>
      <c r="I409" s="11"/>
      <c r="J409" s="11"/>
    </row>
    <row r="410" spans="1:11" x14ac:dyDescent="0.3">
      <c r="A410" s="23"/>
      <c r="B410" s="21"/>
      <c r="C410" s="21"/>
      <c r="D410" s="21">
        <f>SUBTOTAL(109,Table84141941013242732394348535671421[VỐN CP])</f>
        <v>61608333.333333336</v>
      </c>
      <c r="E410" s="21">
        <f>SUBTOTAL(109,Table84141941013242732394348535671421[LỢI NHUẬN GỘP])</f>
        <v>19472843.250000004</v>
      </c>
      <c r="F410" s="21">
        <f>SUBTOTAL(109,Table84141941013242732394348535671421[LỢI NHUẬN RÒNG])</f>
        <v>9829742.0524293277</v>
      </c>
      <c r="G410" s="21">
        <f>SUBTOTAL(109,Table84141941013242732394348535671421[TỔNG NHẬN])</f>
        <v>71438075.385762647</v>
      </c>
      <c r="H410" s="28"/>
    </row>
    <row r="412" spans="1:11" x14ac:dyDescent="0.3">
      <c r="H412" s="11"/>
    </row>
    <row r="414" spans="1:11" x14ac:dyDescent="0.3">
      <c r="G414" s="11" t="s">
        <v>85</v>
      </c>
    </row>
    <row r="416" spans="1:11" x14ac:dyDescent="0.3">
      <c r="G416" s="11">
        <v>8</v>
      </c>
      <c r="K416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A388-1061-445E-8762-CCD2CDF290F3}">
  <sheetPr codeName="Sheet14"/>
  <dimension ref="A1:O427"/>
  <sheetViews>
    <sheetView workbookViewId="0">
      <selection activeCell="F76" sqref="F76:F352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151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1569164.6</v>
      </c>
      <c r="F3" s="18">
        <v>743086.06460684235</v>
      </c>
      <c r="G3" s="12">
        <f>D3+Table8414194101324273239434853567111825[[#This Row],[LỢI NHUẬN RÒNG]]</f>
        <v>5543086.0646068426</v>
      </c>
      <c r="K3" s="13" t="s">
        <v>10</v>
      </c>
      <c r="L3" s="14">
        <f>SUMIF(Table8414194101324273239434853567111825[CỔ ĐÔNG],K3,Table8414194101324273239434853567111825[VỐN CP])</f>
        <v>2400000</v>
      </c>
      <c r="M3" s="14">
        <f>SUMIF(Table8414194101324273239434853567111825[CỔ ĐÔNG],K3,Table8414194101324273239434853567111825[LỢI NHUẬN GỘP])</f>
        <v>784582.3</v>
      </c>
      <c r="N3" s="14">
        <f>SUMIF(Table8414194101324273239434853567111825[CỔ ĐÔNG],K3,Table8414194101324273239434853567111825[LỢI NHUẬN RÒNG])</f>
        <v>371543.03230342118</v>
      </c>
      <c r="O3" s="15">
        <f>SUMIF(Table8414194101324273239434853567111825[CỔ ĐÔNG],K3,Table8414194101324273239434853567111825[TỔNG NHẬN])</f>
        <v>17727996.406223655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3138329.2</v>
      </c>
      <c r="F4" s="18">
        <v>1486172.1292136847</v>
      </c>
      <c r="G4" s="12">
        <f>D4+Table8414194101324273239434853567111825[[#This Row],[LỢI NHUẬN RÒNG]]</f>
        <v>11086172.129213685</v>
      </c>
      <c r="K4" s="13" t="s">
        <v>9</v>
      </c>
      <c r="L4" s="14">
        <f>SUMIF(Table8414194101324273239434853567111825[CỔ ĐÔNG],K4,Table8414194101324273239434853567111825[VỐN CP])</f>
        <v>16850000</v>
      </c>
      <c r="M4" s="14">
        <f>SUMIF(Table8414194101324273239434853567111825[CỔ ĐÔNG],K4,Table8414194101324273239434853567111825[LỢI NHUẬN GỘP])</f>
        <v>7288651</v>
      </c>
      <c r="N4" s="14">
        <f>SUMIF(Table8414194101324273239434853567111825[CỔ ĐÔNG],K4,Table8414194101324273239434853567111825[LỢI NHUẬN RÒNG])</f>
        <v>3850545.6207298725</v>
      </c>
      <c r="O4" s="15">
        <f>SUMIF(Table8414194101324273239434853567111825[CỔ ĐÔNG],Table9515205111425283340444954578121926[[#This Row],[CỔ ĐÔNG]],Table8414194101324273239434853567111825[TỔNG NHẬN])</f>
        <v>80450471.526200116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2353746.9</v>
      </c>
      <c r="F5" s="18">
        <v>1114629.0969102636</v>
      </c>
      <c r="G5" s="12">
        <f>D5+Table8414194101324273239434853567111825[[#This Row],[LỢI NHUẬN RÒNG]]</f>
        <v>8314629.0969102634</v>
      </c>
      <c r="K5" s="13" t="s">
        <v>13</v>
      </c>
      <c r="L5" s="14">
        <f>SUMIF(Table8414194101324273239434853567111825[CỔ ĐÔNG],K5,Table8414194101324273239434853567111825[VỐN CP])</f>
        <v>0</v>
      </c>
      <c r="M5" s="14">
        <f>SUMIF(Table8414194101324273239434853567111825[CỔ ĐÔNG],K5,Table8414194101324273239434853567111825[LỢI NHUẬN GỘP])</f>
        <v>0</v>
      </c>
      <c r="N5" s="14">
        <f>SUMIF(Table8414194101324273239434853567111825[CỔ ĐÔNG],K5,Table8414194101324273239434853567111825[LỢI NHUẬN RÒNG])</f>
        <v>0</v>
      </c>
      <c r="O5" s="15">
        <f>SUMIF(Table8414194101324273239434853567111825[CỔ ĐÔNG],Table9515205111425283340444954578121926[[#This Row],[CỔ ĐÔNG]],Table8414194101324273239434853567111825[TỔNG NHẬN])</f>
        <v>0</v>
      </c>
    </row>
    <row r="6" spans="1:15" ht="15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784582.3</v>
      </c>
      <c r="F6" s="18">
        <v>371543.03230342118</v>
      </c>
      <c r="G6" s="12">
        <f>D6+Table8414194101324273239434853567111825[[#This Row],[LỢI NHUẬN RÒNG]]</f>
        <v>2771543.0323034213</v>
      </c>
      <c r="K6" s="13" t="s">
        <v>15</v>
      </c>
      <c r="L6" s="14">
        <f>SUMIF(Table8414194101324273239434853567111825[CỔ ĐÔNG],K6,Table8414194101324273239434853567111825[VỐN CP])</f>
        <v>0</v>
      </c>
      <c r="M6" s="14">
        <f>SUMIF(Table8414194101324273239434853567111825[CỔ ĐÔNG],K6,Table8414194101324273239434853567111825[LỢI NHUẬN GỘP])</f>
        <v>0</v>
      </c>
      <c r="N6" s="14">
        <f>SUMIF(Table8414194101324273239434853567111825[CỔ ĐÔNG],K6,Table8414194101324273239434853567111825[LỢI NHUẬN RÒNG])</f>
        <v>0</v>
      </c>
      <c r="O6" s="15">
        <f>SUMIF(Table8414194101324273239434853567111825[CỔ ĐÔNG],K6,Table8414194101324273239434853567111825[TỔNG NHẬN])</f>
        <v>0</v>
      </c>
    </row>
    <row r="7" spans="1:15" ht="15" hidden="1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2353746.9</v>
      </c>
      <c r="F7" s="18">
        <v>1114629.0969102636</v>
      </c>
      <c r="G7" s="12">
        <f>D7+Table8414194101324273239434853567111825[[#This Row],[LỢI NHUẬN RÒNG]]</f>
        <v>8314629.0969102634</v>
      </c>
      <c r="I7" s="11"/>
      <c r="K7" s="13" t="s">
        <v>17</v>
      </c>
      <c r="L7" s="14">
        <f>SUMIF(Table8414194101324273239434853567111825[CỔ ĐÔNG],K7,Table8414194101324273239434853567111825[VỐN CP])</f>
        <v>0</v>
      </c>
      <c r="M7" s="14">
        <f>SUMIF(Table8414194101324273239434853567111825[CỔ ĐÔNG],K7,Table8414194101324273239434853567111825[LỢI NHUẬN GỘP])</f>
        <v>0</v>
      </c>
      <c r="N7" s="14">
        <f>SUMIF(Table8414194101324273239434853567111825[CỔ ĐÔNG],K7,Table8414194101324273239434853567111825[LỢI NHUẬN RÒNG])</f>
        <v>0</v>
      </c>
      <c r="O7" s="15">
        <f>SUMIF(Table8414194101324273239434853567111825[CỔ ĐÔNG],Table9515205111425283340444954578121926[[#This Row],[CỔ ĐÔNG]],Table8414194101324273239434853567111825[TỔNG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1569164.6</v>
      </c>
      <c r="F8" s="18">
        <v>743086.06460684235</v>
      </c>
      <c r="G8" s="12">
        <f>D8+Table8414194101324273239434853567111825[[#This Row],[LỢI NHUẬN RÒNG]]</f>
        <v>5543086.0646068426</v>
      </c>
      <c r="K8" s="13" t="s">
        <v>19</v>
      </c>
      <c r="L8" s="14">
        <f>SUMIF(Table8414194101324273239434853567111825[CỔ ĐÔNG],K8,Table8414194101324273239434853567111825[VỐN CP])</f>
        <v>30050000</v>
      </c>
      <c r="M8" s="14">
        <f>SUMIF(Table8414194101324273239434853567111825[CỔ ĐÔNG],K8,Table8414194101324273239434853567111825[LỢI NHUẬN GỘP])</f>
        <v>13591595.900000002</v>
      </c>
      <c r="N8" s="14">
        <f>SUMIF(Table8414194101324273239434853567111825[CỔ ĐÔNG],K8,Table8414194101324273239434853567111825[LỢI NHUẬN RÒNG])</f>
        <v>7460912.8472274896</v>
      </c>
      <c r="O8" s="15">
        <f>SUMIF(Table8414194101324273239434853567111825[CỔ ĐÔNG],Table9515205111425283340444954578121926[[#This Row],[CỔ ĐÔNG]],Table8414194101324273239434853567111825[TỔNG NHẬN])</f>
        <v>116614451.53075214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784582.3</v>
      </c>
      <c r="F9" s="18">
        <v>371543.03230342118</v>
      </c>
      <c r="G9" s="12">
        <f>D9+Table8414194101324273239434853567111825[[#This Row],[LỢI NHUẬN RÒNG]]</f>
        <v>2771543.0323034213</v>
      </c>
      <c r="K9" s="13" t="s">
        <v>21</v>
      </c>
      <c r="L9" s="14">
        <f>SUMIF(Table8414194101324273239434853567111825[CỔ ĐÔNG],K9,Table8414194101324273239434853567111825[VỐN CP])</f>
        <v>19400000</v>
      </c>
      <c r="M9" s="14">
        <f>SUMIF(Table8414194101324273239434853567111825[CỔ ĐÔNG],K9,Table8414194101324273239434853567111825[LỢI NHUẬN GỘP])</f>
        <v>8598562.6000000015</v>
      </c>
      <c r="N9" s="14">
        <f>SUMIF(Table8414194101324273239434853567111825[CỔ ĐÔNG],K9,Table8414194101324273239434853567111825[LỢI NHUẬN RÒNG])</f>
        <v>4851004.7254313016</v>
      </c>
      <c r="O9" s="15">
        <f>SUMIF(Table8414194101324273239434853567111825[CỔ ĐÔNG],Table9515205111425283340444954578121926[[#This Row],[CỔ ĐÔNG]],Table8414194101324273239434853567111825[TỔNG NHẬN])</f>
        <v>64647317.852847144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1569164.6</v>
      </c>
      <c r="F10" s="18">
        <v>743086.06460684235</v>
      </c>
      <c r="G10" s="12">
        <f>D10+Table8414194101324273239434853567111825[[#This Row],[LỢI NHUẬN RÒNG]]</f>
        <v>5543086.0646068426</v>
      </c>
      <c r="I10" s="11"/>
      <c r="K10" s="13" t="s">
        <v>23</v>
      </c>
      <c r="L10" s="14">
        <f>SUMIF(Table8414194101324273239434853567111825[CỔ ĐÔNG],K10,Table8414194101324273239434853567111825[VỐN CP])</f>
        <v>0</v>
      </c>
      <c r="M10" s="14">
        <f>SUMIF(Table8414194101324273239434853567111825[CỔ ĐÔNG],K10,Table8414194101324273239434853567111825[LỢI NHUẬN GỘP])</f>
        <v>0</v>
      </c>
      <c r="N10" s="14">
        <f>SUMIF(Table8414194101324273239434853567111825[CỔ ĐÔNG],K10,Table8414194101324273239434853567111825[LỢI NHUẬN RÒNG])</f>
        <v>0</v>
      </c>
      <c r="O10" s="15">
        <f>SUMIF(Table8414194101324273239434853567111825[CỔ ĐÔNG],Table9515205111425283340444954578121926[[#This Row],[CỔ ĐÔNG]],Table8414194101324273239434853567111825[TỔNG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1569164.6</v>
      </c>
      <c r="F11" s="18">
        <v>743086.06460684235</v>
      </c>
      <c r="G11" s="12">
        <f>D11+Table8414194101324273239434853567111825[[#This Row],[LỢI NHUẬN RÒNG]]</f>
        <v>5543086.0646068426</v>
      </c>
      <c r="K11" s="13" t="s">
        <v>25</v>
      </c>
      <c r="L11" s="14">
        <f>SUMIF(Table8414194101324273239434853567111825[CỔ ĐÔNG],K11,Table8414194101324273239434853567111825[VỐN CP])</f>
        <v>19400000</v>
      </c>
      <c r="M11" s="14">
        <f>SUMIF(Table8414194101324273239434853567111825[CỔ ĐÔNG],K11,Table8414194101324273239434853567111825[LỢI NHUẬN GỘP])</f>
        <v>8598562.6000000015</v>
      </c>
      <c r="N11" s="14">
        <f>SUMIF(Table8414194101324273239434853567111825[CỔ ĐÔNG],K11,Table8414194101324273239434853567111825[LỢI NHUẬN RÒNG])</f>
        <v>4851004.7254313016</v>
      </c>
      <c r="O11" s="15">
        <f>SUMIF(Table8414194101324273239434853567111825[CỔ ĐÔNG],Table9515205111425283340444954578121926[[#This Row],[CỔ ĐÔNG]],Table8414194101324273239434853567111825[TỔNG NHẬN])</f>
        <v>39207458.09935154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D12" s="11">
        <v>2550000</v>
      </c>
      <c r="E12" s="11">
        <v>1309911.6000000001</v>
      </c>
      <c r="F12" s="11">
        <v>1000459.1047014289</v>
      </c>
      <c r="G12" s="12">
        <f>D12+Table8414194101324273239434853567111825[[#This Row],[LỢI NHUẬN RÒNG]]</f>
        <v>3550459.1047014287</v>
      </c>
      <c r="K12" s="13" t="s">
        <v>27</v>
      </c>
      <c r="L12" s="14">
        <f>SUMIF(Table8414194101324273239434853567111825[CỔ ĐÔNG],K12,Table8414194101324273239434853567111825[VỐN CP])</f>
        <v>0</v>
      </c>
      <c r="M12" s="14">
        <f>SUMIF(Table8414194101324273239434853567111825[CỔ ĐÔNG],K12,Table8414194101324273239434853567111825[LỢI NHUẬN GỘP])</f>
        <v>0</v>
      </c>
      <c r="N12" s="14">
        <f>SUMIF(Table8414194101324273239434853567111825[CỔ ĐÔNG],K12,Table8414194101324273239434853567111825[LỢI NHUẬN RÒNG])</f>
        <v>0</v>
      </c>
      <c r="O12" s="15">
        <f>SUMIF(Table8414194101324273239434853567111825[CỔ ĐÔNG],Table9515205111425283340444954578121926[[#This Row],[CỔ ĐÔNG]],Table8414194101324273239434853567111825[TỔNG NHẬN])</f>
        <v>19353612.778054405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D13" s="11">
        <v>2550000</v>
      </c>
      <c r="E13" s="11">
        <v>1309911.6000000001</v>
      </c>
      <c r="F13" s="11">
        <v>1000459.1047014289</v>
      </c>
      <c r="G13" s="12">
        <f>D13+Table8414194101324273239434853567111825[[#This Row],[LỢI NHUẬN RÒNG]]</f>
        <v>3550459.1047014287</v>
      </c>
      <c r="K13" s="13" t="s">
        <v>29</v>
      </c>
      <c r="L13" s="14">
        <f>SUMIF(Table8414194101324273239434853567111825[CỔ ĐÔNG],K13,Table8414194101324273239434853567111825[VỐN CP])</f>
        <v>10825000</v>
      </c>
      <c r="M13" s="14">
        <f>SUMIF(Table8414194101324273239434853567111825[CỔ ĐÔNG],K13,Table8414194101324273239434853567111825[LỢI NHUẬN GỘP])</f>
        <v>4880826.45</v>
      </c>
      <c r="N13" s="14">
        <f>SUMIF(Table8414194101324273239434853567111825[CỔ ĐÔNG],K13,Table8414194101324273239434853567111825[LỢI NHUẬN RÒNG])</f>
        <v>2841021.2639959767</v>
      </c>
      <c r="O13" s="15">
        <f>SUMIF(Table8414194101324273239434853567111825[CỔ ĐÔNG],Table9515205111425283340444954578121926[[#This Row],[CỔ ĐÔNG]],Table8414194101324273239434853567111825[TỔNG NHẬN])</f>
        <v>33864177.827703901</v>
      </c>
    </row>
    <row r="14" spans="1:15" ht="15" customHeight="1" x14ac:dyDescent="0.3">
      <c r="A14" s="10" t="s">
        <v>138</v>
      </c>
      <c r="B14" s="11" t="s">
        <v>33</v>
      </c>
      <c r="C14" s="11">
        <v>5</v>
      </c>
      <c r="D14" s="11">
        <v>850000</v>
      </c>
      <c r="E14" s="11">
        <v>436637.2</v>
      </c>
      <c r="F14" s="11">
        <v>333486.3682338096</v>
      </c>
      <c r="G14" s="12">
        <f>D14+Table8414194101324273239434853567111825[[#This Row],[LỢI NHUẬN RÒNG]]</f>
        <v>1183486.3682338097</v>
      </c>
      <c r="K14" s="13" t="s">
        <v>31</v>
      </c>
      <c r="L14" s="14">
        <f>SUMIF(Table8414194101324273239434853567111825[CỔ ĐÔNG],K14,Table8414194101324273239434853567111825[VỐN CP])</f>
        <v>30925000</v>
      </c>
      <c r="M14" s="14">
        <f>SUMIF(Table8414194101324273239434853567111825[CỔ ĐÔNG],K14,Table8414194101324273239434853567111825[LỢI NHUẬN GỘP])</f>
        <v>13390696.949999999</v>
      </c>
      <c r="N14" s="14">
        <f>SUMIF(Table8414194101324273239434853567111825[CỔ ĐÔNG],K14,Table8414194101324273239434853567111825[LỢI NHUẬN RÒNG])</f>
        <v>7396596.2852630801</v>
      </c>
      <c r="O14" s="15">
        <f>SUMIF(Table8414194101324273239434853567111825[CỔ ĐÔNG],Table9515205111425283340444954578121926[[#This Row],[CỔ ĐÔNG]],Table8414194101324273239434853567111825[TỔNG NHẬN])</f>
        <v>90890403.363561332</v>
      </c>
    </row>
    <row r="15" spans="1:15" ht="15" hidden="1" customHeight="1" x14ac:dyDescent="0.3">
      <c r="A15" s="10" t="s">
        <v>138</v>
      </c>
      <c r="B15" s="11" t="s">
        <v>31</v>
      </c>
      <c r="C15" s="11">
        <v>15</v>
      </c>
      <c r="D15" s="11">
        <v>2550000</v>
      </c>
      <c r="E15" s="11">
        <v>1309911.6000000001</v>
      </c>
      <c r="F15" s="11">
        <v>1000459.1047014289</v>
      </c>
      <c r="G15" s="12">
        <f>D15+Table8414194101324273239434853567111825[[#This Row],[LỢI NHUẬN RÒNG]]</f>
        <v>3550459.1047014287</v>
      </c>
      <c r="K15" s="13" t="s">
        <v>33</v>
      </c>
      <c r="L15" s="14">
        <f>SUMIF(Table8414194101324273239434853567111825[CỔ ĐÔNG],K15,Table8414194101324273239434853567111825[VỐN CP])</f>
        <v>9275000</v>
      </c>
      <c r="M15" s="14">
        <f>SUMIF(Table8414194101324273239434853567111825[CỔ ĐÔNG],K15,Table8414194101324273239434853567111825[LỢI NHUẬN GỘP])</f>
        <v>4080962.7</v>
      </c>
      <c r="N15" s="14">
        <f>SUMIF(Table8414194101324273239434853567111825[CỔ ĐÔNG],K15,Table8414194101324273239434853567111825[LỢI NHUẬN RÒNG])</f>
        <v>2258759.1785987457</v>
      </c>
      <c r="O15" s="15">
        <f>SUMIF(Table8414194101324273239434853567111825[CỔ ĐÔNG],Table9515205111425283340444954578121926[[#This Row],[CỔ ĐÔNG]],Table8414194101324273239434853567111825[TỔNG NHẬN])</f>
        <v>31731915.742306668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D16" s="11">
        <v>2550000</v>
      </c>
      <c r="E16" s="11">
        <v>1309911.6000000001</v>
      </c>
      <c r="F16" s="11">
        <v>1000459.1047014289</v>
      </c>
      <c r="G16" s="12">
        <f>D16+Table8414194101324273239434853567111825[[#This Row],[LỢI NHUẬN RÒNG]]</f>
        <v>3550459.1047014287</v>
      </c>
      <c r="K16" s="13" t="s">
        <v>35</v>
      </c>
      <c r="L16" s="14">
        <f>SUMIF(Table8414194101324273239434853567111825[CỔ ĐÔNG],K16,Table8414194101324273239434853567111825[VỐN CP])</f>
        <v>0</v>
      </c>
      <c r="M16" s="14">
        <f>SUMIF(Table8414194101324273239434853567111825[CỔ ĐÔNG],K16,Table8414194101324273239434853567111825[LỢI NHUẬN GỘP])</f>
        <v>0</v>
      </c>
      <c r="N16" s="14">
        <f>SUMIF(Table8414194101324273239434853567111825[CỔ ĐÔNG],K16,Table8414194101324273239434853567111825[LỢI NHUẬN RÒNG])</f>
        <v>0</v>
      </c>
      <c r="O16" s="15">
        <f>SUMIF(Table8414194101324273239434853567111825[CỔ ĐÔNG],Table9515205111425283340444954578121926[[#This Row],[CỔ ĐÔNG]],Table8414194101324273239434853567111825[TỔNG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D17" s="11">
        <v>1700000</v>
      </c>
      <c r="E17" s="11">
        <v>873274.4</v>
      </c>
      <c r="F17" s="11">
        <v>666972.73646761919</v>
      </c>
      <c r="G17" s="12">
        <f>D17+Table8414194101324273239434853567111825[[#This Row],[LỢI NHUẬN RÒNG]]</f>
        <v>2366972.7364676194</v>
      </c>
      <c r="K17" s="16" t="s">
        <v>37</v>
      </c>
      <c r="L17" s="17">
        <f>SUMIF(Table8414194101324273239434853567111825[CỔ ĐÔNG],K17,Table8414194101324273239434853567111825[VỐN CP])</f>
        <v>21800000</v>
      </c>
      <c r="M17" s="17">
        <f>SUMIF(Table8414194101324273239434853567111825[CỔ ĐÔNG],K17,Table8414194101324273239434853567111825[LỢI NHUẬN GỘP])</f>
        <v>9383144.9000000004</v>
      </c>
      <c r="N17" s="17">
        <f>SUMIF(Table8414194101324273239434853567111825[CỔ ĐÔNG],K17,Table8414194101324273239434853567111825[LỢI NHUẬN RÒNG])</f>
        <v>5222547.7577347225</v>
      </c>
      <c r="O17" s="15">
        <f>SUMIF(Table8414194101324273239434853567111825[CỔ ĐÔNG],Table9515205111425283340444954578121926[[#This Row],[CỔ ĐÔNG]],Table8414194101324273239434853567111825[TỔNG NHẬN])</f>
        <v>69107948.4564576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D18" s="11">
        <v>1700000</v>
      </c>
      <c r="E18" s="11">
        <v>873274.4</v>
      </c>
      <c r="F18" s="11">
        <v>666972.73646761919</v>
      </c>
      <c r="G18" s="12">
        <f>D18+Table8414194101324273239434853567111825[[#This Row],[LỢI NHUẬN RÒNG]]</f>
        <v>2366972.7364676194</v>
      </c>
      <c r="K18" s="13" t="s">
        <v>39</v>
      </c>
      <c r="L18" s="17">
        <f>SUMIF(Table8414194101324273239434853567111825[CỔ ĐÔNG],K18,Table8414194101324273239434853567111825[VỐN CP])</f>
        <v>0</v>
      </c>
      <c r="M18" s="17">
        <f>SUMIF(Table8414194101324273239434853567111825[CỔ ĐÔNG],K18,Table8414194101324273239434853567111825[LỢI NHUẬN GỘP])</f>
        <v>0</v>
      </c>
      <c r="N18" s="17">
        <f>SUMIF(Table8414194101324273239434853567111825[CỔ ĐÔNG],K18,Table8414194101324273239434853567111825[LỢI NHUẬN RÒNG])</f>
        <v>0</v>
      </c>
      <c r="O18" s="15">
        <f>SUMIF(Table8414194101324273239434853567111825[CỔ ĐÔNG],Table9515205111425283340444954578121926[[#This Row],[CỔ ĐÔNG]],Table8414194101324273239434853567111825[TỔNG NHẬN])</f>
        <v>0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D19" s="11">
        <v>2550000</v>
      </c>
      <c r="E19" s="11">
        <v>1309911.6000000001</v>
      </c>
      <c r="F19" s="11">
        <v>1000459.1047014289</v>
      </c>
      <c r="G19" s="12">
        <f>D19+Table8414194101324273239434853567111825[[#This Row],[LỢI NHUẬN RÒNG]]</f>
        <v>3550459.1047014287</v>
      </c>
      <c r="I19" s="11"/>
      <c r="K19" s="13" t="s">
        <v>41</v>
      </c>
      <c r="L19" s="17">
        <f>SUMIF(Table8414194101324273239434853567111825[CỔ ĐÔNG],K19,Table8414194101324273239434853567111825[VỐN CP])</f>
        <v>0</v>
      </c>
      <c r="M19" s="17">
        <f>SUMIF(Table8414194101324273239434853567111825[CỔ ĐÔNG],K19,Table8414194101324273239434853567111825[LỢI NHUẬN GỘP])</f>
        <v>0</v>
      </c>
      <c r="N19" s="17">
        <f>SUMIF(Table8414194101324273239434853567111825[CỔ ĐÔNG],K19,Table8414194101324273239434853567111825[LỢI NHUẬN RÒNG])</f>
        <v>0</v>
      </c>
      <c r="O19" s="15">
        <f>SUMIF(Table8414194101324273239434853567111825[CỔ ĐÔNG],Table9515205111425283340444954578121926[[#This Row],[CỔ ĐÔNG]],Table8414194101324273239434853567111825[TỔNG NHẬN])</f>
        <v>0</v>
      </c>
    </row>
    <row r="20" spans="1:15" ht="15" hidden="1" customHeight="1" x14ac:dyDescent="0.3">
      <c r="A20" s="10" t="s">
        <v>140</v>
      </c>
      <c r="B20" s="11" t="s">
        <v>9</v>
      </c>
      <c r="C20" s="11">
        <v>10</v>
      </c>
      <c r="D20" s="11">
        <v>6200000</v>
      </c>
      <c r="E20" s="11">
        <v>2295617.7000000002</v>
      </c>
      <c r="F20" s="11">
        <v>1240637.4989336848</v>
      </c>
      <c r="G20" s="12">
        <f>Table8414194101324273239434853567111825[[#This Row],[VỐN CP]]+Table8414194101324273239434853567111825[[#This Row],[LỢI NHUẬN RÒNG]]</f>
        <v>7440637.498933685</v>
      </c>
      <c r="K20" s="13" t="s">
        <v>42</v>
      </c>
      <c r="L20" s="17">
        <f>SUMIF(Table8414194101324273239434853567111825[CỔ ĐÔNG],K20,Table8414194101324273239434853567111825[VỐN CP])</f>
        <v>0</v>
      </c>
      <c r="M20" s="17">
        <f>SUMIF(Table8414194101324273239434853567111825[CỔ ĐÔNG],K20,Table8414194101324273239434853567111825[LỢI NHUẬN GỘP])</f>
        <v>0</v>
      </c>
      <c r="N20" s="17">
        <f>SUMIF(Table8414194101324273239434853567111825[CỔ ĐÔNG],K20,Table8414194101324273239434853567111825[LỢI NHUẬN RÒNG])</f>
        <v>0</v>
      </c>
      <c r="O20" s="15">
        <f>SUMIF(Table8414194101324273239434853567111825[CỔ ĐÔNG],Table9515205111425283340444954578121926[[#This Row],[CỔ ĐÔNG]],Table8414194101324273239434853567111825[TỔNG NHẬN])</f>
        <v>0</v>
      </c>
    </row>
    <row r="21" spans="1:15" ht="15" hidden="1" customHeight="1" x14ac:dyDescent="0.3">
      <c r="A21" s="10" t="s">
        <v>140</v>
      </c>
      <c r="B21" s="11" t="s">
        <v>19</v>
      </c>
      <c r="C21" s="11">
        <v>10</v>
      </c>
      <c r="D21" s="11">
        <v>6200000</v>
      </c>
      <c r="E21" s="11">
        <v>2295617.7000000002</v>
      </c>
      <c r="F21" s="11">
        <v>1240637.4989336848</v>
      </c>
      <c r="G21" s="12">
        <f>Table8414194101324273239434853567111825[[#This Row],[VỐN CP]]+Table8414194101324273239434853567111825[[#This Row],[LỢI NHUẬN RÒNG]]</f>
        <v>7440637.498933685</v>
      </c>
      <c r="K21" s="13" t="s">
        <v>43</v>
      </c>
      <c r="L21" s="17">
        <f>SUMIF(Table8414194101324273239434853567111825[CỔ ĐÔNG],K21,Table8414194101324273239434853567111825[VỐN CP])</f>
        <v>24575000</v>
      </c>
      <c r="M21" s="17">
        <f>SUMIF(Table8414194101324273239434853567111825[CỔ ĐÔNG],K21,Table8414194101324273239434853567111825[LỢI NHUẬN GỘP])</f>
        <v>11021668.6</v>
      </c>
      <c r="N21" s="17">
        <f>SUMIF(Table8414194101324273239434853567111825[CỔ ĐÔNG],K21,Table8414194101324273239434853567111825[LỢI NHUẬN RÒNG])</f>
        <v>6071248.1352590071</v>
      </c>
      <c r="O21" s="15">
        <f>SUMIF(Table8414194101324273239434853567111825[CỔ ĐÔNG],Table9515205111425283340444954578121926[[#This Row],[CỔ ĐÔNG]],Table8414194101324273239434853567111825[TỔNG NHẬN])</f>
        <v>71042561.262674853</v>
      </c>
    </row>
    <row r="22" spans="1:15" ht="15" hidden="1" customHeight="1" x14ac:dyDescent="0.3">
      <c r="A22" s="10" t="s">
        <v>140</v>
      </c>
      <c r="B22" s="11" t="s">
        <v>37</v>
      </c>
      <c r="C22" s="18">
        <v>10</v>
      </c>
      <c r="D22" s="18">
        <v>6200000</v>
      </c>
      <c r="E22" s="18">
        <v>2295617.7000000002</v>
      </c>
      <c r="F22" s="18">
        <v>1240637.4989336848</v>
      </c>
      <c r="G22" s="12">
        <f>Table8414194101324273239434853567111825[[#This Row],[VỐN CP]]+Table8414194101324273239434853567111825[[#This Row],[LỢI NHUẬN RÒNG]]</f>
        <v>7440637.498933685</v>
      </c>
      <c r="K22" s="13" t="s">
        <v>44</v>
      </c>
      <c r="L22" s="17">
        <f>SUMIF(Table8414194101324273239434853567111825[CỔ ĐÔNG],K22,Table8414194101324273239434853567111825[VỐN CP])</f>
        <v>0</v>
      </c>
      <c r="M22" s="17">
        <f>SUMIF(Table8414194101324273239434853567111825[CỔ ĐÔNG],K22,Table8414194101324273239434853567111825[LỢI NHUẬN GỘP])</f>
        <v>0</v>
      </c>
      <c r="N22" s="17">
        <f>SUMIF(Table8414194101324273239434853567111825[CỔ ĐÔNG],K22,Table8414194101324273239434853567111825[LỢI NHUẬN RÒNG])</f>
        <v>0</v>
      </c>
      <c r="O22" s="15">
        <f>SUMIF(Table8414194101324273239434853567111825[CỔ ĐÔNG],Table9515205111425283340444954578121926[[#This Row],[CỔ ĐÔNG]],Table8414194101324273239434853567111825[TỔNG NHẬN])</f>
        <v>0</v>
      </c>
    </row>
    <row r="23" spans="1:15" ht="15" customHeight="1" x14ac:dyDescent="0.3">
      <c r="A23" s="10" t="s">
        <v>140</v>
      </c>
      <c r="B23" s="11" t="s">
        <v>33</v>
      </c>
      <c r="C23" s="11">
        <v>5</v>
      </c>
      <c r="D23" s="11">
        <v>3100000</v>
      </c>
      <c r="E23" s="11">
        <v>1147808.8500000001</v>
      </c>
      <c r="F23" s="11">
        <v>620318.74946684239</v>
      </c>
      <c r="G23" s="12">
        <f>Table8414194101324273239434853567111825[[#This Row],[VỐN CP]]+Table8414194101324273239434853567111825[[#This Row],[LỢI NHUẬN RÒNG]]</f>
        <v>3720318.7494668425</v>
      </c>
      <c r="K23" s="13" t="s">
        <v>45</v>
      </c>
      <c r="L23" s="17">
        <f>SUMIF(Table8414194101324273239434853567111825[CỔ ĐÔNG],K23,Table8414194101324273239434853567111825[VỐN CP])</f>
        <v>0</v>
      </c>
      <c r="M23" s="17">
        <f>SUMIF(Table8414194101324273239434853567111825[CỔ ĐÔNG],K23,Table8414194101324273239434853567111825[LỢI NHUẬN GỘP])</f>
        <v>0</v>
      </c>
      <c r="N23" s="17">
        <f>SUMIF(Table8414194101324273239434853567111825[CỔ ĐÔNG],K23,Table8414194101324273239434853567111825[LỢI NHUẬN RÒNG])</f>
        <v>0</v>
      </c>
      <c r="O23" s="15">
        <f>SUMIF(Table8414194101324273239434853567111825[CỔ ĐÔNG],Table9515205111425283340444954578121926[[#This Row],[CỔ ĐÔNG]],Table8414194101324273239434853567111825[TỔNG NHẬN])</f>
        <v>0</v>
      </c>
    </row>
    <row r="24" spans="1:15" ht="15" hidden="1" customHeight="1" x14ac:dyDescent="0.3">
      <c r="A24" s="10" t="s">
        <v>140</v>
      </c>
      <c r="B24" s="11" t="s">
        <v>31</v>
      </c>
      <c r="C24" s="11">
        <v>20</v>
      </c>
      <c r="D24" s="11">
        <v>12400000</v>
      </c>
      <c r="E24" s="11">
        <v>4591235.4000000004</v>
      </c>
      <c r="F24" s="11">
        <v>2481274.9978673696</v>
      </c>
      <c r="G24" s="12">
        <f>Table8414194101324273239434853567111825[[#This Row],[VỐN CP]]+Table8414194101324273239434853567111825[[#This Row],[LỢI NHUẬN RÒNG]]</f>
        <v>14881274.99786737</v>
      </c>
      <c r="K24" s="13" t="s">
        <v>46</v>
      </c>
      <c r="L24" s="17">
        <f>SUMIF(Table8414194101324273239434853567111825[CỔ ĐÔNG],K24,Table8414194101324273239434853567111825[VỐN CP])</f>
        <v>0</v>
      </c>
      <c r="M24" s="17">
        <f>SUMIF(Table8414194101324273239434853567111825[CỔ ĐÔNG],K24,Table8414194101324273239434853567111825[LỢI NHUẬN GỘP])</f>
        <v>0</v>
      </c>
      <c r="N24" s="17">
        <f>SUMIF(Table8414194101324273239434853567111825[CỔ ĐÔNG],K24,Table8414194101324273239434853567111825[LỢI NHUẬN RÒNG])</f>
        <v>0</v>
      </c>
      <c r="O24" s="15">
        <f>SUMIF(Table8414194101324273239434853567111825[CỔ ĐÔNG],Table9515205111425283340444954578121926[[#This Row],[CỔ ĐÔNG]],Table8414194101324273239434853567111825[TỔNG NHẬN])</f>
        <v>0</v>
      </c>
    </row>
    <row r="25" spans="1:15" ht="15" hidden="1" customHeight="1" x14ac:dyDescent="0.3">
      <c r="A25" s="10" t="s">
        <v>140</v>
      </c>
      <c r="B25" s="11" t="s">
        <v>21</v>
      </c>
      <c r="C25" s="11">
        <v>10</v>
      </c>
      <c r="D25" s="11">
        <v>6200000</v>
      </c>
      <c r="E25" s="11">
        <v>2295617.7000000002</v>
      </c>
      <c r="F25" s="11">
        <v>1240637.4989336848</v>
      </c>
      <c r="G25" s="12">
        <f>Table8414194101324273239434853567111825[[#This Row],[VỐN CP]]+Table8414194101324273239434853567111825[[#This Row],[LỢI NHUẬN RÒNG]]</f>
        <v>7440637.498933685</v>
      </c>
      <c r="K25" s="13" t="s">
        <v>47</v>
      </c>
      <c r="L25" s="14">
        <f>SUM(L2:L24)</f>
        <v>185500000</v>
      </c>
      <c r="M25" s="14">
        <f>SUM(M2:M24)</f>
        <v>81619254.000000015</v>
      </c>
      <c r="N25" s="14">
        <f>SUM(N2:N24)</f>
        <v>45175183.571974918</v>
      </c>
      <c r="O25" s="14">
        <f>SUM(O2:O24)</f>
        <v>634638314.84613323</v>
      </c>
    </row>
    <row r="26" spans="1:15" ht="15" hidden="1" customHeight="1" x14ac:dyDescent="0.3">
      <c r="A26" s="10" t="s">
        <v>140</v>
      </c>
      <c r="B26" s="11" t="s">
        <v>29</v>
      </c>
      <c r="C26" s="11">
        <v>10</v>
      </c>
      <c r="D26" s="11">
        <v>6200000</v>
      </c>
      <c r="E26" s="11">
        <v>2295617.7000000002</v>
      </c>
      <c r="F26" s="11">
        <v>1240637.4989336848</v>
      </c>
      <c r="G26" s="12">
        <f>Table8414194101324273239434853567111825[[#This Row],[VỐN CP]]+Table8414194101324273239434853567111825[[#This Row],[LỢI NHUẬN RÒNG]]</f>
        <v>7440637.498933685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140</v>
      </c>
      <c r="B27" s="11" t="s">
        <v>43</v>
      </c>
      <c r="C27" s="11">
        <v>15</v>
      </c>
      <c r="D27" s="11">
        <v>9300000</v>
      </c>
      <c r="E27" s="11">
        <v>3443426.55</v>
      </c>
      <c r="F27" s="11">
        <v>1860956.2484005273</v>
      </c>
      <c r="G27" s="12">
        <f>Table8414194101324273239434853567111825[[#This Row],[VỐN CP]]+Table8414194101324273239434853567111825[[#This Row],[LỢI NHUẬN RÒNG]]</f>
        <v>11160956.248400528</v>
      </c>
    </row>
    <row r="28" spans="1:15" ht="15" hidden="1" customHeight="1" x14ac:dyDescent="0.3">
      <c r="A28" s="10" t="s">
        <v>140</v>
      </c>
      <c r="B28" s="11" t="s">
        <v>25</v>
      </c>
      <c r="C28" s="11">
        <v>10</v>
      </c>
      <c r="D28" s="11">
        <v>6200000</v>
      </c>
      <c r="E28" s="11">
        <v>2295617.7000000002</v>
      </c>
      <c r="F28" s="11">
        <v>1240637.4989336848</v>
      </c>
      <c r="G28" s="12">
        <f>Table8414194101324273239434853567111825[[#This Row],[VỐN CP]]+Table8414194101324273239434853567111825[[#This Row],[LỢI NHUẬN RÒNG]]</f>
        <v>7440637.498933685</v>
      </c>
      <c r="K28" s="11"/>
    </row>
    <row r="29" spans="1:15" ht="15" hidden="1" customHeight="1" x14ac:dyDescent="0.3">
      <c r="A29" s="10" t="s">
        <v>141</v>
      </c>
      <c r="B29" s="11" t="s">
        <v>9</v>
      </c>
      <c r="C29" s="11">
        <v>10</v>
      </c>
      <c r="D29" s="11">
        <v>5850000</v>
      </c>
      <c r="E29" s="11">
        <v>3423868.7</v>
      </c>
      <c r="F29" s="11">
        <v>1866822.0571893454</v>
      </c>
      <c r="G29" s="12">
        <f>Table8414194101324273239434853567111825[[#This Row],[VỐN CP]]+Table8414194101324273239434853567111825[[#This Row],[LỢI NHUẬN RÒNG]]</f>
        <v>7716822.0571893454</v>
      </c>
    </row>
    <row r="30" spans="1:15" ht="15" hidden="1" customHeight="1" x14ac:dyDescent="0.3">
      <c r="A30" s="10" t="s">
        <v>141</v>
      </c>
      <c r="B30" s="11" t="s">
        <v>19</v>
      </c>
      <c r="C30" s="11">
        <v>20</v>
      </c>
      <c r="D30" s="11">
        <v>11700000</v>
      </c>
      <c r="E30" s="11">
        <v>6847737.4000000004</v>
      </c>
      <c r="F30" s="11">
        <v>3733644.1143786907</v>
      </c>
      <c r="G30" s="12">
        <f>Table8414194101324273239434853567111825[[#This Row],[VỐN CP]]+Table8414194101324273239434853567111825[[#This Row],[LỢI NHUẬN RÒNG]]</f>
        <v>15433644.114378691</v>
      </c>
      <c r="M30" s="11"/>
    </row>
    <row r="31" spans="1:15" ht="15" hidden="1" customHeight="1" x14ac:dyDescent="0.3">
      <c r="A31" s="10" t="s">
        <v>141</v>
      </c>
      <c r="B31" s="11" t="s">
        <v>37</v>
      </c>
      <c r="C31" s="11">
        <v>10</v>
      </c>
      <c r="D31" s="11">
        <v>5850000</v>
      </c>
      <c r="E31" s="11">
        <v>3423868.7</v>
      </c>
      <c r="F31" s="11">
        <v>1866822.0571893454</v>
      </c>
      <c r="G31" s="12">
        <f>Table8414194101324273239434853567111825[[#This Row],[VỐN CP]]+Table8414194101324273239434853567111825[[#This Row],[LỢI NHUẬN RÒNG]]</f>
        <v>7716822.0571893454</v>
      </c>
    </row>
    <row r="32" spans="1:15" ht="15" customHeight="1" x14ac:dyDescent="0.3">
      <c r="A32" s="10" t="s">
        <v>141</v>
      </c>
      <c r="B32" s="11" t="s">
        <v>33</v>
      </c>
      <c r="C32" s="11">
        <v>5</v>
      </c>
      <c r="D32" s="11">
        <v>2925000</v>
      </c>
      <c r="E32" s="11">
        <v>1711934.35</v>
      </c>
      <c r="F32" s="11">
        <v>933411.02859467268</v>
      </c>
      <c r="G32" s="12">
        <f>Table8414194101324273239434853567111825[[#This Row],[VỐN CP]]+Table8414194101324273239434853567111825[[#This Row],[LỢI NHUẬN RÒNG]]</f>
        <v>3858411.0285946727</v>
      </c>
    </row>
    <row r="33" spans="1:12" ht="15" hidden="1" customHeight="1" x14ac:dyDescent="0.3">
      <c r="A33" s="10" t="s">
        <v>141</v>
      </c>
      <c r="B33" s="11" t="s">
        <v>31</v>
      </c>
      <c r="C33" s="11">
        <v>15</v>
      </c>
      <c r="D33" s="11">
        <v>8775000</v>
      </c>
      <c r="E33" s="11">
        <v>5135803.05</v>
      </c>
      <c r="F33" s="11">
        <v>2800233.085784018</v>
      </c>
      <c r="G33" s="12">
        <f>Table8414194101324273239434853567111825[[#This Row],[VỐN CP]]+Table8414194101324273239434853567111825[[#This Row],[LỢI NHUẬN RÒNG]]</f>
        <v>11575233.085784018</v>
      </c>
    </row>
    <row r="34" spans="1:12" ht="15" hidden="1" customHeight="1" x14ac:dyDescent="0.3">
      <c r="A34" s="10" t="s">
        <v>141</v>
      </c>
      <c r="B34" s="11" t="s">
        <v>21</v>
      </c>
      <c r="C34" s="11">
        <v>10</v>
      </c>
      <c r="D34" s="11">
        <v>5850000</v>
      </c>
      <c r="E34" s="11">
        <v>3423868.7</v>
      </c>
      <c r="F34" s="11">
        <v>1866822.0571893454</v>
      </c>
      <c r="G34" s="12">
        <f>Table8414194101324273239434853567111825[[#This Row],[VỐN CP]]+Table8414194101324273239434853567111825[[#This Row],[LỢI NHUẬN RÒNG]]</f>
        <v>7716822.0571893454</v>
      </c>
    </row>
    <row r="35" spans="1:12" ht="15" hidden="1" customHeight="1" x14ac:dyDescent="0.3">
      <c r="A35" s="10" t="s">
        <v>141</v>
      </c>
      <c r="B35" s="11" t="s">
        <v>29</v>
      </c>
      <c r="C35" s="11">
        <v>5</v>
      </c>
      <c r="D35" s="11">
        <v>2925000</v>
      </c>
      <c r="E35" s="11">
        <v>1711934.35</v>
      </c>
      <c r="F35" s="11">
        <v>933411.02859467268</v>
      </c>
      <c r="G35" s="12">
        <f>Table8414194101324273239434853567111825[[#This Row],[VỐN CP]]+Table8414194101324273239434853567111825[[#This Row],[LỢI NHUẬN RÒNG]]</f>
        <v>3858411.0285946727</v>
      </c>
    </row>
    <row r="36" spans="1:12" ht="15" hidden="1" customHeight="1" x14ac:dyDescent="0.3">
      <c r="A36" s="10" t="s">
        <v>141</v>
      </c>
      <c r="B36" s="11" t="s">
        <v>43</v>
      </c>
      <c r="C36" s="11">
        <v>15</v>
      </c>
      <c r="D36" s="11">
        <v>8775000</v>
      </c>
      <c r="E36" s="11">
        <v>5135803.05</v>
      </c>
      <c r="F36" s="11">
        <v>2800233.085784018</v>
      </c>
      <c r="G36" s="12">
        <f>Table8414194101324273239434853567111825[[#This Row],[VỐN CP]]+Table8414194101324273239434853567111825[[#This Row],[LỢI NHUẬN RÒNG]]</f>
        <v>11575233.085784018</v>
      </c>
    </row>
    <row r="37" spans="1:12" ht="15" hidden="1" customHeight="1" x14ac:dyDescent="0.3">
      <c r="A37" s="10" t="s">
        <v>141</v>
      </c>
      <c r="B37" s="11" t="s">
        <v>25</v>
      </c>
      <c r="C37" s="11">
        <v>10</v>
      </c>
      <c r="D37" s="11">
        <v>5850000</v>
      </c>
      <c r="E37" s="11">
        <v>3423868.7</v>
      </c>
      <c r="F37" s="11">
        <v>1866822.0571893454</v>
      </c>
      <c r="G37" s="12">
        <f>Table8414194101324273239434853567111825[[#This Row],[VỐN CP]]+Table8414194101324273239434853567111825[[#This Row],[LỢI NHUẬN RÒNG]]</f>
        <v>7716822.0571893454</v>
      </c>
      <c r="L37" s="11"/>
    </row>
    <row r="38" spans="1:12" ht="15" hidden="1" customHeight="1" x14ac:dyDescent="0.3">
      <c r="A38" s="10" t="s">
        <v>146</v>
      </c>
      <c r="B38" s="11" t="s">
        <v>9</v>
      </c>
      <c r="C38" s="11">
        <v>15</v>
      </c>
      <c r="G38" s="12">
        <v>39802097.407839611</v>
      </c>
    </row>
    <row r="39" spans="1:12" ht="15" hidden="1" customHeight="1" x14ac:dyDescent="0.3">
      <c r="A39" s="10" t="s">
        <v>146</v>
      </c>
      <c r="B39" s="11" t="s">
        <v>19</v>
      </c>
      <c r="C39" s="11">
        <v>20</v>
      </c>
      <c r="G39" s="12">
        <v>53069463.21045281</v>
      </c>
    </row>
    <row r="40" spans="1:12" ht="15" hidden="1" customHeight="1" x14ac:dyDescent="0.3">
      <c r="A40" s="10" t="s">
        <v>146</v>
      </c>
      <c r="B40" s="11" t="s">
        <v>27</v>
      </c>
      <c r="C40" s="11">
        <v>5</v>
      </c>
      <c r="G40" s="12">
        <v>13267365.802613202</v>
      </c>
    </row>
    <row r="41" spans="1:12" ht="15" hidden="1" customHeight="1" x14ac:dyDescent="0.3">
      <c r="A41" s="10" t="s">
        <v>146</v>
      </c>
      <c r="B41" s="11" t="s">
        <v>37</v>
      </c>
      <c r="C41" s="11">
        <v>10</v>
      </c>
      <c r="G41" s="12">
        <v>26534731.605226405</v>
      </c>
    </row>
    <row r="42" spans="1:12" ht="15" customHeight="1" x14ac:dyDescent="0.3">
      <c r="A42" s="10" t="s">
        <v>146</v>
      </c>
      <c r="B42" s="11" t="s">
        <v>33</v>
      </c>
      <c r="C42" s="11">
        <v>5</v>
      </c>
      <c r="G42" s="12">
        <v>13267365.802613202</v>
      </c>
    </row>
    <row r="43" spans="1:12" ht="15" hidden="1" customHeight="1" x14ac:dyDescent="0.3">
      <c r="A43" s="10" t="s">
        <v>146</v>
      </c>
      <c r="B43" s="11" t="s">
        <v>31</v>
      </c>
      <c r="C43" s="11">
        <v>10</v>
      </c>
      <c r="G43" s="12">
        <v>26534731.605226405</v>
      </c>
    </row>
    <row r="44" spans="1:12" ht="15" hidden="1" customHeight="1" x14ac:dyDescent="0.3">
      <c r="A44" s="10" t="s">
        <v>146</v>
      </c>
      <c r="B44" s="11" t="s">
        <v>21</v>
      </c>
      <c r="C44" s="11">
        <v>10</v>
      </c>
      <c r="G44" s="12">
        <v>26534731.605226405</v>
      </c>
    </row>
    <row r="45" spans="1:12" ht="15" hidden="1" customHeight="1" x14ac:dyDescent="0.3">
      <c r="A45" s="10" t="s">
        <v>146</v>
      </c>
      <c r="B45" s="11" t="s">
        <v>10</v>
      </c>
      <c r="C45" s="11">
        <v>5</v>
      </c>
      <c r="G45" s="12">
        <v>13267365.802613202</v>
      </c>
    </row>
    <row r="46" spans="1:12" ht="15" hidden="1" customHeight="1" x14ac:dyDescent="0.3">
      <c r="A46" s="10" t="s">
        <v>146</v>
      </c>
      <c r="B46" s="11" t="s">
        <v>29</v>
      </c>
      <c r="C46" s="11">
        <v>5</v>
      </c>
      <c r="G46" s="12">
        <v>13267365.802613202</v>
      </c>
    </row>
    <row r="47" spans="1:12" ht="15" hidden="1" customHeight="1" x14ac:dyDescent="0.3">
      <c r="A47" s="10" t="s">
        <v>146</v>
      </c>
      <c r="B47" s="11" t="s">
        <v>43</v>
      </c>
      <c r="C47" s="11">
        <v>10</v>
      </c>
      <c r="G47" s="12">
        <v>26534731.605226405</v>
      </c>
    </row>
    <row r="48" spans="1:12" ht="15" hidden="1" customHeight="1" x14ac:dyDescent="0.3">
      <c r="A48" s="10" t="s">
        <v>146</v>
      </c>
      <c r="B48" s="11" t="s">
        <v>25</v>
      </c>
      <c r="C48" s="11">
        <v>5</v>
      </c>
      <c r="G48" s="12">
        <v>13267365.802613202</v>
      </c>
    </row>
    <row r="49" spans="1:7" ht="15" hidden="1" customHeight="1" x14ac:dyDescent="0.3">
      <c r="A49" s="10" t="s">
        <v>147</v>
      </c>
      <c r="B49" s="11" t="s">
        <v>9</v>
      </c>
      <c r="C49" s="11">
        <v>15</v>
      </c>
      <c r="G49" s="12">
        <v>18258740.926323608</v>
      </c>
    </row>
    <row r="50" spans="1:7" ht="15" hidden="1" customHeight="1" x14ac:dyDescent="0.3">
      <c r="A50" s="10" t="s">
        <v>147</v>
      </c>
      <c r="B50" s="11" t="s">
        <v>19</v>
      </c>
      <c r="C50" s="11">
        <v>20</v>
      </c>
      <c r="G50" s="12">
        <v>24344987.90176481</v>
      </c>
    </row>
    <row r="51" spans="1:7" ht="15" hidden="1" customHeight="1" x14ac:dyDescent="0.3">
      <c r="A51" s="10" t="s">
        <v>147</v>
      </c>
      <c r="B51" s="11" t="s">
        <v>27</v>
      </c>
      <c r="C51" s="11">
        <v>5</v>
      </c>
      <c r="G51" s="12">
        <v>6086246.9754412025</v>
      </c>
    </row>
    <row r="52" spans="1:7" ht="15" hidden="1" customHeight="1" x14ac:dyDescent="0.3">
      <c r="A52" s="10" t="s">
        <v>147</v>
      </c>
      <c r="B52" s="11" t="s">
        <v>37</v>
      </c>
      <c r="C52" s="11">
        <v>10</v>
      </c>
      <c r="G52" s="12">
        <v>12172493.950882405</v>
      </c>
    </row>
    <row r="53" spans="1:7" ht="12" customHeight="1" x14ac:dyDescent="0.3">
      <c r="A53" s="10" t="s">
        <v>147</v>
      </c>
      <c r="B53" s="11" t="s">
        <v>33</v>
      </c>
      <c r="C53" s="11">
        <v>5</v>
      </c>
      <c r="G53" s="12">
        <v>6086246.9754412025</v>
      </c>
    </row>
    <row r="54" spans="1:7" ht="15" hidden="1" customHeight="1" x14ac:dyDescent="0.3">
      <c r="A54" s="10" t="s">
        <v>147</v>
      </c>
      <c r="B54" s="11" t="s">
        <v>31</v>
      </c>
      <c r="C54" s="11">
        <v>20</v>
      </c>
      <c r="G54" s="12">
        <v>24344987.90176481</v>
      </c>
    </row>
    <row r="55" spans="1:7" ht="15" hidden="1" customHeight="1" x14ac:dyDescent="0.3">
      <c r="A55" s="10" t="s">
        <v>147</v>
      </c>
      <c r="B55" s="11" t="s">
        <v>21</v>
      </c>
      <c r="C55" s="11">
        <v>10</v>
      </c>
      <c r="G55" s="12">
        <v>12172493.950882405</v>
      </c>
    </row>
    <row r="56" spans="1:7" ht="15" hidden="1" customHeight="1" x14ac:dyDescent="0.3">
      <c r="A56" s="10" t="s">
        <v>147</v>
      </c>
      <c r="B56" s="11" t="s">
        <v>29</v>
      </c>
      <c r="C56" s="18">
        <v>5</v>
      </c>
      <c r="D56" s="18"/>
      <c r="E56" s="18"/>
      <c r="F56" s="18"/>
      <c r="G56" s="12">
        <v>6086246.9754412025</v>
      </c>
    </row>
    <row r="57" spans="1:7" ht="15" hidden="1" customHeight="1" x14ac:dyDescent="0.3">
      <c r="A57" s="10" t="s">
        <v>147</v>
      </c>
      <c r="B57" s="11" t="s">
        <v>43</v>
      </c>
      <c r="C57" s="11">
        <v>10</v>
      </c>
      <c r="G57" s="12">
        <v>12172493.950882405</v>
      </c>
    </row>
    <row r="58" spans="1:7" ht="15" hidden="1" customHeight="1" x14ac:dyDescent="0.3">
      <c r="A58" s="10" t="s">
        <v>148</v>
      </c>
      <c r="B58" s="11" t="s">
        <v>9</v>
      </c>
      <c r="C58" s="11">
        <v>10</v>
      </c>
      <c r="G58" s="12">
        <v>1689087.5713070333</v>
      </c>
    </row>
    <row r="59" spans="1:7" ht="15" hidden="1" customHeight="1" x14ac:dyDescent="0.3">
      <c r="A59" s="10" t="s">
        <v>148</v>
      </c>
      <c r="B59" s="11" t="s">
        <v>19</v>
      </c>
      <c r="C59" s="11">
        <v>10</v>
      </c>
      <c r="G59" s="12">
        <v>1689087.5713070333</v>
      </c>
    </row>
    <row r="60" spans="1:7" ht="15" hidden="1" customHeight="1" x14ac:dyDescent="0.3">
      <c r="A60" s="10" t="s">
        <v>148</v>
      </c>
      <c r="B60" s="11" t="s">
        <v>37</v>
      </c>
      <c r="C60" s="11">
        <v>20</v>
      </c>
      <c r="G60" s="12">
        <v>3378175.1426140666</v>
      </c>
    </row>
    <row r="61" spans="1:7" ht="15" customHeight="1" x14ac:dyDescent="0.3">
      <c r="A61" s="10" t="s">
        <v>148</v>
      </c>
      <c r="B61" s="11" t="s">
        <v>33</v>
      </c>
      <c r="C61" s="11">
        <v>5</v>
      </c>
      <c r="G61" s="12">
        <v>844543.78565351665</v>
      </c>
    </row>
    <row r="62" spans="1:7" ht="15" hidden="1" customHeight="1" x14ac:dyDescent="0.3">
      <c r="A62" s="10" t="s">
        <v>148</v>
      </c>
      <c r="B62" s="11" t="s">
        <v>31</v>
      </c>
      <c r="C62" s="11">
        <v>10</v>
      </c>
      <c r="G62" s="12">
        <v>1689087.5713070333</v>
      </c>
    </row>
    <row r="63" spans="1:7" ht="15" hidden="1" customHeight="1" x14ac:dyDescent="0.3">
      <c r="A63" s="10" t="s">
        <v>148</v>
      </c>
      <c r="B63" s="11" t="s">
        <v>21</v>
      </c>
      <c r="C63" s="11">
        <v>10</v>
      </c>
      <c r="G63" s="12">
        <v>1689087.5713070333</v>
      </c>
    </row>
    <row r="64" spans="1:7" ht="15" hidden="1" customHeight="1" x14ac:dyDescent="0.3">
      <c r="A64" s="10" t="s">
        <v>148</v>
      </c>
      <c r="B64" s="11" t="s">
        <v>10</v>
      </c>
      <c r="C64" s="11">
        <v>10</v>
      </c>
      <c r="G64" s="12">
        <v>1689087.5713070333</v>
      </c>
    </row>
    <row r="65" spans="1:7" ht="15" hidden="1" customHeight="1" x14ac:dyDescent="0.3">
      <c r="A65" s="10" t="s">
        <v>148</v>
      </c>
      <c r="B65" s="11" t="s">
        <v>29</v>
      </c>
      <c r="C65" s="11">
        <v>5</v>
      </c>
      <c r="G65" s="12">
        <v>844543.78565351665</v>
      </c>
    </row>
    <row r="66" spans="1:7" ht="15" hidden="1" customHeight="1" x14ac:dyDescent="0.3">
      <c r="A66" s="10" t="s">
        <v>148</v>
      </c>
      <c r="B66" s="11" t="s">
        <v>43</v>
      </c>
      <c r="C66" s="11">
        <v>10</v>
      </c>
      <c r="G66" s="12">
        <v>1689087.5713070333</v>
      </c>
    </row>
    <row r="67" spans="1:7" ht="15" hidden="1" customHeight="1" x14ac:dyDescent="0.3">
      <c r="A67" s="10" t="s">
        <v>148</v>
      </c>
      <c r="B67" s="11" t="s">
        <v>25</v>
      </c>
      <c r="C67" s="11">
        <v>10</v>
      </c>
      <c r="D67" s="18"/>
      <c r="E67" s="18"/>
      <c r="F67" s="18"/>
      <c r="G67" s="12">
        <v>1689087.5713070333</v>
      </c>
    </row>
    <row r="68" spans="1:7" ht="15" hidden="1" customHeight="1" x14ac:dyDescent="0.3">
      <c r="A68" s="10"/>
      <c r="G68" s="12">
        <f>D68+Table8414194101324273239434853567111825[[#This Row],[LỢI NHUẬN RÒNG]]</f>
        <v>0</v>
      </c>
    </row>
    <row r="69" spans="1:7" ht="15" hidden="1" customHeight="1" x14ac:dyDescent="0.3">
      <c r="A69" s="10"/>
      <c r="G69" s="12">
        <f>D69+Table8414194101324273239434853567111825[[#This Row],[LỢI NHUẬN RÒNG]]</f>
        <v>0</v>
      </c>
    </row>
    <row r="70" spans="1:7" ht="15" hidden="1" customHeight="1" x14ac:dyDescent="0.3">
      <c r="A70" s="10"/>
      <c r="G70" s="12">
        <f>D70+Table8414194101324273239434853567111825[[#This Row],[LỢI NHUẬN RÒNG]]</f>
        <v>0</v>
      </c>
    </row>
    <row r="71" spans="1:7" ht="15" hidden="1" customHeight="1" x14ac:dyDescent="0.3">
      <c r="A71" s="10"/>
      <c r="G71" s="12">
        <f>D71+Table8414194101324273239434853567111825[[#This Row],[LỢI NHUẬN RÒNG]]</f>
        <v>0</v>
      </c>
    </row>
    <row r="72" spans="1:7" ht="15" hidden="1" customHeight="1" x14ac:dyDescent="0.3">
      <c r="A72" s="10"/>
      <c r="G72" s="12">
        <f>D72+Table8414194101324273239434853567111825[[#This Row],[LỢI NHUẬN RÒNG]]</f>
        <v>0</v>
      </c>
    </row>
    <row r="73" spans="1:7" ht="15" hidden="1" customHeight="1" x14ac:dyDescent="0.3">
      <c r="A73" s="10"/>
      <c r="G73" s="12">
        <f>D73+Table8414194101324273239434853567111825[[#This Row],[LỢI NHUẬN RÒNG]]</f>
        <v>0</v>
      </c>
    </row>
    <row r="74" spans="1:7" ht="15" hidden="1" customHeight="1" x14ac:dyDescent="0.3">
      <c r="A74" s="10"/>
      <c r="G74" s="12">
        <f>D74+Table8414194101324273239434853567111825[[#This Row],[LỢI NHUẬN RÒNG]]</f>
        <v>0</v>
      </c>
    </row>
    <row r="75" spans="1:7" ht="15" hidden="1" customHeight="1" x14ac:dyDescent="0.3">
      <c r="A75" s="10"/>
      <c r="G75" s="12">
        <f>D75+Table8414194101324273239434853567111825[[#This Row],[LỢI NHUẬN RÒNG]]</f>
        <v>0</v>
      </c>
    </row>
    <row r="76" spans="1:7" ht="15" hidden="1" customHeight="1" x14ac:dyDescent="0.3">
      <c r="A76" s="10"/>
      <c r="G76" s="12">
        <f>D76+Table8414194101324273239434853567111825[[#This Row],[LỢI NHUẬN RÒNG]]</f>
        <v>0</v>
      </c>
    </row>
    <row r="77" spans="1:7" ht="15" hidden="1" customHeight="1" x14ac:dyDescent="0.3">
      <c r="A77" s="10"/>
      <c r="G77" s="12">
        <f>D77+Table8414194101324273239434853567111825[[#This Row],[LỢI NHUẬN RÒNG]]</f>
        <v>0</v>
      </c>
    </row>
    <row r="78" spans="1:7" ht="15" hidden="1" customHeight="1" x14ac:dyDescent="0.3">
      <c r="A78" s="10"/>
      <c r="G78" s="12"/>
    </row>
    <row r="79" spans="1:7" ht="15" hidden="1" customHeight="1" x14ac:dyDescent="0.3">
      <c r="A79" s="10"/>
      <c r="G79" s="12">
        <f>D79+Table8414194101324273239434853567111825[[#This Row],[LỢI NHUẬN RÒNG]]</f>
        <v>0</v>
      </c>
    </row>
    <row r="80" spans="1:7" ht="15" hidden="1" customHeight="1" x14ac:dyDescent="0.3">
      <c r="A80" s="10"/>
      <c r="G80" s="12">
        <f>D80+Table8414194101324273239434853567111825[[#This Row],[LỢI NHUẬN RÒNG]]</f>
        <v>0</v>
      </c>
    </row>
    <row r="81" spans="1:7" ht="15" hidden="1" customHeight="1" x14ac:dyDescent="0.3">
      <c r="A81" s="10"/>
      <c r="G81" s="12">
        <f>D81+Table8414194101324273239434853567111825[[#This Row],[LỢI NHUẬN RÒNG]]</f>
        <v>0</v>
      </c>
    </row>
    <row r="82" spans="1:7" ht="15" hidden="1" customHeight="1" x14ac:dyDescent="0.3">
      <c r="A82" s="10"/>
      <c r="G82" s="12">
        <f>D82+Table8414194101324273239434853567111825[[#This Row],[LỢI NHUẬN RÒNG]]</f>
        <v>0</v>
      </c>
    </row>
    <row r="83" spans="1:7" ht="15" hidden="1" customHeight="1" x14ac:dyDescent="0.3">
      <c r="A83" s="10"/>
      <c r="G83" s="12">
        <f>D83+Table8414194101324273239434853567111825[[#This Row],[LỢI NHUẬN RÒNG]]</f>
        <v>0</v>
      </c>
    </row>
    <row r="84" spans="1:7" ht="15" hidden="1" customHeight="1" x14ac:dyDescent="0.3">
      <c r="A84" s="10"/>
      <c r="G84" s="12">
        <f>D84+Table8414194101324273239434853567111825[[#This Row],[LỢI NHUẬN RÒNG]]</f>
        <v>0</v>
      </c>
    </row>
    <row r="85" spans="1:7" ht="15" hidden="1" customHeight="1" x14ac:dyDescent="0.3">
      <c r="A85" s="10"/>
      <c r="G85" s="12">
        <f>D85+Table8414194101324273239434853567111825[[#This Row],[LỢI NHUẬN RÒNG]]</f>
        <v>0</v>
      </c>
    </row>
    <row r="86" spans="1:7" ht="15" hidden="1" customHeight="1" x14ac:dyDescent="0.3">
      <c r="A86" s="20"/>
      <c r="B86" s="21"/>
      <c r="C86" s="21"/>
      <c r="D86" s="21"/>
      <c r="E86" s="21"/>
      <c r="F86" s="21"/>
      <c r="G86" s="12">
        <f>D86+Table8414194101324273239434853567111825[[#This Row],[LỢI NHUẬN RÒNG]]</f>
        <v>0</v>
      </c>
    </row>
    <row r="87" spans="1:7" ht="15" hidden="1" customHeight="1" x14ac:dyDescent="0.3">
      <c r="A87" s="22"/>
      <c r="B87" s="21"/>
      <c r="C87" s="21"/>
      <c r="D87" s="21"/>
      <c r="E87" s="21"/>
      <c r="F87" s="21"/>
      <c r="G87" s="12">
        <f>D87+Table8414194101324273239434853567111825[[#This Row],[LỢI NHUẬN RÒNG]]</f>
        <v>0</v>
      </c>
    </row>
    <row r="88" spans="1:7" hidden="1" x14ac:dyDescent="0.3">
      <c r="A88" s="23"/>
      <c r="C88" s="21"/>
      <c r="D88" s="21"/>
      <c r="E88" s="21"/>
      <c r="F88" s="21"/>
      <c r="G88" s="12">
        <f>D88+Table8414194101324273239434853567111825[[#This Row],[LỢI NHUẬN RÒNG]]</f>
        <v>0</v>
      </c>
    </row>
    <row r="89" spans="1:7" hidden="1" x14ac:dyDescent="0.3">
      <c r="A89" s="23"/>
      <c r="B89" s="21"/>
      <c r="C89" s="21"/>
      <c r="D89" s="21"/>
      <c r="E89" s="21"/>
      <c r="F89" s="21"/>
      <c r="G89" s="12">
        <f>D89+Table8414194101324273239434853567111825[[#This Row],[LỢI NHUẬN RÒNG]]</f>
        <v>0</v>
      </c>
    </row>
    <row r="90" spans="1:7" hidden="1" x14ac:dyDescent="0.3">
      <c r="A90" s="23"/>
      <c r="B90" s="21"/>
      <c r="C90" s="21"/>
      <c r="D90" s="21"/>
      <c r="E90" s="21"/>
      <c r="F90" s="21"/>
      <c r="G90" s="12">
        <f>D90+Table8414194101324273239434853567111825[[#This Row],[LỢI NHUẬN RÒNG]]</f>
        <v>0</v>
      </c>
    </row>
    <row r="91" spans="1:7" hidden="1" x14ac:dyDescent="0.3">
      <c r="A91" s="23"/>
      <c r="B91" s="24"/>
      <c r="C91" s="21"/>
      <c r="D91" s="21"/>
      <c r="E91" s="21"/>
      <c r="F91" s="21"/>
      <c r="G91" s="12">
        <f>D91+Table8414194101324273239434853567111825[[#This Row],[LỢI NHUẬN RÒNG]]</f>
        <v>0</v>
      </c>
    </row>
    <row r="92" spans="1:7" hidden="1" x14ac:dyDescent="0.3">
      <c r="A92" s="23"/>
      <c r="C92" s="21"/>
      <c r="D92" s="21"/>
      <c r="E92" s="21"/>
      <c r="F92" s="21"/>
      <c r="G92" s="12">
        <f>D92+Table8414194101324273239434853567111825[[#This Row],[LỢI NHUẬN RÒNG]]</f>
        <v>0</v>
      </c>
    </row>
    <row r="93" spans="1:7" hidden="1" x14ac:dyDescent="0.3">
      <c r="A93" s="23"/>
      <c r="B93" s="25"/>
      <c r="C93" s="21"/>
      <c r="D93" s="21"/>
      <c r="E93" s="21"/>
      <c r="F93" s="21"/>
      <c r="G93" s="12">
        <f>D93+Table8414194101324273239434853567111825[[#This Row],[LỢI NHUẬN RÒNG]]</f>
        <v>0</v>
      </c>
    </row>
    <row r="94" spans="1:7" hidden="1" x14ac:dyDescent="0.3">
      <c r="A94" s="23"/>
      <c r="B94" s="21"/>
      <c r="C94" s="21"/>
      <c r="D94" s="21"/>
      <c r="E94" s="21"/>
      <c r="F94" s="21"/>
      <c r="G94" s="12">
        <f>D94+Table8414194101324273239434853567111825[[#This Row],[LỢI NHUẬN RÒNG]]</f>
        <v>0</v>
      </c>
    </row>
    <row r="95" spans="1:7" hidden="1" x14ac:dyDescent="0.3">
      <c r="A95" s="23"/>
      <c r="C95" s="21"/>
      <c r="D95" s="21"/>
      <c r="E95" s="21"/>
      <c r="F95" s="21"/>
      <c r="G95" s="12">
        <f>D95+Table8414194101324273239434853567111825[[#This Row],[LỢI NHUẬN RÒNG]]</f>
        <v>0</v>
      </c>
    </row>
    <row r="96" spans="1:7" hidden="1" x14ac:dyDescent="0.3">
      <c r="A96" s="23"/>
      <c r="B96" s="21"/>
      <c r="C96" s="21"/>
      <c r="D96" s="21"/>
      <c r="E96" s="21"/>
      <c r="F96" s="21"/>
      <c r="G96" s="12">
        <f>D96+Table8414194101324273239434853567111825[[#This Row],[LỢI NHUẬN RÒNG]]</f>
        <v>0</v>
      </c>
    </row>
    <row r="97" spans="1:7" hidden="1" x14ac:dyDescent="0.3">
      <c r="A97" s="23"/>
      <c r="C97" s="21"/>
      <c r="D97" s="21"/>
      <c r="E97" s="21"/>
      <c r="F97" s="21"/>
      <c r="G97" s="12">
        <f>D97+Table8414194101324273239434853567111825[[#This Row],[LỢI NHUẬN RÒNG]]</f>
        <v>0</v>
      </c>
    </row>
    <row r="98" spans="1:7" hidden="1" x14ac:dyDescent="0.3">
      <c r="A98" s="23"/>
      <c r="C98" s="21"/>
      <c r="D98" s="21"/>
      <c r="E98" s="21"/>
      <c r="F98" s="21"/>
      <c r="G98" s="12">
        <f>D98+Table8414194101324273239434853567111825[[#This Row],[LỢI NHUẬN RÒNG]]</f>
        <v>0</v>
      </c>
    </row>
    <row r="99" spans="1:7" hidden="1" x14ac:dyDescent="0.3">
      <c r="A99" s="23"/>
      <c r="C99" s="21"/>
      <c r="D99" s="21"/>
      <c r="E99" s="21"/>
      <c r="F99" s="21"/>
      <c r="G99" s="12">
        <f>D99+Table8414194101324273239434853567111825[[#This Row],[LỢI NHUẬN RÒNG]]</f>
        <v>0</v>
      </c>
    </row>
    <row r="100" spans="1:7" hidden="1" x14ac:dyDescent="0.3">
      <c r="A100" s="23"/>
      <c r="C100" s="21"/>
      <c r="D100" s="21"/>
      <c r="E100" s="21"/>
      <c r="F100" s="21"/>
      <c r="G100" s="12">
        <f>D100+Table8414194101324273239434853567111825[[#This Row],[LỢI NHUẬN RÒNG]]</f>
        <v>0</v>
      </c>
    </row>
    <row r="101" spans="1:7" hidden="1" x14ac:dyDescent="0.3">
      <c r="A101" s="23"/>
      <c r="C101" s="21"/>
      <c r="D101" s="21"/>
      <c r="E101" s="21"/>
      <c r="F101" s="21"/>
      <c r="G101" s="12">
        <f>D101+Table8414194101324273239434853567111825[[#This Row],[LỢI NHUẬN RÒNG]]</f>
        <v>0</v>
      </c>
    </row>
    <row r="102" spans="1:7" hidden="1" x14ac:dyDescent="0.3">
      <c r="A102" s="23"/>
      <c r="B102" s="21"/>
      <c r="C102" s="21"/>
      <c r="D102" s="21"/>
      <c r="E102" s="21"/>
      <c r="F102" s="21"/>
      <c r="G102" s="12">
        <f>D102+Table8414194101324273239434853567111825[[#This Row],[LỢI NHUẬN RÒNG]]</f>
        <v>0</v>
      </c>
    </row>
    <row r="103" spans="1:7" hidden="1" x14ac:dyDescent="0.3">
      <c r="A103" s="23"/>
      <c r="B103" s="21"/>
      <c r="C103" s="21"/>
      <c r="D103" s="21"/>
      <c r="E103" s="21"/>
      <c r="F103" s="21"/>
      <c r="G103" s="12">
        <f>D103+Table8414194101324273239434853567111825[[#This Row],[LỢI NHUẬN RÒNG]]</f>
        <v>0</v>
      </c>
    </row>
    <row r="104" spans="1:7" hidden="1" x14ac:dyDescent="0.3">
      <c r="A104" s="23"/>
      <c r="C104" s="21"/>
      <c r="D104" s="21"/>
      <c r="E104" s="21"/>
      <c r="F104" s="21"/>
      <c r="G104" s="12">
        <f>D104+Table8414194101324273239434853567111825[[#This Row],[LỢI NHUẬN RÒNG]]</f>
        <v>0</v>
      </c>
    </row>
    <row r="105" spans="1:7" hidden="1" x14ac:dyDescent="0.3">
      <c r="A105" s="23"/>
      <c r="B105" s="21"/>
      <c r="C105" s="21"/>
      <c r="D105" s="21"/>
      <c r="E105" s="21"/>
      <c r="F105" s="21"/>
      <c r="G105" s="12">
        <f>D105+Table8414194101324273239434853567111825[[#This Row],[LỢI NHUẬN RÒNG]]</f>
        <v>0</v>
      </c>
    </row>
    <row r="106" spans="1:7" hidden="1" x14ac:dyDescent="0.3">
      <c r="A106" s="23"/>
      <c r="C106" s="21"/>
      <c r="D106" s="21"/>
      <c r="E106" s="21"/>
      <c r="F106" s="21"/>
      <c r="G106" s="12">
        <f>D106+Table8414194101324273239434853567111825[[#This Row],[LỢI NHUẬN RÒNG]]</f>
        <v>0</v>
      </c>
    </row>
    <row r="107" spans="1:7" hidden="1" x14ac:dyDescent="0.3">
      <c r="A107" s="23"/>
      <c r="C107" s="21"/>
      <c r="D107" s="21"/>
      <c r="E107" s="21"/>
      <c r="F107" s="21"/>
      <c r="G107" s="12">
        <f>D107+Table8414194101324273239434853567111825[[#This Row],[LỢI NHUẬN RÒNG]]</f>
        <v>0</v>
      </c>
    </row>
    <row r="108" spans="1:7" hidden="1" x14ac:dyDescent="0.3">
      <c r="A108" s="23"/>
      <c r="C108" s="21"/>
      <c r="D108" s="21"/>
      <c r="E108" s="21"/>
      <c r="F108" s="21"/>
      <c r="G108" s="12">
        <f>D108+Table8414194101324273239434853567111825[[#This Row],[LỢI NHUẬN RÒNG]]</f>
        <v>0</v>
      </c>
    </row>
    <row r="109" spans="1:7" hidden="1" x14ac:dyDescent="0.3">
      <c r="A109" s="23"/>
      <c r="C109" s="21"/>
      <c r="D109" s="21"/>
      <c r="E109" s="21"/>
      <c r="F109" s="21"/>
      <c r="G109" s="12">
        <f>D109+Table8414194101324273239434853567111825[[#This Row],[LỢI NHUẬN RÒNG]]</f>
        <v>0</v>
      </c>
    </row>
    <row r="110" spans="1:7" hidden="1" x14ac:dyDescent="0.3">
      <c r="A110" s="23"/>
      <c r="C110" s="21"/>
      <c r="D110" s="21"/>
      <c r="E110" s="21"/>
      <c r="F110" s="21"/>
      <c r="G110" s="12">
        <f>D110+Table8414194101324273239434853567111825[[#This Row],[LỢI NHUẬN RÒNG]]</f>
        <v>0</v>
      </c>
    </row>
    <row r="111" spans="1:7" hidden="1" x14ac:dyDescent="0.3">
      <c r="A111" s="23"/>
      <c r="B111" s="21"/>
      <c r="C111" s="21"/>
      <c r="D111" s="21"/>
      <c r="E111" s="21"/>
      <c r="F111" s="21"/>
      <c r="G111" s="12">
        <f>D111+Table8414194101324273239434853567111825[[#This Row],[LỢI NHUẬN RÒNG]]</f>
        <v>0</v>
      </c>
    </row>
    <row r="112" spans="1:7" hidden="1" x14ac:dyDescent="0.3">
      <c r="A112" s="23"/>
      <c r="B112" s="21"/>
      <c r="C112" s="21"/>
      <c r="D112" s="21"/>
      <c r="E112" s="21"/>
      <c r="F112" s="21"/>
      <c r="G112" s="12">
        <f>D112+Table8414194101324273239434853567111825[[#This Row],[LỢI NHUẬN RÒNG]]</f>
        <v>0</v>
      </c>
    </row>
    <row r="113" spans="1:7" hidden="1" x14ac:dyDescent="0.3">
      <c r="A113" s="23"/>
      <c r="C113" s="21"/>
      <c r="D113" s="21"/>
      <c r="E113" s="21"/>
      <c r="F113" s="21"/>
      <c r="G113" s="12">
        <f>D113+Table8414194101324273239434853567111825[[#This Row],[LỢI NHUẬN RÒNG]]</f>
        <v>0</v>
      </c>
    </row>
    <row r="114" spans="1:7" hidden="1" x14ac:dyDescent="0.3">
      <c r="A114" s="23"/>
      <c r="B114" s="21"/>
      <c r="C114" s="21"/>
      <c r="D114" s="21"/>
      <c r="E114" s="21"/>
      <c r="F114" s="21"/>
      <c r="G114" s="12">
        <f>D114+Table8414194101324273239434853567111825[[#This Row],[LỢI NHUẬN RÒNG]]</f>
        <v>0</v>
      </c>
    </row>
    <row r="115" spans="1:7" hidden="1" x14ac:dyDescent="0.3">
      <c r="A115" s="23"/>
      <c r="G115" s="12">
        <f>D115+Table8414194101324273239434853567111825[[#This Row],[LỢI NHUẬN RÒNG]]</f>
        <v>0</v>
      </c>
    </row>
    <row r="116" spans="1:7" hidden="1" x14ac:dyDescent="0.3">
      <c r="A116" s="23"/>
      <c r="G116" s="12">
        <f>D116+Table8414194101324273239434853567111825[[#This Row],[LỢI NHUẬN RÒNG]]</f>
        <v>0</v>
      </c>
    </row>
    <row r="117" spans="1:7" hidden="1" x14ac:dyDescent="0.3">
      <c r="A117" s="23"/>
      <c r="G117" s="12">
        <f>D117+Table8414194101324273239434853567111825[[#This Row],[LỢI NHUẬN RÒNG]]</f>
        <v>0</v>
      </c>
    </row>
    <row r="118" spans="1:7" hidden="1" x14ac:dyDescent="0.3">
      <c r="A118" s="23"/>
      <c r="G118" s="12">
        <f>D118+Table8414194101324273239434853567111825[[#This Row],[LỢI NHUẬN RÒNG]]</f>
        <v>0</v>
      </c>
    </row>
    <row r="119" spans="1:7" hidden="1" x14ac:dyDescent="0.3">
      <c r="A119" s="23"/>
      <c r="G119" s="12">
        <f>D119+Table8414194101324273239434853567111825[[#This Row],[LỢI NHUẬN RÒNG]]</f>
        <v>0</v>
      </c>
    </row>
    <row r="120" spans="1:7" hidden="1" x14ac:dyDescent="0.3">
      <c r="A120" s="23"/>
      <c r="B120" s="21"/>
      <c r="C120" s="21"/>
      <c r="D120" s="21"/>
      <c r="E120" s="21"/>
      <c r="F120" s="21"/>
      <c r="G120" s="12">
        <f>D120+Table8414194101324273239434853567111825[[#This Row],[LỢI NHUẬN RÒNG]]</f>
        <v>0</v>
      </c>
    </row>
    <row r="121" spans="1:7" hidden="1" x14ac:dyDescent="0.3">
      <c r="G121" s="12">
        <f>D121+Table8414194101324273239434853567111825[[#This Row],[LỢI NHUẬN RÒNG]]</f>
        <v>0</v>
      </c>
    </row>
    <row r="122" spans="1:7" hidden="1" x14ac:dyDescent="0.3">
      <c r="G122" s="12">
        <f>D122+Table8414194101324273239434853567111825[[#This Row],[LỢI NHUẬN RÒNG]]</f>
        <v>0</v>
      </c>
    </row>
    <row r="123" spans="1:7" hidden="1" x14ac:dyDescent="0.3">
      <c r="G123" s="12">
        <f>D123+Table8414194101324273239434853567111825[[#This Row],[LỢI NHUẬN RÒNG]]</f>
        <v>0</v>
      </c>
    </row>
    <row r="124" spans="1:7" hidden="1" x14ac:dyDescent="0.3">
      <c r="G124" s="12">
        <f>D124+Table8414194101324273239434853567111825[[#This Row],[LỢI NHUẬN RÒNG]]</f>
        <v>0</v>
      </c>
    </row>
    <row r="125" spans="1:7" hidden="1" x14ac:dyDescent="0.3">
      <c r="B125" s="24"/>
      <c r="G125" s="12">
        <f>D125+Table8414194101324273239434853567111825[[#This Row],[LỢI NHUẬN RÒNG]]</f>
        <v>0</v>
      </c>
    </row>
    <row r="126" spans="1:7" hidden="1" x14ac:dyDescent="0.3">
      <c r="G126" s="12">
        <f>D126+Table8414194101324273239434853567111825[[#This Row],[LỢI NHUẬN RÒNG]]</f>
        <v>0</v>
      </c>
    </row>
    <row r="127" spans="1:7" hidden="1" x14ac:dyDescent="0.3">
      <c r="B127" s="21"/>
      <c r="C127" s="21"/>
      <c r="D127" s="21"/>
      <c r="E127" s="21"/>
      <c r="F127" s="21"/>
      <c r="G127" s="12">
        <f>D127+Table8414194101324273239434853567111825[[#This Row],[LỢI NHUẬN RÒNG]]</f>
        <v>0</v>
      </c>
    </row>
    <row r="128" spans="1:7" hidden="1" x14ac:dyDescent="0.3">
      <c r="G128" s="12">
        <f>D128+Table8414194101324273239434853567111825[[#This Row],[LỢI NHUẬN RÒNG]]</f>
        <v>0</v>
      </c>
    </row>
    <row r="129" spans="1:7" hidden="1" x14ac:dyDescent="0.3">
      <c r="G129" s="12">
        <f>D129+Table8414194101324273239434853567111825[[#This Row],[LỢI NHUẬN RÒNG]]</f>
        <v>0</v>
      </c>
    </row>
    <row r="130" spans="1:7" hidden="1" x14ac:dyDescent="0.3">
      <c r="G130" s="12">
        <f>D130+Table8414194101324273239434853567111825[[#This Row],[LỢI NHUẬN RÒNG]]</f>
        <v>0</v>
      </c>
    </row>
    <row r="131" spans="1:7" hidden="1" x14ac:dyDescent="0.3">
      <c r="G131" s="12">
        <f>D131+Table8414194101324273239434853567111825[[#This Row],[LỢI NHUẬN RÒNG]]</f>
        <v>0</v>
      </c>
    </row>
    <row r="132" spans="1:7" hidden="1" x14ac:dyDescent="0.3">
      <c r="B132" s="24"/>
      <c r="G132" s="12">
        <f>D132+Table8414194101324273239434853567111825[[#This Row],[LỢI NHUẬN RÒNG]]</f>
        <v>0</v>
      </c>
    </row>
    <row r="133" spans="1:7" hidden="1" x14ac:dyDescent="0.3">
      <c r="G133" s="12">
        <f>D133+Table8414194101324273239434853567111825[[#This Row],[LỢI NHUẬN RÒNG]]</f>
        <v>0</v>
      </c>
    </row>
    <row r="134" spans="1:7" hidden="1" x14ac:dyDescent="0.3">
      <c r="G134" s="12">
        <f>D134+Table8414194101324273239434853567111825[[#This Row],[LỢI NHUẬN RÒNG]]</f>
        <v>0</v>
      </c>
    </row>
    <row r="135" spans="1:7" hidden="1" x14ac:dyDescent="0.3">
      <c r="G135" s="12">
        <f>D135+Table8414194101324273239434853567111825[[#This Row],[LỢI NHUẬN RÒNG]]</f>
        <v>0</v>
      </c>
    </row>
    <row r="136" spans="1:7" hidden="1" x14ac:dyDescent="0.3">
      <c r="B136" s="21"/>
      <c r="G136" s="12">
        <f>D136+Table8414194101324273239434853567111825[[#This Row],[LỢI NHUẬN RÒNG]]</f>
        <v>0</v>
      </c>
    </row>
    <row r="137" spans="1:7" hidden="1" x14ac:dyDescent="0.3">
      <c r="G137" s="12">
        <f>D137+Table8414194101324273239434853567111825[[#This Row],[LỢI NHUẬN RÒNG]]</f>
        <v>0</v>
      </c>
    </row>
    <row r="138" spans="1:7" hidden="1" x14ac:dyDescent="0.3">
      <c r="G138" s="12">
        <f>D138+Table8414194101324273239434853567111825[[#This Row],[LỢI NHUẬN RÒNG]]</f>
        <v>0</v>
      </c>
    </row>
    <row r="139" spans="1:7" hidden="1" x14ac:dyDescent="0.3">
      <c r="G139" s="12">
        <f>D139+Table8414194101324273239434853567111825[[#This Row],[LỢI NHUẬN RÒNG]]</f>
        <v>0</v>
      </c>
    </row>
    <row r="140" spans="1:7" hidden="1" x14ac:dyDescent="0.3">
      <c r="B140" s="24"/>
      <c r="G140" s="12">
        <f>D140+Table8414194101324273239434853567111825[[#This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D141+Table8414194101324273239434853567111825[[#This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D142+Table8414194101324273239434853567111825[[#This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D143+Table8414194101324273239434853567111825[[#This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D144+Table8414194101324273239434853567111825[[#This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D145+Table8414194101324273239434853567111825[[#This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D146+Table8414194101324273239434853567111825[[#This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D147+Table8414194101324273239434853567111825[[#This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D148+Table8414194101324273239434853567111825[[#This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D149+Table8414194101324273239434853567111825[[#This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D150+Table8414194101324273239434853567111825[[#This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D151+Table8414194101324273239434853567111825[[#This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D152+Table8414194101324273239434853567111825[[#This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D153+Table8414194101324273239434853567111825[[#This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D154+Table8414194101324273239434853567111825[[#This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D155+Table8414194101324273239434853567111825[[#This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D156+Table8414194101324273239434853567111825[[#This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D157+Table8414194101324273239434853567111825[[#This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D158+Table8414194101324273239434853567111825[[#This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D159+Table8414194101324273239434853567111825[[#This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D160+Table8414194101324273239434853567111825[[#This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D161+Table8414194101324273239434853567111825[[#This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D162+Table8414194101324273239434853567111825[[#This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D163+Table8414194101324273239434853567111825[[#This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D164+Table8414194101324273239434853567111825[[#This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D165+Table8414194101324273239434853567111825[[#This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D166+Table8414194101324273239434853567111825[[#This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D167+Table8414194101324273239434853567111825[[#This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D168+Table8414194101324273239434853567111825[[#This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D169+Table8414194101324273239434853567111825[[#This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D170+Table8414194101324273239434853567111825[[#This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D171+Table8414194101324273239434853567111825[[#This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D172+Table8414194101324273239434853567111825[[#This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D173+Table8414194101324273239434853567111825[[#This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D174+Table8414194101324273239434853567111825[[#This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D175+Table8414194101324273239434853567111825[[#This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D176+Table8414194101324273239434853567111825[[#This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D177+Table8414194101324273239434853567111825[[#This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D178+Table8414194101324273239434853567111825[[#This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D179+Table8414194101324273239434853567111825[[#This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D180+Table8414194101324273239434853567111825[[#This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D181+Table8414194101324273239434853567111825[[#This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D182+Table8414194101324273239434853567111825[[#This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D183+Table8414194101324273239434853567111825[[#This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D184+Table8414194101324273239434853567111825[[#This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D185+Table8414194101324273239434853567111825[[#This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D186+Table8414194101324273239434853567111825[[#This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D187+Table8414194101324273239434853567111825[[#This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D188+Table8414194101324273239434853567111825[[#This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D189+Table8414194101324273239434853567111825[[#This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D190+Table8414194101324273239434853567111825[[#This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D191+Table8414194101324273239434853567111825[[#This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D192+Table8414194101324273239434853567111825[[#This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D193+Table8414194101324273239434853567111825[[#This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D194+Table8414194101324273239434853567111825[[#This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D195+Table8414194101324273239434853567111825[[#This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D196+Table8414194101324273239434853567111825[[#This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D197+Table8414194101324273239434853567111825[[#This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D198+Table8414194101324273239434853567111825[[#This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D199+Table8414194101324273239434853567111825[[#This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D200+Table8414194101324273239434853567111825[[#This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D201+Table8414194101324273239434853567111825[[#This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D202+Table8414194101324273239434853567111825[[#This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D203+Table8414194101324273239434853567111825[[#This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D204+Table8414194101324273239434853567111825[[#This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D205+Table8414194101324273239434853567111825[[#This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Table8414194101324273239434853567111825[[#This Row],[VỐN CP]]+Table8414194101324273239434853567111825[[#This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Table8414194101324273239434853567111825[[#This Row],[VỐN CP]]+Table8414194101324273239434853567111825[[#This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Table8414194101324273239434853567111825[[#This Row],[VỐN CP]]+Table8414194101324273239434853567111825[[#This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Table8414194101324273239434853567111825[[#This Row],[VỐN CP]]+Table8414194101324273239434853567111825[[#This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Table8414194101324273239434853567111825[[#This Row],[VỐN CP]]+Table8414194101324273239434853567111825[[#This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Table8414194101324273239434853567111825[[#This Row],[VỐN CP]]+Table8414194101324273239434853567111825[[#This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Table8414194101324273239434853567111825[[#This Row],[VỐN CP]]+Table8414194101324273239434853567111825[[#This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Table8414194101324273239434853567111825[[#This Row],[VỐN CP]]+Table8414194101324273239434853567111825[[#This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Table8414194101324273239434853567111825[[#This Row],[VỐN CP]]+Table8414194101324273239434853567111825[[#This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Table8414194101324273239434853567111825[[#This Row],[VỐN CP]]+Table8414194101324273239434853567111825[[#This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Table8414194101324273239434853567111825[[#This Row],[VỐN CP]]+Table8414194101324273239434853567111825[[#This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Table8414194101324273239434853567111825[[#This Row],[VỐN CP]]+Table8414194101324273239434853567111825[[#This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Table8414194101324273239434853567111825[[#This Row],[VỐN CP]]+Table8414194101324273239434853567111825[[#This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Table8414194101324273239434853567111825[[#This Row],[VỐN CP]]+Table8414194101324273239434853567111825[[#This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Table8414194101324273239434853567111825[[#This Row],[VỐN CP]]+Table8414194101324273239434853567111825[[#This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Table8414194101324273239434853567111825[[#This Row],[VỐN CP]]+Table8414194101324273239434853567111825[[#This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Table8414194101324273239434853567111825[[#This Row],[VỐN CP]]+Table8414194101324273239434853567111825[[#This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Table8414194101324273239434853567111825[[#This Row],[VỐN CP]]+Table8414194101324273239434853567111825[[#This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Table8414194101324273239434853567111825[[#This Row],[VỐN CP]]+Table8414194101324273239434853567111825[[#This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Table8414194101324273239434853567111825[[#This Row],[VỐN CP]]+Table8414194101324273239434853567111825[[#This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Table8414194101324273239434853567111825[[#This Row],[VỐN CP]]+Table8414194101324273239434853567111825[[#This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Table8414194101324273239434853567111825[[#This Row],[VỐN CP]]+Table8414194101324273239434853567111825[[#This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Table8414194101324273239434853567111825[[#This Row],[VỐN CP]]+Table8414194101324273239434853567111825[[#This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Table8414194101324273239434853567111825[[#This Row],[VỐN CP]]+Table8414194101324273239434853567111825[[#This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Table8414194101324273239434853567111825[[#This Row],[VỐN CP]]+Table8414194101324273239434853567111825[[#This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Table8414194101324273239434853567111825[[#This Row],[VỐN CP]]+Table8414194101324273239434853567111825[[#This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Table8414194101324273239434853567111825[[#This Row],[VỐN CP]]+Table8414194101324273239434853567111825[[#This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Table8414194101324273239434853567111825[[#This Row],[VỐN CP]]+Table8414194101324273239434853567111825[[#This Row],[LỢI NHUẬN RÒNG]]</f>
        <v>0</v>
      </c>
      <c r="H233" s="28"/>
    </row>
    <row r="234" spans="1:10" hidden="1" x14ac:dyDescent="0.3">
      <c r="A234" s="23"/>
      <c r="G234" s="21">
        <f>Table8414194101324273239434853567111825[[#This Row],[VỐN CP]]+Table8414194101324273239434853567111825[[#This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Table8414194101324273239434853567111825[[#This Row],[VỐN CP]]+Table8414194101324273239434853567111825[[#This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Table8414194101324273239434853567111825[[#This Row],[VỐN CP]]+Table8414194101324273239434853567111825[[#This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Table8414194101324273239434853567111825[[#This Row],[VỐN CP]]+Table8414194101324273239434853567111825[[#This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Table8414194101324273239434853567111825[[#This Row],[VỐN CP]]+Table8414194101324273239434853567111825[[#This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Table8414194101324273239434853567111825[[#This Row],[VỐN CP]]+Table8414194101324273239434853567111825[[#This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Table8414194101324273239434853567111825[[#This Row],[VỐN CP]]+Table8414194101324273239434853567111825[[#This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Table8414194101324273239434853567111825[[#This Row],[VỐN CP]]+Table8414194101324273239434853567111825[[#This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Table8414194101324273239434853567111825[[#This Row],[VỐN CP]]+Table8414194101324273239434853567111825[[#This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Table8414194101324273239434853567111825[[#This Row],[VỐN CP]]+Table8414194101324273239434853567111825[[#This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Table8414194101324273239434853567111825[[#This Row],[VỐN CP]]+Table8414194101324273239434853567111825[[#This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Table8414194101324273239434853567111825[[#This Row],[VỐN CP]]+Table8414194101324273239434853567111825[[#This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Table8414194101324273239434853567111825[[#This Row],[VỐN CP]]+Table8414194101324273239434853567111825[[#This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Table8414194101324273239434853567111825[[#This Row],[VỐN CP]]+Table8414194101324273239434853567111825[[#This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Table8414194101324273239434853567111825[[#This Row],[VỐN CP]]+Table8414194101324273239434853567111825[[#This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Table8414194101324273239434853567111825[[#This Row],[VỐN CP]]+Table8414194101324273239434853567111825[[#This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Table8414194101324273239434853567111825[[#This Row],[VỐN CP]]+Table8414194101324273239434853567111825[[#This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Table8414194101324273239434853567111825[[#This Row],[VỐN CP]]+Table8414194101324273239434853567111825[[#This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Table8414194101324273239434853567111825[[#This Row],[VỐN CP]]+Table8414194101324273239434853567111825[[#This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Table8414194101324273239434853567111825[[#This Row],[VỐN CP]]+Table8414194101324273239434853567111825[[#This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Table8414194101324273239434853567111825[[#This Row],[VỐN CP]]+Table8414194101324273239434853567111825[[#This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Table8414194101324273239434853567111825[[#This Row],[VỐN CP]]+Table8414194101324273239434853567111825[[#This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Table8414194101324273239434853567111825[[#This Row],[VỐN CP]]+Table8414194101324273239434853567111825[[#This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Table8414194101324273239434853567111825[[#This Row],[VỐN CP]]+Table8414194101324273239434853567111825[[#This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Table8414194101324273239434853567111825[[#This Row],[VỐN CP]]+Table8414194101324273239434853567111825[[#This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Table8414194101324273239434853567111825[[#This Row],[VỐN CP]]+Table8414194101324273239434853567111825[[#This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Table8414194101324273239434853567111825[[#This Row],[VỐN CP]]+Table8414194101324273239434853567111825[[#This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Table8414194101324273239434853567111825[[#This Row],[VỐN CP]]+Table8414194101324273239434853567111825[[#This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Table8414194101324273239434853567111825[[#This Row],[VỐN CP]]+Table8414194101324273239434853567111825[[#This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Table8414194101324273239434853567111825[[#This Row],[VỐN CP]]+Table8414194101324273239434853567111825[[#This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Table8414194101324273239434853567111825[[#This Row],[VỐN CP]]+Table8414194101324273239434853567111825[[#This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Table8414194101324273239434853567111825[[#This Row],[VỐN CP]]+Table8414194101324273239434853567111825[[#This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Table8414194101324273239434853567111825[[#This Row],[VỐN CP]]+Table8414194101324273239434853567111825[[#This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Table8414194101324273239434853567111825[[#This Row],[VỐN CP]]+Table8414194101324273239434853567111825[[#This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Table8414194101324273239434853567111825[[#This Row],[VỐN CP]]+Table8414194101324273239434853567111825[[#This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Table8414194101324273239434853567111825[[#This Row],[VỐN CP]]+Table8414194101324273239434853567111825[[#This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Table8414194101324273239434853567111825[[#This Row],[VỐN CP]]+Table8414194101324273239434853567111825[[#This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Table8414194101324273239434853567111825[[#This Row],[VỐN CP]]+Table8414194101324273239434853567111825[[#This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Table8414194101324273239434853567111825[[#This Row],[VỐN CP]]+Table8414194101324273239434853567111825[[#This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Table8414194101324273239434853567111825[[#This Row],[VỐN CP]]+Table8414194101324273239434853567111825[[#This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Table8414194101324273239434853567111825[[#This Row],[VỐN CP]]+Table8414194101324273239434853567111825[[#This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Table8414194101324273239434853567111825[[#This Row],[VỐN CP]]+Table8414194101324273239434853567111825[[#This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Table8414194101324273239434853567111825[[#This Row],[VỐN CP]]+Table8414194101324273239434853567111825[[#This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Table8414194101324273239434853567111825[[#This Row],[VỐN CP]]+Table8414194101324273239434853567111825[[#This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Table8414194101324273239434853567111825[[#This Row],[VỐN CP]]+Table8414194101324273239434853567111825[[#This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Table8414194101324273239434853567111825[[#This Row],[VỐN CP]]+Table8414194101324273239434853567111825[[#This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Table8414194101324273239434853567111825[[#This Row],[VỐN CP]]+Table8414194101324273239434853567111825[[#This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Table8414194101324273239434853567111825[[#This Row],[VỐN CP]]+Table8414194101324273239434853567111825[[#This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Table8414194101324273239434853567111825[[#This Row],[VỐN CP]]+Table8414194101324273239434853567111825[[#This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Table8414194101324273239434853567111825[[#This Row],[VỐN CP]]+Table8414194101324273239434853567111825[[#This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Table8414194101324273239434853567111825[[#This Row],[VỐN CP]]+Table8414194101324273239434853567111825[[#This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Table8414194101324273239434853567111825[[#This Row],[VỐN CP]]+Table8414194101324273239434853567111825[[#This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Table8414194101324273239434853567111825[[#This Row],[VỐN CP]]+Table8414194101324273239434853567111825[[#This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Table8414194101324273239434853567111825[[#This Row],[VỐN CP]]+Table8414194101324273239434853567111825[[#This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Table8414194101324273239434853567111825[[#This Row],[VỐN CP]]+Table8414194101324273239434853567111825[[#This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Table8414194101324273239434853567111825[[#This Row],[VỐN CP]]+Table8414194101324273239434853567111825[[#This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Table8414194101324273239434853567111825[[#This Row],[VỐN CP]]+Table8414194101324273239434853567111825[[#This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Table8414194101324273239434853567111825[[#This Row],[VỐN CP]]+Table8414194101324273239434853567111825[[#This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Table8414194101324273239434853567111825[[#This Row],[VỐN CP]]+Table8414194101324273239434853567111825[[#This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Table8414194101324273239434853567111825[[#This Row],[VỐN CP]]+Table8414194101324273239434853567111825[[#This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Table8414194101324273239434853567111825[[#This Row],[VỐN CP]]+Table8414194101324273239434853567111825[[#This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Table8414194101324273239434853567111825[[#This Row],[VỐN CP]]+Table8414194101324273239434853567111825[[#This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Table8414194101324273239434853567111825[[#This Row],[VỐN CP]]+Table8414194101324273239434853567111825[[#This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Table8414194101324273239434853567111825[[#This Row],[VỐN CP]]+Table8414194101324273239434853567111825[[#This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Table8414194101324273239434853567111825[[#This Row],[VỐN CP]]+Table8414194101324273239434853567111825[[#This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Table8414194101324273239434853567111825[[#This Row],[VỐN CP]]+Table8414194101324273239434853567111825[[#This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Table8414194101324273239434853567111825[[#This Row],[VỐN CP]]+Table8414194101324273239434853567111825[[#This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Table8414194101324273239434853567111825[[#This Row],[VỐN CP]]+Table8414194101324273239434853567111825[[#This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Table8414194101324273239434853567111825[[#This Row],[VỐN CP]]+Table8414194101324273239434853567111825[[#This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Table8414194101324273239434853567111825[[#This Row],[VỐN CP]]+Table8414194101324273239434853567111825[[#This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Table8414194101324273239434853567111825[[#This Row],[VỐN CP]]+Table8414194101324273239434853567111825[[#This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Table8414194101324273239434853567111825[[#This Row],[VỐN CP]]+Table8414194101324273239434853567111825[[#This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Table8414194101324273239434853567111825[[#This Row],[VỐN CP]]+Table8414194101324273239434853567111825[[#This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Table8414194101324273239434853567111825[[#This Row],[VỐN CP]]+Table8414194101324273239434853567111825[[#This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Table8414194101324273239434853567111825[[#This Row],[VỐN CP]]+Table8414194101324273239434853567111825[[#This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Table8414194101324273239434853567111825[[#This Row],[VỐN CP]]+Table8414194101324273239434853567111825[[#This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Table8414194101324273239434853567111825[[#This Row],[VỐN CP]]+Table8414194101324273239434853567111825[[#This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Table8414194101324273239434853567111825[[#This Row],[VỐN CP]]+Table8414194101324273239434853567111825[[#This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Table8414194101324273239434853567111825[[#This Row],[VỐN CP]]+Table8414194101324273239434853567111825[[#This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Table8414194101324273239434853567111825[[#This Row],[VỐN CP]]+Table8414194101324273239434853567111825[[#This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Table8414194101324273239434853567111825[[#This Row],[VỐN CP]]+Table8414194101324273239434853567111825[[#This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Table8414194101324273239434853567111825[[#This Row],[VỐN CP]]+Table8414194101324273239434853567111825[[#This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Table8414194101324273239434853567111825[[#This Row],[VỐN CP]]+Table8414194101324273239434853567111825[[#This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Table8414194101324273239434853567111825[[#This Row],[VỐN CP]]+Table8414194101324273239434853567111825[[#This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Table8414194101324273239434853567111825[[#This Row],[VỐN CP]]+Table8414194101324273239434853567111825[[#This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Table8414194101324273239434853567111825[[#This Row],[VỐN CP]]+Table8414194101324273239434853567111825[[#This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Table8414194101324273239434853567111825[[#This Row],[VỐN CP]]+Table8414194101324273239434853567111825[[#This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Table8414194101324273239434853567111825[[#This Row],[VỐN CP]]+Table8414194101324273239434853567111825[[#This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Table8414194101324273239434853567111825[[#This Row],[VỐN CP]]+Table8414194101324273239434853567111825[[#This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Table8414194101324273239434853567111825[[#This Row],[VỐN CP]]+Table8414194101324273239434853567111825[[#This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Table8414194101324273239434853567111825[[#This Row],[VỐN CP]]+Table8414194101324273239434853567111825[[#This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Table8414194101324273239434853567111825[[#This Row],[VỐN CP]]+Table8414194101324273239434853567111825[[#This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Table8414194101324273239434853567111825[[#This Row],[VỐN CP]]+Table8414194101324273239434853567111825[[#This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Table8414194101324273239434853567111825[[#This Row],[VỐN CP]]+Table8414194101324273239434853567111825[[#This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Table8414194101324273239434853567111825[[#This Row],[VỐN CP]]+Table8414194101324273239434853567111825[[#This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Table8414194101324273239434853567111825[[#This Row],[VỐN CP]]+Table8414194101324273239434853567111825[[#This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Table8414194101324273239434853567111825[[#This Row],[VỐN CP]]+Table8414194101324273239434853567111825[[#This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Table8414194101324273239434853567111825[[#This Row],[VỐN CP]]+Table8414194101324273239434853567111825[[#This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Table8414194101324273239434853567111825[[#This Row],[VỐN CP]]+Table8414194101324273239434853567111825[[#This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Table8414194101324273239434853567111825[[#This Row],[VỐN CP]]+Table8414194101324273239434853567111825[[#This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Table8414194101324273239434853567111825[[#This Row],[VỐN CP]]+Table8414194101324273239434853567111825[[#This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Table8414194101324273239434853567111825[[#This Row],[VỐN CP]]+Table8414194101324273239434853567111825[[#This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Table8414194101324273239434853567111825[[#This Row],[VỐN CP]]+Table8414194101324273239434853567111825[[#This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Table8414194101324273239434853567111825[[#This Row],[VỐN CP]]+Table8414194101324273239434853567111825[[#This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Table8414194101324273239434853567111825[[#This Row],[VỐN CP]]+Table8414194101324273239434853567111825[[#This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Table8414194101324273239434853567111825[[#This Row],[VỐN CP]]+Table8414194101324273239434853567111825[[#This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Table8414194101324273239434853567111825[[#This Row],[VỐN CP]]+Table8414194101324273239434853567111825[[#This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Table8414194101324273239434853567111825[[#This Row],[VỐN CP]]+Table8414194101324273239434853567111825[[#This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Table8414194101324273239434853567111825[[#This Row],[VỐN CP]]+Table8414194101324273239434853567111825[[#This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Table8414194101324273239434853567111825[[#This Row],[VỐN CP]]+Table8414194101324273239434853567111825[[#This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Table8414194101324273239434853567111825[[#This Row],[VỐN CP]]+Table8414194101324273239434853567111825[[#This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Table8414194101324273239434853567111825[[#This Row],[VỐN CP]]+Table8414194101324273239434853567111825[[#This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Table8414194101324273239434853567111825[[#This Row],[VỐN CP]]+Table8414194101324273239434853567111825[[#This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Table8414194101324273239434853567111825[[#This Row],[VỐN CP]]+Table8414194101324273239434853567111825[[#This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Table8414194101324273239434853567111825[[#This Row],[VỐN CP]]+Table8414194101324273239434853567111825[[#This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Table8414194101324273239434853567111825[[#This Row],[VỐN CP]]+Table8414194101324273239434853567111825[[#This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Table8414194101324273239434853567111825[[#This Row],[VỐN CP]]+Table8414194101324273239434853567111825[[#This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Table8414194101324273239434853567111825[[#This Row],[VỐN CP]]+Table8414194101324273239434853567111825[[#This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Table8414194101324273239434853567111825[[#This Row],[VỐN CP]]+Table8414194101324273239434853567111825[[#This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Table8414194101324273239434853567111825[[#This Row],[VỐN CP]]+Table8414194101324273239434853567111825[[#This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Table8414194101324273239434853567111825[[#This Row],[VỐN CP]]+Table8414194101324273239434853567111825[[#This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Table8414194101324273239434853567111825[[#This Row],[VỐN CP]]+Table8414194101324273239434853567111825[[#This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Table8414194101324273239434853567111825[[#This Row],[VỐN CP]]+Table8414194101324273239434853567111825[[#This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Table8414194101324273239434853567111825[[#This Row],[VỐN CP]]+Table8414194101324273239434853567111825[[#This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Table8414194101324273239434853567111825[[#This Row],[VỐN CP]]+Table8414194101324273239434853567111825[[#This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Table8414194101324273239434853567111825[[#This Row],[VỐN CP]]+Table8414194101324273239434853567111825[[#This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Table8414194101324273239434853567111825[[#This Row],[VỐN CP]]+Table8414194101324273239434853567111825[[#This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Table8414194101324273239434853567111825[[#This Row],[VỐN CP]]+Table8414194101324273239434853567111825[[#This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Table8414194101324273239434853567111825[[#This Row],[VỐN CP]]+Table8414194101324273239434853567111825[[#This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Table8414194101324273239434853567111825[[#This Row],[VỐN CP]]+Table8414194101324273239434853567111825[[#This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Table8414194101324273239434853567111825[[#This Row],[VỐN CP]]+Table8414194101324273239434853567111825[[#This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Table8414194101324273239434853567111825[[#This Row],[VỐN CP]]+Table8414194101324273239434853567111825[[#This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Table8414194101324273239434853567111825[[#This Row],[VỐN CP]]+Table8414194101324273239434853567111825[[#This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Table8414194101324273239434853567111825[[#This Row],[VỐN CP]]+Table8414194101324273239434853567111825[[#This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Table8414194101324273239434853567111825[[#This Row],[VỐN CP]]+Table8414194101324273239434853567111825[[#This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Table8414194101324273239434853567111825[[#This Row],[VỐN CP]]+Table8414194101324273239434853567111825[[#This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Table8414194101324273239434853567111825[[#This Row],[VỐN CP]]+Table8414194101324273239434853567111825[[#This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Table8414194101324273239434853567111825[[#This Row],[VỐN CP]]+Table8414194101324273239434853567111825[[#This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Table8414194101324273239434853567111825[[#This Row],[VỐN CP]]+Table8414194101324273239434853567111825[[#This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Table8414194101324273239434853567111825[[#This Row],[VỐN CP]]+Table8414194101324273239434853567111825[[#This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Table8414194101324273239434853567111825[[#This Row],[VỐN CP]]+Table8414194101324273239434853567111825[[#This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Table8414194101324273239434853567111825[[#This Row],[VỐN CP]]+Table8414194101324273239434853567111825[[#This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Table8414194101324273239434853567111825[[#This Row],[VỐN CP]]+Table8414194101324273239434853567111825[[#This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Table8414194101324273239434853567111825[[#This Row],[VỐN CP]]+Table8414194101324273239434853567111825[[#This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Table8414194101324273239434853567111825[[#This Row],[VỐN CP]]+Table8414194101324273239434853567111825[[#This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Table8414194101324273239434853567111825[[#This Row],[VỐN CP]]+Table8414194101324273239434853567111825[[#This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Table8414194101324273239434853567111825[[#This Row],[VỐN CP]]+Table8414194101324273239434853567111825[[#This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Table8414194101324273239434853567111825[[#This Row],[VỐN CP]]+Table8414194101324273239434853567111825[[#This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Table8414194101324273239434853567111825[[#This Row],[VỐN CP]]+Table8414194101324273239434853567111825[[#This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Table8414194101324273239434853567111825[[#This Row],[VỐN CP]]+Table8414194101324273239434853567111825[[#This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Table8414194101324273239434853567111825[[#This Row],[VỐN CP]]+Table8414194101324273239434853567111825[[#This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Table8414194101324273239434853567111825[[#This Row],[VỐN CP]]+Table8414194101324273239434853567111825[[#This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Table8414194101324273239434853567111825[[#This Row],[VỐN CP]]+Table8414194101324273239434853567111825[[#This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Table8414194101324273239434853567111825[[#This Row],[VỐN CP]]+Table8414194101324273239434853567111825[[#This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Table8414194101324273239434853567111825[[#This Row],[VỐN CP]]+Table8414194101324273239434853567111825[[#This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Table8414194101324273239434853567111825[[#This Row],[VỐN CP]]+Table8414194101324273239434853567111825[[#This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Table8414194101324273239434853567111825[[#This Row],[VỐN CP]]+Table8414194101324273239434853567111825[[#This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Table8414194101324273239434853567111825[[#This Row],[VỐN CP]]+Table8414194101324273239434853567111825[[#This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Table8414194101324273239434853567111825[[#This Row],[VỐN CP]]+Table8414194101324273239434853567111825[[#This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Table8414194101324273239434853567111825[[#This Row],[VỐN CP]]+Table8414194101324273239434853567111825[[#This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Table8414194101324273239434853567111825[[#This Row],[VỐN CP]]+Table8414194101324273239434853567111825[[#This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Table8414194101324273239434853567111825[[#This Row],[VỐN CP]]+Table8414194101324273239434853567111825[[#This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Table8414194101324273239434853567111825[[#This Row],[VỐN CP]]+Table8414194101324273239434853567111825[[#This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Table8414194101324273239434853567111825[[#This Row],[VỐN CP]]+Table8414194101324273239434853567111825[[#This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Table8414194101324273239434853567111825[[#This Row],[VỐN CP]]+Table8414194101324273239434853567111825[[#This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Table8414194101324273239434853567111825[[#This Row],[VỐN CP]]+Table8414194101324273239434853567111825[[#This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Table8414194101324273239434853567111825[[#This Row],[VỐN CP]]+Table8414194101324273239434853567111825[[#This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Table8414194101324273239434853567111825[[#This Row],[VỐN CP]]+Table8414194101324273239434853567111825[[#This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Table8414194101324273239434853567111825[[#This Row],[VỐN CP]]+Table8414194101324273239434853567111825[[#This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Table8414194101324273239434853567111825[[#This Row],[VỐN CP]]+Table8414194101324273239434853567111825[[#This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Table8414194101324273239434853567111825[[#This Row],[VỐN CP]]+Table8414194101324273239434853567111825[[#This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Table8414194101324273239434853567111825[[#This Row],[VỐN CP]]+Table8414194101324273239434853567111825[[#This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Table8414194101324273239434853567111825[[#This Row],[VỐN CP]]+Table8414194101324273239434853567111825[[#This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Table8414194101324273239434853567111825[[#This Row],[VỐN CP]]+Table8414194101324273239434853567111825[[#This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Table8414194101324273239434853567111825[[#This Row],[VỐN CP]]+Table8414194101324273239434853567111825[[#This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Table8414194101324273239434853567111825[[#This Row],[VỐN CP]]+Table8414194101324273239434853567111825[[#This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Table8414194101324273239434853567111825[[#This Row],[VỐN CP]]+Table8414194101324273239434853567111825[[#This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Table8414194101324273239434853567111825[[#This Row],[VỐN CP]]+Table8414194101324273239434853567111825[[#This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Table8414194101324273239434853567111825[[#This Row],[VỐN CP]]+Table8414194101324273239434853567111825[[#This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Table8414194101324273239434853567111825[[#This Row],[VỐN CP]]+Table8414194101324273239434853567111825[[#This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Table8414194101324273239434853567111825[[#This Row],[VỐN CP]]+Table8414194101324273239434853567111825[[#This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Table8414194101324273239434853567111825[[#This Row],[VỐN CP]]+Table8414194101324273239434853567111825[[#This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Table8414194101324273239434853567111825[[#This Row],[VỐN CP]]+Table8414194101324273239434853567111825[[#This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Table8414194101324273239434853567111825[[#This Row],[VỐN CP]]+Table8414194101324273239434853567111825[[#This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Table8414194101324273239434853567111825[[#This Row],[VỐN CP]]+Table8414194101324273239434853567111825[[#This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Table8414194101324273239434853567111825[[#This Row],[VỐN CP]]+Table8414194101324273239434853567111825[[#This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Table8414194101324273239434853567111825[[#This Row],[VỐN CP]]+Table8414194101324273239434853567111825[[#This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SUBTOTAL(109,Table8414194101324273239434853567111825[VỐN CP])</f>
        <v>9275000</v>
      </c>
      <c r="E421" s="21">
        <f>SUBTOTAL(109,Table8414194101324273239434853567111825[LỢI NHUẬN GỘP])</f>
        <v>4080962.7</v>
      </c>
      <c r="F421" s="21">
        <f>SUBTOTAL(109,Table8414194101324273239434853567111825[LỢI NHUẬN RÒNG])</f>
        <v>2258759.1785987457</v>
      </c>
      <c r="G421" s="21">
        <f>SUBTOTAL(109,Table8414194101324273239434853567111825[TỔNG NHẬN])</f>
        <v>31731915.742306668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honeticPr fontId="10" type="noConversion"/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B59-31A5-40D9-B698-4F39B16B4BB8}">
  <sheetPr codeName="Sheet15"/>
  <dimension ref="A1:J37"/>
  <sheetViews>
    <sheetView topLeftCell="A10" workbookViewId="0">
      <selection activeCell="F76" sqref="F76:F352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152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Table95152051114252833404449545781522[[#This Row],[VỐN CP]]+Table73121879162330353842475259101724[[#This Row],[VỐN CP]]+Table9515205111425283340444954578121926[[#This Row],[VỐN CP]]</f>
        <v>70884166.666666672</v>
      </c>
      <c r="C3" s="14">
        <f>Table95152051114252833404449545781522[[#This Row],[LỢI NHUẬN GỘP]]+Table73121879162330353842475259101724[[#This Row],[LỢI NHUẬN GỘP]]+Table9515205111425283340444954578121926[[#This Row],[LỢI NHUẬN GỘP]]</f>
        <v>14924110.466666669</v>
      </c>
      <c r="D3" s="14">
        <f>Table95152051114252833404449545781522[[#This Row],[LỢI NHUẬN RÒNG]]+Table73121879162330353842475259101724[[#This Row],[LỢI NHUẬN RÒNG]]+Table9515205111425283340444954578121926[[#This Row],[LỢI NHUẬN RÒNG]]</f>
        <v>3361818.5929809636</v>
      </c>
      <c r="E3" s="14">
        <f>Table95152051114252833404449545781522[[#This Row],[TỔNG NHẬN]]+Table73121879162330353842475259101724[[#This Row],[TỔNG NHẬN]]+Table9515205111425283340444954578121926[[#This Row],[TỔNG NHẬN]]</f>
        <v>89202438.63356787</v>
      </c>
      <c r="F3" s="49">
        <f t="shared" ref="F3:F27" si="0">D3/B3</f>
        <v>4.7426932572826042E-2</v>
      </c>
    </row>
    <row r="4" spans="1:10" x14ac:dyDescent="0.3">
      <c r="A4" s="13" t="s">
        <v>87</v>
      </c>
      <c r="B4" s="14">
        <f>Table73121879162330353842475259101724[[#This Row],[VỐN CP]]</f>
        <v>81893333.333333328</v>
      </c>
      <c r="C4" s="14">
        <f>Table73121879162330353842475259101724[[#This Row],[LỢI NHUẬN GỘP]]</f>
        <v>21421398.699999999</v>
      </c>
      <c r="D4" s="14">
        <f>Table73121879162330353842475259101724[[#This Row],[LỢI NHUẬN RÒNG]]</f>
        <v>6369783.5204717228</v>
      </c>
      <c r="E4" s="14">
        <f>Table73121879162330353842475259101724[[#This Row],[TỔNG NHẬN]]</f>
        <v>88263116.853805065</v>
      </c>
      <c r="F4" s="49">
        <f t="shared" si="0"/>
        <v>7.7781465977756301E-2</v>
      </c>
      <c r="I4" s="50"/>
    </row>
    <row r="5" spans="1:10" x14ac:dyDescent="0.3">
      <c r="A5" s="13" t="s">
        <v>9</v>
      </c>
      <c r="B5" s="14">
        <f>'Tháng 4 nhà S '!L4+Table73121879162330353842475259101724[[#This Row],[VỐN CP]]+'Tháng 4 nhà G  '!L4</f>
        <v>803404166.66666663</v>
      </c>
      <c r="C5" s="14">
        <f>'Tháng 4 nhà S '!M4+Table73121879162330353842475259101724[[#This Row],[LỢI NHUẬN GỘP]]+'Tháng 4 nhà G  '!M4</f>
        <v>193628701.34416664</v>
      </c>
      <c r="D5" s="14">
        <f>'Tháng 4 nhà S '!N4+Table73121879162330353842475259101724[[#This Row],[LỢI NHUẬN RÒNG]]+'Tháng 4 nhà G  '!N4</f>
        <v>54554854.315884359</v>
      </c>
      <c r="E5" s="14">
        <f>'Tháng 4 nhà S '!O4+Table73121879162330353842475259101724[[#This Row],[TỔNG NHẬN]]+'Tháng 4 nhà G  '!O4</f>
        <v>917708946.88802123</v>
      </c>
      <c r="F5" s="49">
        <f t="shared" si="0"/>
        <v>6.7904619591697038E-2</v>
      </c>
      <c r="I5" s="50"/>
    </row>
    <row r="6" spans="1:10" x14ac:dyDescent="0.3">
      <c r="A6" s="13" t="s">
        <v>88</v>
      </c>
      <c r="B6" s="14">
        <f>'Tháng 4 nhà S '!L5+Table73121879162330353842475259101724[[#This Row],[VỐN CP]]+'Tháng 4 nhà G  '!L5</f>
        <v>73538333.333333328</v>
      </c>
      <c r="C6" s="14">
        <f>'Tháng 4 nhà S '!M5+Table73121879162330353842475259101724[[#This Row],[LỢI NHUẬN GỘP]]+'Tháng 4 nhà G  '!M5</f>
        <v>14143212.763333334</v>
      </c>
      <c r="D6" s="14">
        <f>'Tháng 4 nhà S '!N5+Table73121879162330353842475259101724[[#This Row],[LỢI NHUẬN RÒNG]]+'Tháng 4 nhà G  '!N5</f>
        <v>1045947.6860288722</v>
      </c>
      <c r="E6" s="14">
        <f>'Tháng 4 nhà S '!O5+Table73121879162330353842475259101724[[#This Row],[TỔNG NHẬN]]+'Tháng 4 nhà G  '!O5</f>
        <v>74584281.019362196</v>
      </c>
      <c r="F6" s="49">
        <f t="shared" si="0"/>
        <v>1.4223162786241266E-2</v>
      </c>
    </row>
    <row r="7" spans="1:10" x14ac:dyDescent="0.3">
      <c r="A7" s="13" t="s">
        <v>89</v>
      </c>
      <c r="B7" s="14">
        <f>'Tháng 4 nhà S '!L6+Table73121879162330353842475259101724[[#This Row],[VỐN CP]]+'Tháng 4 nhà G  '!L6</f>
        <v>34563333.333333336</v>
      </c>
      <c r="C7" s="14">
        <f>'Tháng 4 nhà S '!M6+Table73121879162330353842475259101724[[#This Row],[LỢI NHUẬN GỘP]]+'Tháng 4 nhà G  '!M6</f>
        <v>7636551.9833333334</v>
      </c>
      <c r="D7" s="14">
        <f>'Tháng 4 nhà S '!N6+Table73121879162330353842475259101724[[#This Row],[LỢI NHUẬN RÒNG]]+'Tháng 4 nhà G  '!N6</f>
        <v>2418870.3883764013</v>
      </c>
      <c r="E7" s="14">
        <f>'Tháng 4 nhà S '!O6+Table73121879162330353842475259101724[[#This Row],[TỔNG NHẬN]]+'Tháng 4 nhà G  '!O6</f>
        <v>36982203.721709728</v>
      </c>
      <c r="F7" s="49">
        <f t="shared" si="0"/>
        <v>6.9983712654346636E-2</v>
      </c>
      <c r="I7" s="50"/>
    </row>
    <row r="8" spans="1:10" x14ac:dyDescent="0.3">
      <c r="A8" s="13" t="s">
        <v>17</v>
      </c>
      <c r="B8" s="14">
        <f>'Tháng 4 nhà S '!L7</f>
        <v>6795000</v>
      </c>
      <c r="C8" s="14">
        <f>'Tháng 4 nhà S '!M7</f>
        <v>2775708.95</v>
      </c>
      <c r="D8" s="14">
        <f>'Tháng 4 nhà S '!N7</f>
        <v>1623394.9263928249</v>
      </c>
      <c r="E8" s="14">
        <f>'Tháng 4 nhà S '!O7</f>
        <v>8418394.9263928253</v>
      </c>
      <c r="F8" s="49">
        <f t="shared" si="0"/>
        <v>0.23891021727635392</v>
      </c>
    </row>
    <row r="9" spans="1:10" x14ac:dyDescent="0.3">
      <c r="A9" s="13" t="s">
        <v>19</v>
      </c>
      <c r="B9" s="14">
        <f>'Tháng 4 nhà S '!L8+'Tháng 4 nhà T  '!L8+'Tháng 4 nhà G  '!L8</f>
        <v>834846666.66666675</v>
      </c>
      <c r="C9" s="14">
        <f>'Tháng 4 nhà S '!M8+'Tháng 4 nhà T  '!M8+'Tháng 4 nhà G  '!M8</f>
        <v>185970466.0083333</v>
      </c>
      <c r="D9" s="14">
        <f>'Tháng 4 nhà S '!N8+'Tháng 4 nhà T  '!N8+'Tháng 4 nhà G  '!N8</f>
        <v>41897332.292574584</v>
      </c>
      <c r="E9" s="14">
        <f>'Tháng 4 nhà S '!O8+'Tháng 4 nhà T  '!O8+'Tháng 4 nhà G  '!O8</f>
        <v>924712480.94900846</v>
      </c>
      <c r="F9" s="49">
        <f t="shared" si="0"/>
        <v>5.0185661589642702E-2</v>
      </c>
      <c r="I9" s="50"/>
    </row>
    <row r="10" spans="1:10" x14ac:dyDescent="0.3">
      <c r="A10" s="16" t="s">
        <v>21</v>
      </c>
      <c r="B10" s="14">
        <f>'Tháng 4 nhà S '!L9+'Tháng 4 nhà T  '!L9+'Tháng 4 nhà G  '!L9</f>
        <v>435086666.66666669</v>
      </c>
      <c r="C10" s="14">
        <f>'Tháng 4 nhà S '!M9+'Tháng 4 nhà T  '!M9+'Tháng 4 nhà G  '!M9</f>
        <v>118820393.12916669</v>
      </c>
      <c r="D10" s="14">
        <f>'Tháng 4 nhà S '!N9+'Tháng 4 nhà T  '!N9+'Tháng 4 nhà G  '!N9</f>
        <v>43989516.411115408</v>
      </c>
      <c r="E10" s="14">
        <f>'Tháng 4 nhà S '!O9+'Tháng 4 nhà T  '!O9+'Tháng 4 nhà G  '!O9</f>
        <v>519472496.20519787</v>
      </c>
      <c r="F10" s="49">
        <f t="shared" si="0"/>
        <v>0.10110518152195441</v>
      </c>
      <c r="J10" s="50"/>
    </row>
    <row r="11" spans="1:10" x14ac:dyDescent="0.3">
      <c r="A11" s="13" t="s">
        <v>23</v>
      </c>
      <c r="B11" s="14">
        <f>'Tháng 4 nhà S '!L10+'Tháng 4 nhà T  '!L10+'Tháng 4 nhà G  '!L10</f>
        <v>51435000</v>
      </c>
      <c r="C11" s="14">
        <f>'Tháng 4 nhà S '!M10+'Tháng 4 nhà T  '!M10+'Tháng 4 nhà G  '!M10</f>
        <v>13932035.466666667</v>
      </c>
      <c r="D11" s="14">
        <f>'Tháng 4 nhà S '!N10+'Tháng 4 nhà T  '!N10+'Tháng 4 nhà G  '!N10</f>
        <v>2716211.4046924524</v>
      </c>
      <c r="E11" s="14">
        <f>'Tháng 4 nhà S '!O10+'Tháng 4 nhà T  '!O10+'Tháng 4 nhà G  '!O10</f>
        <v>54151211.404692449</v>
      </c>
      <c r="F11" s="49">
        <f t="shared" si="0"/>
        <v>5.2808620680323756E-2</v>
      </c>
    </row>
    <row r="12" spans="1:10" x14ac:dyDescent="0.3">
      <c r="A12" s="13" t="s">
        <v>25</v>
      </c>
      <c r="B12" s="14">
        <f>'Tháng 4 nhà S '!L11+'Tháng 4 nhà T  '!L16+'Tháng 4 nhà G  '!L11</f>
        <v>119093333.33333333</v>
      </c>
      <c r="C12" s="14">
        <f>'Tháng 4 nhà S '!M11+'Tháng 4 nhà T  '!M16+'Tháng 4 nhà G  '!M11</f>
        <v>38625680.080000006</v>
      </c>
      <c r="D12" s="14">
        <f>'Tháng 4 nhà S '!N11+'Tháng 4 nhà T  '!N16+'Tháng 4 nhà G  '!N11</f>
        <v>13573537.908314373</v>
      </c>
      <c r="E12" s="14">
        <f>'Tháng 4 nhà S '!O11+'Tháng 4 nhà T  '!O16+'Tháng 4 nhà G  '!O11</f>
        <v>147623324.61556792</v>
      </c>
      <c r="F12" s="49">
        <f t="shared" si="0"/>
        <v>0.11397395243210681</v>
      </c>
    </row>
    <row r="13" spans="1:10" x14ac:dyDescent="0.3">
      <c r="A13" s="13" t="s">
        <v>27</v>
      </c>
      <c r="B13" s="14">
        <f>'Tháng 4 nhà S '!L12+'Tháng 4 nhà T  '!L11+'Tháng 4 nhà G  '!L12</f>
        <v>405698333.33333331</v>
      </c>
      <c r="C13" s="14">
        <f>'Tháng 4 nhà S '!M12+'Tháng 4 nhà T  '!M11+'Tháng 4 nhà G  '!M12</f>
        <v>112178854.70833336</v>
      </c>
      <c r="D13" s="14">
        <f>'Tháng 4 nhà S '!N12+'Tháng 4 nhà T  '!N11+'Tháng 4 nhà G  '!N12</f>
        <v>39029732.227294117</v>
      </c>
      <c r="E13" s="14">
        <f>'Tháng 4 nhà S '!O12+'Tháng 4 nhà T  '!O11+'Tháng 4 nhà G  '!O12</f>
        <v>464081678.33868188</v>
      </c>
      <c r="F13" s="49">
        <f t="shared" si="0"/>
        <v>9.620382688441112E-2</v>
      </c>
    </row>
    <row r="14" spans="1:10" x14ac:dyDescent="0.3">
      <c r="A14" s="13" t="s">
        <v>29</v>
      </c>
      <c r="B14" s="14">
        <f>'Tháng 4 nhà S '!L13+'Tháng 4 nhà G  '!L13</f>
        <v>49673333.333333328</v>
      </c>
      <c r="C14" s="14">
        <f>'Tháng 4 nhà S '!M13+'Tháng 4 nhà G  '!M13</f>
        <v>17583479.166666668</v>
      </c>
      <c r="D14" s="14">
        <f>'Tháng 4 nhà S '!N13+'Tháng 4 nhà G  '!N13</f>
        <v>8419855.5252907239</v>
      </c>
      <c r="E14" s="14">
        <f>'Tháng 4 nhà S '!O13+'Tháng 4 nhà G  '!O13</f>
        <v>78291345.422331989</v>
      </c>
      <c r="F14" s="49">
        <f t="shared" si="0"/>
        <v>0.16950454016824704</v>
      </c>
    </row>
    <row r="15" spans="1:10" x14ac:dyDescent="0.3">
      <c r="A15" s="13" t="s">
        <v>31</v>
      </c>
      <c r="B15" s="14">
        <f>'Tháng 4 nhà S '!L14+'Tháng 4 nhà T  '!L12+'Tháng 4 nhà G  '!L14</f>
        <v>221938333.33333331</v>
      </c>
      <c r="C15" s="14">
        <f>'Tháng 4 nhà S '!M14+'Tháng 4 nhà T  '!M12+'Tháng 4 nhà G  '!M14</f>
        <v>59909741.933333337</v>
      </c>
      <c r="D15" s="14">
        <f>'Tháng 4 nhà S '!N14+'Tháng 4 nhà T  '!N12+'Tháng 4 nhà G  '!N14</f>
        <v>20041207.869977113</v>
      </c>
      <c r="E15" s="14">
        <f>'Tháng 4 nhà S '!O14+'Tháng 4 nhà T  '!O12+'Tháng 4 nhà G  '!O14</f>
        <v>294548348.28160864</v>
      </c>
      <c r="F15" s="49">
        <f t="shared" si="0"/>
        <v>9.030079468010084E-2</v>
      </c>
    </row>
    <row r="16" spans="1:10" x14ac:dyDescent="0.3">
      <c r="A16" s="13" t="s">
        <v>91</v>
      </c>
      <c r="B16" s="14">
        <f>'Tháng 4 nhà T  '!L13</f>
        <v>8400000</v>
      </c>
      <c r="C16" s="14">
        <f>'Tháng 4 nhà T  '!M13</f>
        <v>2791743</v>
      </c>
      <c r="D16" s="14">
        <f>'Tháng 4 nhà T  '!N13</f>
        <v>1284459.6281648681</v>
      </c>
      <c r="E16" s="14">
        <f>'Tháng 4 nhà T  '!O13</f>
        <v>9684459.6281648688</v>
      </c>
      <c r="F16" s="49">
        <f t="shared" si="0"/>
        <v>0.15291186049581762</v>
      </c>
    </row>
    <row r="17" spans="1:6" x14ac:dyDescent="0.3">
      <c r="A17" s="13" t="s">
        <v>33</v>
      </c>
      <c r="B17" s="14">
        <f>'Tháng 4 nhà S '!L15+'Tháng 4 nhà T  '!L14+'Tháng 4 nhà G  '!L15</f>
        <v>88443333.333333343</v>
      </c>
      <c r="C17" s="14">
        <f>'Tháng 4 nhà S '!M15+'Tháng 4 nhà T  '!M14+'Tháng 4 nhà G  '!M15</f>
        <v>26494515.400000002</v>
      </c>
      <c r="D17" s="14">
        <f>'Tháng 4 nhà S '!N15+'Tháng 4 nhà T  '!N14+'Tháng 4 nhà G  '!N15</f>
        <v>12701028.721127726</v>
      </c>
      <c r="E17" s="14">
        <f>'Tháng 4 nhà S '!O15+'Tháng 4 nhà T  '!O14+'Tháng 4 nhà G  '!O15</f>
        <v>121342518.61816896</v>
      </c>
      <c r="F17" s="49">
        <f t="shared" si="0"/>
        <v>0.14360640019365761</v>
      </c>
    </row>
    <row r="18" spans="1:6" x14ac:dyDescent="0.3">
      <c r="A18" s="13" t="s">
        <v>35</v>
      </c>
      <c r="B18" s="14">
        <f>'Tháng 4 nhà S '!L16+'Tháng 4 nhà G  '!L16</f>
        <v>51421666.666666672</v>
      </c>
      <c r="C18" s="14">
        <f>'Tháng 4 nhà S '!M16+'Tháng 4 nhà G  '!M16</f>
        <v>12884978.799999999</v>
      </c>
      <c r="D18" s="14">
        <f>'Tháng 4 nhà S '!N16+'Tháng 4 nhà G  '!N16</f>
        <v>4021213.682431771</v>
      </c>
      <c r="E18" s="14">
        <f>'Tháng 4 nhà S '!O16+'Tháng 4 nhà G  '!O16</f>
        <v>55442880.349098437</v>
      </c>
      <c r="F18" s="49">
        <f t="shared" si="0"/>
        <v>7.8200765224096927E-2</v>
      </c>
    </row>
    <row r="19" spans="1:6" x14ac:dyDescent="0.3">
      <c r="A19" s="16" t="s">
        <v>37</v>
      </c>
      <c r="B19" s="14">
        <f>'Tháng 4 nhà S '!L17+'Tháng 4 nhà T  '!L15+'Tháng 4 nhà G  '!L17</f>
        <v>223308333.33333331</v>
      </c>
      <c r="C19" s="14">
        <f>'Tháng 4 nhà S '!M17+'Tháng 4 nhà T  '!M15+'Tháng 4 nhà G  '!M17</f>
        <v>66199862.416666664</v>
      </c>
      <c r="D19" s="14">
        <f>'Tháng 4 nhà S '!N17+'Tháng 4 nhà T  '!N15+'Tháng 4 nhà G  '!N17</f>
        <v>28919229.588319436</v>
      </c>
      <c r="E19" s="14">
        <f>'Tháng 4 nhà S '!O17+'Tháng 4 nhà T  '!O15+'Tháng 4 nhà G  '!O17</f>
        <v>294312963.62037563</v>
      </c>
      <c r="F19" s="51">
        <f t="shared" si="0"/>
        <v>0.12950358437878615</v>
      </c>
    </row>
    <row r="20" spans="1:6" x14ac:dyDescent="0.3">
      <c r="A20" s="13" t="s">
        <v>39</v>
      </c>
      <c r="B20" s="14">
        <f>'Tháng 4 nhà S '!L18</f>
        <v>1583333.3333333335</v>
      </c>
      <c r="C20" s="14">
        <f>'Tháng 4 nhà S '!M18</f>
        <v>127793.71666666641</v>
      </c>
      <c r="D20" s="14">
        <f>'Tháng 4 nhà S '!N18</f>
        <v>-25001.271113689243</v>
      </c>
      <c r="E20" s="14">
        <f>'Tháng 4 nhà S '!O18</f>
        <v>1558332.0622196442</v>
      </c>
      <c r="F20" s="51">
        <f t="shared" si="0"/>
        <v>-1.5790276492856362E-2</v>
      </c>
    </row>
    <row r="21" spans="1:6" x14ac:dyDescent="0.3">
      <c r="A21" s="13" t="s">
        <v>41</v>
      </c>
      <c r="B21" s="14">
        <f>'Tháng 4 nhà S '!L19</f>
        <v>2533333.3333333335</v>
      </c>
      <c r="C21" s="14">
        <f>'Tháng 4 nhà S '!M19</f>
        <v>496342.56666666642</v>
      </c>
      <c r="D21" s="14">
        <f>'Tháng 4 nhà S '!N19</f>
        <v>127222.02266657761</v>
      </c>
      <c r="E21" s="14">
        <f>'Tháng 4 nhà S '!O19</f>
        <v>2660555.3559999112</v>
      </c>
      <c r="F21" s="51">
        <f t="shared" si="0"/>
        <v>5.0219219473649053E-2</v>
      </c>
    </row>
    <row r="22" spans="1:6" x14ac:dyDescent="0.3">
      <c r="A22" s="13" t="s">
        <v>42</v>
      </c>
      <c r="B22" s="14">
        <f>'Tháng 4 nhà S '!L20</f>
        <v>2083333.3333333335</v>
      </c>
      <c r="C22" s="14">
        <f>'Tháng 4 nhà S '!M20</f>
        <v>538838.6666666664</v>
      </c>
      <c r="D22" s="14">
        <f>'Tháng 4 nhà S '!N20</f>
        <v>247249.51702722034</v>
      </c>
      <c r="E22" s="14">
        <f>'Tháng 4 nhà S '!O20</f>
        <v>2330582.8503605537</v>
      </c>
      <c r="F22" s="51">
        <f t="shared" si="0"/>
        <v>0.11867976817306575</v>
      </c>
    </row>
    <row r="23" spans="1:6" x14ac:dyDescent="0.3">
      <c r="A23" s="13" t="s">
        <v>43</v>
      </c>
      <c r="B23" s="14">
        <f>'Tháng 4 nhà S '!L21+'Tháng 4 nhà G  '!L21</f>
        <v>115093333.33333334</v>
      </c>
      <c r="C23" s="14">
        <f>'Tháng 4 nhà S '!M21+'Tháng 4 nhà G  '!M21</f>
        <v>37060300.983333334</v>
      </c>
      <c r="D23" s="14">
        <f>'Tháng 4 nhà S '!N21+'Tháng 4 nhà G  '!N21</f>
        <v>15162331.779981077</v>
      </c>
      <c r="E23" s="14">
        <f>'Tháng 4 nhà S '!O21+'Tháng 4 nhà G  '!O21</f>
        <v>170651978.24073026</v>
      </c>
      <c r="F23" s="51">
        <f t="shared" si="0"/>
        <v>0.13173944433486801</v>
      </c>
    </row>
    <row r="24" spans="1:6" x14ac:dyDescent="0.3">
      <c r="A24" s="13" t="s">
        <v>44</v>
      </c>
      <c r="B24" s="14">
        <f>'Tháng 4 nhà S '!L22</f>
        <v>4700000</v>
      </c>
      <c r="C24" s="14">
        <f>'Tháng 4 nhà S '!M22</f>
        <v>2522839</v>
      </c>
      <c r="D24" s="14">
        <f>'Tháng 4 nhà S '!N22</f>
        <v>1453582.7281289941</v>
      </c>
      <c r="E24" s="14">
        <f>'Tháng 4 nhà S '!O22</f>
        <v>6153582.7281289939</v>
      </c>
      <c r="F24" s="51">
        <f t="shared" si="0"/>
        <v>0.30927292087850938</v>
      </c>
    </row>
    <row r="25" spans="1:6" x14ac:dyDescent="0.3">
      <c r="A25" s="13" t="s">
        <v>45</v>
      </c>
      <c r="B25" s="14">
        <f>'Tháng 4 nhà S '!L23</f>
        <v>13050000</v>
      </c>
      <c r="C25" s="14">
        <f>'Tháng 4 nhà S '!M23</f>
        <v>3344663.4</v>
      </c>
      <c r="D25" s="14">
        <f>'Tháng 4 nhà S '!N23</f>
        <v>421494.71800767892</v>
      </c>
      <c r="E25" s="14">
        <f>'Tháng 4 nhà S '!O23</f>
        <v>13471494.71800768</v>
      </c>
      <c r="F25" s="49">
        <f t="shared" si="0"/>
        <v>3.2298445824343214E-2</v>
      </c>
    </row>
    <row r="26" spans="1:6" s="52" customFormat="1" x14ac:dyDescent="0.3">
      <c r="A26" s="13" t="s">
        <v>46</v>
      </c>
      <c r="B26" s="14">
        <f>'Tháng 4 nhà S '!L24+'Tháng 4 nhà G  '!L24</f>
        <v>13350000</v>
      </c>
      <c r="C26" s="14">
        <f>'Tháng 4 nhà S '!M24+'Tháng 4 nhà G  '!M24</f>
        <v>2962056.1</v>
      </c>
      <c r="D26" s="14">
        <f>'Tháng 4 nhà S '!N24+'Tháng 4 nhà G  '!N24</f>
        <v>920161.66632229055</v>
      </c>
      <c r="E26" s="14">
        <f>'Tháng 4 nhà S '!O24+'Tháng 4 nhà G  '!O24</f>
        <v>14270161.666322291</v>
      </c>
      <c r="F26" s="49">
        <f t="shared" si="0"/>
        <v>6.8925967514778322E-2</v>
      </c>
    </row>
    <row r="27" spans="1:6" x14ac:dyDescent="0.3">
      <c r="A27" s="16" t="s">
        <v>129</v>
      </c>
      <c r="B27" s="14">
        <f>'[1]Tháng 9 nhà S '!L25</f>
        <v>1745166666.6666663</v>
      </c>
      <c r="C27" s="17">
        <f>SUBTOTAL(109,C2:C26)</f>
        <v>956974268.75</v>
      </c>
      <c r="D27" s="17">
        <f>SUBTOTAL(109,D2:D26)</f>
        <v>304275035.85045779</v>
      </c>
      <c r="E27" s="17">
        <f>SUBTOTAL(109,E2:E26)</f>
        <v>4389919777.0975256</v>
      </c>
      <c r="F27" s="51">
        <f t="shared" si="0"/>
        <v>0.17435299542572316</v>
      </c>
    </row>
    <row r="28" spans="1:6" x14ac:dyDescent="0.3">
      <c r="A28" s="16"/>
      <c r="B28" s="17"/>
      <c r="C28" s="17"/>
      <c r="D28" s="17"/>
      <c r="E28" s="17"/>
      <c r="F28" s="51"/>
    </row>
    <row r="30" spans="1:6" x14ac:dyDescent="0.3">
      <c r="B30" s="50"/>
      <c r="C30" s="50"/>
      <c r="D30" s="50"/>
      <c r="E30" s="50"/>
    </row>
    <row r="31" spans="1:6" ht="14.5" x14ac:dyDescent="0.35">
      <c r="B31" s="53"/>
      <c r="C31" s="50"/>
      <c r="D31" s="50"/>
      <c r="E31" s="50"/>
    </row>
    <row r="32" spans="1:6" x14ac:dyDescent="0.3">
      <c r="B32" s="50"/>
      <c r="C32" s="50"/>
      <c r="D32" s="50"/>
      <c r="E32" s="50"/>
      <c r="F32" s="54"/>
    </row>
    <row r="33" spans="2:5" x14ac:dyDescent="0.3">
      <c r="B33" s="50"/>
      <c r="C33" s="50"/>
      <c r="D33" s="50"/>
      <c r="E33" s="50"/>
    </row>
    <row r="34" spans="2:5" x14ac:dyDescent="0.3">
      <c r="B34" s="50"/>
      <c r="C34" s="50"/>
      <c r="D34" s="50"/>
      <c r="E34" s="50"/>
    </row>
    <row r="36" spans="2:5" x14ac:dyDescent="0.3">
      <c r="D36" s="50"/>
    </row>
    <row r="37" spans="2:5" x14ac:dyDescent="0.3">
      <c r="D37" s="5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99F7-3A9E-4B35-87D0-9DE1081BC639}">
  <sheetPr codeName="Sheet16"/>
  <dimension ref="A1:O161"/>
  <sheetViews>
    <sheetView zoomScale="121" zoomScaleNormal="121" workbookViewId="0">
      <selection activeCell="F20" sqref="F20:F106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156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21095833.333333332</v>
      </c>
      <c r="M3" s="37">
        <f>SUMIF('Tháng 5 nhà T '!$B$4:$B$154,K3,'Tháng 5 nhà T '!$E$4:$E$154)</f>
        <v>5813928.5666666673</v>
      </c>
      <c r="N3" s="37">
        <f>SUMIF('Tháng 5 nhà T '!$B$4:$B$154,K3,'Tháng 5 nhà T '!$F$4:$F$154)</f>
        <v>2148132.1961548752</v>
      </c>
      <c r="O3" s="38">
        <f>SUMIF('Tháng 5 nhà T '!$B$4:$B$154,K3,'Tháng 5 nhà T '!$G$4:$G$154)</f>
        <v>23243965.529488206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2643192.6</v>
      </c>
      <c r="F4" s="11">
        <v>-437273.60570632073</v>
      </c>
      <c r="G4" s="12">
        <f>Table521117681522293437414651589162332[[#This Row],[LỢI NHUẬN RÒNG]]+Table521117681522293437414651589162332[[#This Row],[VỐN CP]]</f>
        <v>12762726.394293679</v>
      </c>
      <c r="K4" s="36" t="s">
        <v>87</v>
      </c>
      <c r="L4" s="11">
        <f t="shared" si="0"/>
        <v>81893333.333333328</v>
      </c>
      <c r="M4" s="37">
        <f>SUMIF('Tháng 5 nhà T '!$B$4:$B$154,K4,'Tháng 5 nhà T '!$E$4:$E$154)</f>
        <v>28608678.299999997</v>
      </c>
      <c r="N4" s="37">
        <f>SUMIF('Tháng 5 nhà T '!$B$4:$B$154,K4,'Tháng 5 nhà T '!$F$4:$F$154)</f>
        <v>14773271.207349019</v>
      </c>
      <c r="O4" s="38">
        <f>SUMIF('Tháng 5 nhà T '!$B$4:$B$154,K4,'Tháng 5 nhà T '!$G$4:$G$154)</f>
        <v>96666604.540682346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2643192.6</v>
      </c>
      <c r="F5" s="11">
        <v>-437273.60570632073</v>
      </c>
      <c r="G5" s="12">
        <f>Table521117681522293437414651589162332[[#This Row],[LỢI NHUẬN RÒNG]]+Table521117681522293437414651589162332[[#This Row],[VỐN CP]]</f>
        <v>12762726.394293679</v>
      </c>
      <c r="I5" s="11"/>
      <c r="K5" s="36" t="s">
        <v>9</v>
      </c>
      <c r="L5" s="11">
        <f t="shared" si="0"/>
        <v>409764166.66666669</v>
      </c>
      <c r="M5" s="37">
        <f>SUMIF('Tháng 5 nhà T '!$B$4:$B$154,K5,'Tháng 5 nhà T '!$E$4:$E$154)</f>
        <v>135361641</v>
      </c>
      <c r="N5" s="37">
        <f>SUMIF('Tháng 5 nhà T '!$B$4:$B$154,K5,'Tháng 5 nhà T '!$F$4:$F$154)</f>
        <v>61887096.187500283</v>
      </c>
      <c r="O5" s="38">
        <f>SUMIF('Tháng 5 nhà T '!$B$4:$B$154,K5,'Tháng 5 nhà T '!$G$4:$G$154)</f>
        <v>471651262.85416692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881064.2</v>
      </c>
      <c r="F6" s="11">
        <v>-145757.86856877356</v>
      </c>
      <c r="G6" s="12">
        <f>Table521117681522293437414651589162332[[#This Row],[LỢI NHUẬN RÒNG]]+Table521117681522293437414651589162332[[#This Row],[VỐN CP]]</f>
        <v>4254242.1314312266</v>
      </c>
      <c r="K6" s="36" t="s">
        <v>88</v>
      </c>
      <c r="L6" s="11">
        <f t="shared" si="0"/>
        <v>9933333.333333334</v>
      </c>
      <c r="M6" s="37">
        <f>SUMIF('Tháng 5 nhà T '!$B$4:$B$154,K6,'Tháng 5 nhà T '!$E$4:$E$154)</f>
        <v>3737084.166666666</v>
      </c>
      <c r="N6" s="37">
        <f>SUMIF('Tháng 5 nhà T '!$B$4:$B$154,K6,'Tháng 5 nhà T '!$F$4:$F$154)</f>
        <v>1840232.8245429485</v>
      </c>
      <c r="O6" s="38">
        <f>SUMIF('Tháng 5 nhà T '!$B$4:$B$154,K6,'Tháng 5 nhà T '!$G$4:$G$154)</f>
        <v>11773566.157876283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1762128.4</v>
      </c>
      <c r="F7" s="11">
        <v>-291515.73713754711</v>
      </c>
      <c r="G7" s="12">
        <f>Table521117681522293437414651589162332[[#This Row],[LỢI NHUẬN RÒNG]]+Table521117681522293437414651589162332[[#This Row],[VỐN CP]]</f>
        <v>8508484.2628624532</v>
      </c>
      <c r="K7" s="36" t="s">
        <v>89</v>
      </c>
      <c r="L7" s="11">
        <f t="shared" si="0"/>
        <v>6666666.666666666</v>
      </c>
      <c r="M7" s="37">
        <f>SUMIF('Tháng 5 nhà T '!$B$4:$B$154,K7,'Tháng 5 nhà T '!$E$4:$E$154)</f>
        <v>2776508.4333333345</v>
      </c>
      <c r="N7" s="37">
        <f>SUMIF('Tháng 5 nhà T '!$B$4:$B$154,K7,'Tháng 5 nhà T '!$F$4:$F$154)</f>
        <v>1443167.2933218852</v>
      </c>
      <c r="O7" s="38">
        <f>SUMIF('Tháng 5 nhà T '!$B$4:$B$154,K7,'Tháng 5 nhà T '!$G$4:$G$154)</f>
        <v>8109833.9599885512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881064.2</v>
      </c>
      <c r="F8" s="11">
        <v>-145757.86856877356</v>
      </c>
      <c r="G8" s="12">
        <f>Table521117681522293437414651589162332[[#This Row],[LỢI NHUẬN RÒNG]]+Table521117681522293437414651589162332[[#This Row],[VỐN CP]]</f>
        <v>4254242.1314312266</v>
      </c>
      <c r="K8" s="36" t="s">
        <v>19</v>
      </c>
      <c r="L8" s="11">
        <f t="shared" si="0"/>
        <v>411960000</v>
      </c>
      <c r="M8" s="37">
        <f>SUMIF('Tháng 5 nhà T '!$B$4:$B$154,K8,'Tháng 5 nhà T '!$E$4:$E$154)</f>
        <v>133970721.01666667</v>
      </c>
      <c r="N8" s="37">
        <f>SUMIF('Tháng 5 nhà T '!$B$4:$B$154,K8,'Tháng 5 nhà T '!$F$4:$F$154)</f>
        <v>60594484.2893373</v>
      </c>
      <c r="O8" s="38">
        <f>SUMIF('Tháng 5 nhà T '!$B$4:$B$154,K8,'Tháng 5 nhà T '!$G$4:$G$154)</f>
        <v>437036828.11010981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4164762.6500000013</v>
      </c>
      <c r="F9" s="11">
        <v>2164750.9399828278</v>
      </c>
      <c r="G9" s="12">
        <f>Table521117681522293437414651589162332[[#This Row],[LỢI NHUẬN RÒNG]]+Table521117681522293437414651589162332[[#This Row],[VỐN CP]]</f>
        <v>12164750.939982828</v>
      </c>
      <c r="K9" s="36" t="s">
        <v>21</v>
      </c>
      <c r="L9" s="11">
        <f t="shared" si="0"/>
        <v>68785000</v>
      </c>
      <c r="M9" s="37">
        <f>SUMIF('Tháng 5 nhà T '!$B$4:$B$154,K9,'Tháng 5 nhà T '!$E$4:$E$154)</f>
        <v>25313891.550000004</v>
      </c>
      <c r="N9" s="37">
        <f>SUMIF('Tháng 5 nhà T '!$B$4:$B$154,K9,'Tháng 5 nhà T '!$F$4:$F$154)</f>
        <v>12585140.967894172</v>
      </c>
      <c r="O9" s="38">
        <f>SUMIF('Tháng 5 nhà T '!$B$4:$B$154,K9,'Tháng 5 nhà T '!$G$4:$G$154)</f>
        <v>81370140.967894167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2776508.4333333345</v>
      </c>
      <c r="F10" s="11">
        <v>1443167.2933218852</v>
      </c>
      <c r="G10" s="12">
        <f>Table521117681522293437414651589162332[[#This Row],[LỢI NHUẬN RÒNG]]+Table521117681522293437414651589162332[[#This Row],[VỐN CP]]</f>
        <v>8109833.9599885512</v>
      </c>
      <c r="K10" s="36" t="s">
        <v>23</v>
      </c>
      <c r="L10" s="11">
        <f t="shared" si="0"/>
        <v>16000000</v>
      </c>
      <c r="M10" s="37">
        <f>SUMIF('Tháng 5 nhà T '!$B$4:$B$154,K10,'Tháng 5 nhà T '!$E$4:$E$154)</f>
        <v>2317003</v>
      </c>
      <c r="N10" s="37">
        <f>SUMIF('Tháng 5 nhà T '!$B$4:$B$154,K10,'Tháng 5 nhà T '!$F$4:$F$154)</f>
        <v>-1408290.7842435613</v>
      </c>
      <c r="O10" s="38">
        <f>SUMIF('Tháng 5 nhà T '!$B$4:$B$154,K10,'Tháng 5 nhà T '!$G$4:$G$154)</f>
        <v>14591709.215756439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4164762.6500000013</v>
      </c>
      <c r="F11" s="11">
        <v>2164750.9399828278</v>
      </c>
      <c r="G11" s="12">
        <f>Table521117681522293437414651589162332[[#This Row],[LỢI NHUẬN RÒNG]]+Table521117681522293437414651589162332[[#This Row],[VỐN CP]]</f>
        <v>12164750.939982828</v>
      </c>
      <c r="J11" s="11"/>
      <c r="K11" s="36" t="s">
        <v>27</v>
      </c>
      <c r="L11" s="11">
        <f t="shared" si="0"/>
        <v>325828333.33333331</v>
      </c>
      <c r="M11" s="37">
        <f>SUMIF('Tháng 5 nhà T '!$B$4:$B$154,K11,'Tháng 5 nhà T '!$E$4:$E$154)</f>
        <v>117978335.53333332</v>
      </c>
      <c r="N11" s="37">
        <f>SUMIF('Tháng 5 nhà T '!$B$4:$B$154,K11,'Tháng 5 nhà T '!$F$4:$F$154)</f>
        <v>61584594.775794245</v>
      </c>
      <c r="O11" s="38">
        <f>SUMIF(Table521117681522293437414651589162332[CỔ ĐÔNG],K11,Table521117681522293437414651589162332[TỔNG NHẬN])</f>
        <v>387412928.10912752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2776508.4333333345</v>
      </c>
      <c r="F12" s="11">
        <v>1443167.2933218852</v>
      </c>
      <c r="G12" s="12">
        <f>Table521117681522293437414651589162332[[#This Row],[LỢI NHUẬN RÒNG]]+Table521117681522293437414651589162332[[#This Row],[VỐN CP]]</f>
        <v>8109833.9599885512</v>
      </c>
      <c r="K12" s="36" t="s">
        <v>31</v>
      </c>
      <c r="L12" s="11">
        <f t="shared" si="0"/>
        <v>44946666.666666664</v>
      </c>
      <c r="M12" s="37">
        <f>SUMIF('Tháng 5 nhà T '!$B$4:$B$154,K12,'Tháng 5 nhà T '!$E$4:$E$154)</f>
        <v>13306171.233333334</v>
      </c>
      <c r="N12" s="37">
        <f>SUMIF('Tháng 5 nhà T '!$B$4:$B$154,K12,'Tháng 5 nhà T '!$F$4:$F$154)</f>
        <v>5105134.667377457</v>
      </c>
      <c r="O12" s="38">
        <f>SUMIF('Tháng 5 nhà T '!$B$4:$B$154,K12,'Tháng 5 nhà T '!$G$4:$G$154)</f>
        <v>50051801.334044121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2776508.4333333345</v>
      </c>
      <c r="F13" s="11">
        <v>1443167.2933218852</v>
      </c>
      <c r="G13" s="12">
        <f>Table521117681522293437414651589162332[[#This Row],[LỢI NHUẬN RÒNG]]+Table521117681522293437414651589162332[[#This Row],[VỐN CP]]</f>
        <v>8109833.9599885512</v>
      </c>
      <c r="K13" s="36" t="s">
        <v>91</v>
      </c>
      <c r="L13" s="11">
        <f t="shared" si="0"/>
        <v>8400000</v>
      </c>
      <c r="M13" s="37">
        <f>SUMIF('Tháng 5 nhà T '!$B$4:$B$154,K13,'Tháng 5 nhà T '!$E$4:$E$154)</f>
        <v>5123736.5</v>
      </c>
      <c r="N13" s="37">
        <f>SUMIF('Tháng 5 nhà T '!$B$4:$B$154,K13,'Tháng 5 nhà T '!$F$4:$F$154)</f>
        <v>3874903.9015775877</v>
      </c>
      <c r="O13" s="38">
        <f>SUMIF('Tháng 5 nhà T '!$B$4:$B$154,K13,'Tháng 5 nhà T '!$G$4:$G$154)</f>
        <v>12274903.901577588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2776508.4333333345</v>
      </c>
      <c r="F14" s="11">
        <v>1443167.2933218852</v>
      </c>
      <c r="G14" s="12">
        <f>Table521117681522293437414651589162332[[#This Row],[LỢI NHUẬN RÒNG]]+Table521117681522293437414651589162332[[#This Row],[VỐN CP]]</f>
        <v>8109833.9599885512</v>
      </c>
      <c r="K14" s="36" t="s">
        <v>33</v>
      </c>
      <c r="L14" s="11">
        <f t="shared" si="0"/>
        <v>17560000</v>
      </c>
      <c r="M14" s="37">
        <f>SUMIF('Tháng 5 nhà T '!$B$4:$B$154,K14,'Tháng 5 nhà T '!$E$4:$E$154)</f>
        <v>5329525.5999999996</v>
      </c>
      <c r="N14" s="37">
        <f>SUMIF('Tháng 5 nhà T '!$B$4:$B$154,K14,'Tháng 5 nhà T '!$F$4:$F$154)</f>
        <v>2770284.626470753</v>
      </c>
      <c r="O14" s="38">
        <f>SUMIF('Tháng 5 nhà T '!$B$4:$B$154,K14,'Tháng 5 nhà T '!$G$4:$G$154)</f>
        <v>20330284.626470752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5553016.866666669</v>
      </c>
      <c r="F15" s="11">
        <v>2886334.5866437703</v>
      </c>
      <c r="G15" s="12">
        <f>Table521117681522293437414651589162332[[#This Row],[LỢI NHUẬN RÒNG]]+Table521117681522293437414651589162332[[#This Row],[VỐN CP]]</f>
        <v>16219667.919977102</v>
      </c>
      <c r="K15" s="25" t="s">
        <v>37</v>
      </c>
      <c r="L15" s="21">
        <f t="shared" si="0"/>
        <v>40833333.333333328</v>
      </c>
      <c r="M15" s="39">
        <f>SUMIF('Tháng 5 nhà T '!$B$4:$B$154,K15,'Tháng 5 nhà T '!$E$4:$E$154)</f>
        <v>18593561.966666669</v>
      </c>
      <c r="N15" s="39">
        <f>SUMIF('Tháng 5 nhà T '!$B$4:$B$154,K15,'Tháng 5 nhà T '!$F$4:$F$154)</f>
        <v>10332531.236018835</v>
      </c>
      <c r="O15" s="40">
        <f>SUMIF('Tháng 5 nhà T '!$B$4:$B$154,K15,'Tháng 5 nhà T '!$G$4:$G$154)</f>
        <v>51165864.569352165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2959896</v>
      </c>
      <c r="F16" s="11">
        <v>1345076.0345996215</v>
      </c>
      <c r="G16" s="12">
        <f>Table521117681522293437414651589162332[[#This Row],[LỢI NHUẬN RÒNG]]+Table521117681522293437414651589162332[[#This Row],[VỐN CP]]</f>
        <v>9295076.0345996208</v>
      </c>
      <c r="K16" s="36" t="s">
        <v>25</v>
      </c>
      <c r="L16" s="21">
        <f t="shared" si="0"/>
        <v>2750000</v>
      </c>
      <c r="M16" s="41">
        <f>SUMIF('Tháng 5 nhà T '!$B$4:$B$154,K16,'Tháng 5 nhà T '!$E$4:$E$154)</f>
        <v>689857.8</v>
      </c>
      <c r="N16" s="41">
        <f>SUMIF('Tháng 5 nhà T '!$B$4:$B$154,K16,'Tháng 5 nhà T '!$F$4:$F$154)</f>
        <v>137819.65836915895</v>
      </c>
      <c r="O16" s="42">
        <f>SUMIF('Tháng 5 nhà T '!$B$4:$B$154,K16,'Tháng 5 nhà T '!$G$4:$G$154)</f>
        <v>2887819.6583691589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2959896</v>
      </c>
      <c r="F17" s="11">
        <v>1345076.0345996215</v>
      </c>
      <c r="G17" s="12">
        <f>Table521117681522293437414651589162332[[#This Row],[LỢI NHUẬN RÒNG]]+Table521117681522293437414651589162332[[#This Row],[VỐN CP]]</f>
        <v>9295076.0345996208</v>
      </c>
      <c r="K17" s="25" t="s">
        <v>47</v>
      </c>
      <c r="L17" s="21">
        <f>SUM(L2:L16)</f>
        <v>1466416666.6666667</v>
      </c>
      <c r="M17" s="21">
        <f>SUM(M2:M16)</f>
        <v>498920644.66666669</v>
      </c>
      <c r="N17" s="21">
        <f>SUM(N2:N16)</f>
        <v>237668503.04746494</v>
      </c>
      <c r="O17" s="21">
        <f>SUM(O2:O16)</f>
        <v>1668567513.534904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986632</v>
      </c>
      <c r="F18" s="11">
        <v>448358.67819987389</v>
      </c>
      <c r="G18" s="12">
        <f>Table521117681522293437414651589162332[[#This Row],[LỢI NHUẬN RÒNG]]+Table521117681522293437414651589162332[[#This Row],[VỐN CP]]</f>
        <v>3098358.6781998738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1973264</v>
      </c>
      <c r="F19" s="11">
        <v>896717.35639974778</v>
      </c>
      <c r="G19" s="12">
        <f>Table521117681522293437414651589162332[[#This Row],[LỢI NHUẬN RÒNG]]+Table521117681522293437414651589162332[[#This Row],[VỐN CP]]</f>
        <v>6196717.3563997475</v>
      </c>
    </row>
    <row r="20" spans="1:15" ht="15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986632</v>
      </c>
      <c r="F20" s="11">
        <v>448358.67819987389</v>
      </c>
      <c r="G20" s="12">
        <f>Table521117681522293437414651589162332[[#This Row],[LỢI NHUẬN RÒNG]]+Table521117681522293437414651589162332[[#This Row],[VỐN CP]]</f>
        <v>3098358.6781998738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3449289</v>
      </c>
      <c r="F21" s="11">
        <v>689098.29184579477</v>
      </c>
      <c r="G21" s="12">
        <f>Table521117681522293437414651589162332[[#This Row],[LỢI NHUẬN RÒNG]]+Table521117681522293437414651589162332[[#This Row],[VỐN CP]]</f>
        <v>14439098.291845795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3449289</v>
      </c>
      <c r="F22" s="11">
        <v>689098.29184579477</v>
      </c>
      <c r="G22" s="12">
        <f>Table521117681522293437414651589162332[[#This Row],[LỢI NHUẬN RÒNG]]+Table521117681522293437414651589162332[[#This Row],[VỐN CP]]</f>
        <v>14439098.291845795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689857.8</v>
      </c>
      <c r="F23" s="11">
        <v>137819.65836915895</v>
      </c>
      <c r="G23" s="12">
        <f>Table521117681522293437414651589162332[[#This Row],[LỢI NHUẬN RÒNG]]+Table521117681522293437414651589162332[[#This Row],[VỐN CP]]</f>
        <v>2887819.6583691589</v>
      </c>
    </row>
    <row r="24" spans="1:15" ht="15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689857.8</v>
      </c>
      <c r="F24" s="11">
        <v>137819.65836915895</v>
      </c>
      <c r="G24" s="12">
        <f>Table521117681522293437414651589162332[[#This Row],[LỢI NHUẬN RÒNG]]+Table521117681522293437414651589162332[[#This Row],[VỐN CP]]</f>
        <v>2887819.6583691589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2759431.2</v>
      </c>
      <c r="F25" s="11">
        <v>551278.63347663579</v>
      </c>
      <c r="G25" s="12">
        <f>Table521117681522293437414651589162332[[#This Row],[LỢI NHUẬN RÒNG]]+Table521117681522293437414651589162332[[#This Row],[VỐN CP]]</f>
        <v>11551278.633476635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1379715.6</v>
      </c>
      <c r="F26" s="11">
        <v>275639.3167383179</v>
      </c>
      <c r="G26" s="12">
        <f>Table521117681522293437414651589162332[[#This Row],[LỢI NHUẬN RÒNG]]+Table521117681522293437414651589162332[[#This Row],[VỐN CP]]</f>
        <v>5775639.3167383177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7259280.7000000002</v>
      </c>
      <c r="F27" s="11">
        <v>1347591.6248927235</v>
      </c>
      <c r="G27" s="12">
        <f>Table521117681522293437414651589162332[[#This Row],[LỢI NHUẬN RÒNG]]+Table521117681522293437414651589162332[[#This Row],[VỐN CP]]</f>
        <v>46585091.624892727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8296320.7999999998</v>
      </c>
      <c r="F28" s="11">
        <v>1540104.7141631127</v>
      </c>
      <c r="G28" s="12">
        <f>Table521117681522293437414651589162332[[#This Row],[LỢI NHUẬN RÒNG]]+Table521117681522293437414651589162332[[#This Row],[VỐN CP]]</f>
        <v>53240104.71416311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2074080.2</v>
      </c>
      <c r="F29" s="11">
        <v>385026.17854077817</v>
      </c>
      <c r="G29" s="12">
        <f>Table521117681522293437414651589162332[[#This Row],[LỢI NHUẬN RÒNG]]+Table521117681522293437414651589162332[[#This Row],[VỐN CP]]</f>
        <v>13310026.178540777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2074080.2</v>
      </c>
      <c r="F30" s="11">
        <v>385026.17854077817</v>
      </c>
      <c r="G30" s="12">
        <f>Table521117681522293437414651589162332[[#This Row],[LỢI NHUẬN RÒNG]]+Table521117681522293437414651589162332[[#This Row],[VỐN CP]]</f>
        <v>13310026.178540777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3873142</v>
      </c>
      <c r="F31" s="11">
        <v>2776643.7865414768</v>
      </c>
      <c r="G31" s="12">
        <f>Table521117681522293437414651589162332[[#This Row],[LỢI NHUẬN RÒNG]]+Table521117681522293437414651589162332[[#This Row],[VỐN CP]]</f>
        <v>11876643.786541477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3873142</v>
      </c>
      <c r="F32" s="11">
        <v>2776643.7865414768</v>
      </c>
      <c r="G32" s="12">
        <f>Table521117681522293437414651589162332[[#This Row],[LỢI NHUẬN RÒNG]]+Table521117681522293437414651589162332[[#This Row],[VỐN CP]]</f>
        <v>11876643.786541477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2213224</v>
      </c>
      <c r="F33" s="11">
        <v>1586653.5923094153</v>
      </c>
      <c r="G33" s="12">
        <f>Table521117681522293437414651589162332[[#This Row],[LỢI NHUẬN RÒNG]]+Table521117681522293437414651589162332[[#This Row],[VỐN CP]]</f>
        <v>6786653.5923094153</v>
      </c>
    </row>
    <row r="34" spans="1:7" ht="15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1106612</v>
      </c>
      <c r="F34" s="11">
        <v>793326.79615470767</v>
      </c>
      <c r="G34" s="12">
        <f>Table521117681522293437414651589162332[[#This Row],[LỢI NHUẬN RÒNG]]+Table521117681522293437414651589162332[[#This Row],[VỐN CP]]</f>
        <v>3393326.7961547077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3672705.4</v>
      </c>
      <c r="F35" s="11">
        <v>2294826.1481792205</v>
      </c>
      <c r="G35" s="12">
        <f>Table521117681522293437414651589162332[[#This Row],[LỢI NHUẬN RÒNG]]+Table521117681522293437414651589162332[[#This Row],[VỐN CP]]</f>
        <v>11394826.14817922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3672705.4</v>
      </c>
      <c r="F36" s="11">
        <v>2294826.1481792205</v>
      </c>
      <c r="G36" s="12">
        <f>Table521117681522293437414651589162332[[#This Row],[LỢI NHUẬN RÒNG]]+Table521117681522293437414651589162332[[#This Row],[VỐN CP]]</f>
        <v>11394826.14817922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2098688.7999999998</v>
      </c>
      <c r="F37" s="11">
        <v>1311329.227530983</v>
      </c>
      <c r="G37" s="12">
        <f>Table521117681522293437414651589162332[[#This Row],[LỢI NHUẬN RÒNG]]+Table521117681522293437414651589162332[[#This Row],[VỐN CP]]</f>
        <v>6511329.2275309833</v>
      </c>
    </row>
    <row r="38" spans="1:7" ht="15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1049344.3999999999</v>
      </c>
      <c r="F38" s="11">
        <v>655664.61376549152</v>
      </c>
      <c r="G38" s="12">
        <f>Table521117681522293437414651589162332[[#This Row],[LỢI NHUẬN RÒNG]]+Table521117681522293437414651589162332[[#This Row],[VỐN CP]]</f>
        <v>3255664.6137654916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2142267.2000000002</v>
      </c>
      <c r="F39" s="11">
        <v>1525500.0805450901</v>
      </c>
      <c r="G39" s="12">
        <f>Table521117681522293437414651589162332[[#This Row],[LỢI NHUẬN RÒNG]]+Table521117681522293437414651589162332[[#This Row],[VỐN CP]]</f>
        <v>6325500.0805450901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3213400.8</v>
      </c>
      <c r="F40" s="11">
        <v>2288250.1208176352</v>
      </c>
      <c r="G40" s="12">
        <f>Table521117681522293437414651589162332[[#This Row],[LỢI NHUẬN RÒNG]]+Table521117681522293437414651589162332[[#This Row],[VỐN CP]]</f>
        <v>9488250.1208176352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3213400.8</v>
      </c>
      <c r="F41" s="11">
        <v>2288250.1208176352</v>
      </c>
      <c r="G41" s="12">
        <f>Table521117681522293437414651589162332[[#This Row],[LỢI NHUẬN RÒNG]]+Table521117681522293437414651589162332[[#This Row],[VỐN CP]]</f>
        <v>9488250.1208176352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2142267.2000000002</v>
      </c>
      <c r="F42" s="11">
        <v>1525500.0805450901</v>
      </c>
      <c r="G42" s="12">
        <f>Table521117681522293437414651589162332[[#This Row],[LỢI NHUẬN RÒNG]]+Table521117681522293437414651589162332[[#This Row],[VỐN CP]]</f>
        <v>6325500.0805450901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797479.6</v>
      </c>
      <c r="F43" s="11">
        <v>75631.751083992422</v>
      </c>
      <c r="G43" s="12">
        <f>Table521117681522293437414651589162332[[#This Row],[LỢI NHUẬN RÒNG]]+Table521117681522293437414651589162332[[#This Row],[VỐN CP]]</f>
        <v>3875631.7510839924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996849.5</v>
      </c>
      <c r="F44" s="11">
        <v>94539.688854990527</v>
      </c>
      <c r="G44" s="12">
        <f>Table521117681522293437414651589162332[[#This Row],[LỢI NHUẬN RÒNG]]+Table521117681522293437414651589162332[[#This Row],[VỐN CP]]</f>
        <v>5094539.6888549905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996849.5</v>
      </c>
      <c r="F45" s="11">
        <v>94539.688854990527</v>
      </c>
      <c r="G45" s="12">
        <f>Table521117681522293437414651589162332[[#This Row],[LỢI NHUẬN RÒNG]]+Table521117681522293437414651589162332[[#This Row],[VỐN CP]]</f>
        <v>5094539.6888549905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1196219.3999999999</v>
      </c>
      <c r="F46" s="11">
        <v>113447.62662598863</v>
      </c>
      <c r="G46" s="12">
        <f>Table521117681522293437414651589162332[[#This Row],[LỢI NHUẬN RÒNG]]+Table521117681522293437414651589162332[[#This Row],[VỐN CP]]</f>
        <v>5813447.6266259886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1722603.4</v>
      </c>
      <c r="F47" s="11">
        <v>721318.74914433656</v>
      </c>
      <c r="G47" s="12">
        <f>Table521117681522293437414651589162332[[#This Row],[LỢI NHUẬN RÒNG]]+Table521117681522293437414651589162332[[#This Row],[VỐN CP]]</f>
        <v>6121318.7491443362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2583905.1</v>
      </c>
      <c r="F48" s="11">
        <v>1081978.1237165048</v>
      </c>
      <c r="G48" s="12">
        <f>Table521117681522293437414651589162332[[#This Row],[LỢI NHUẬN RÒNG]]+Table521117681522293437414651589162332[[#This Row],[VỐN CP]]</f>
        <v>9181978.1237165052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2583905.1</v>
      </c>
      <c r="F49" s="11">
        <v>1081978.1237165048</v>
      </c>
      <c r="G49" s="12">
        <f>Table521117681522293437414651589162332[[#This Row],[LỢI NHUẬN RÒNG]]+Table521117681522293437414651589162332[[#This Row],[VỐN CP]]</f>
        <v>9181978.1237165052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1722603.4</v>
      </c>
      <c r="F50" s="11">
        <v>721318.74914433656</v>
      </c>
      <c r="G50" s="12">
        <f>Table521117681522293437414651589162332[[#This Row],[LỢI NHUẬN RÒNG]]+Table521117681522293437414651589162332[[#This Row],[VỐN CP]]</f>
        <v>6121318.7491443362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1334587.3999999999</v>
      </c>
      <c r="F51" s="11">
        <v>267087.23563781084</v>
      </c>
      <c r="G51" s="12">
        <f>Table521117681522293437414651589162332[[#This Row],[LỢI NHUẬN RÒNG]]+Table521117681522293437414651589162332[[#This Row],[VỐN CP]]</f>
        <v>6867087.235637811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2001881.1</v>
      </c>
      <c r="F52" s="11">
        <v>400630.85345671623</v>
      </c>
      <c r="G52" s="12">
        <f>Table521117681522293437414651589162332[[#This Row],[LỢI NHUẬN RÒNG]]+Table521117681522293437414651589162332[[#This Row],[VỐN CP]]</f>
        <v>10300630.853456717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2001881.1</v>
      </c>
      <c r="F53" s="11">
        <v>400630.85345671623</v>
      </c>
      <c r="G53" s="12">
        <f>Table521117681522293437414651589162332[[#This Row],[LỢI NHUẬN RÒNG]]+Table521117681522293437414651589162332[[#This Row],[VỐN CP]]</f>
        <v>10300630.853456717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1334587.3999999999</v>
      </c>
      <c r="F54" s="11">
        <v>267087.23563781084</v>
      </c>
      <c r="G54" s="12">
        <f>Table521117681522293437414651589162332[[#This Row],[LỢI NHUẬN RÒNG]]+Table521117681522293437414651589162332[[#This Row],[VỐN CP]]</f>
        <v>6867087.235637811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5348430.3</v>
      </c>
      <c r="F55" s="11">
        <v>3379234.950209999</v>
      </c>
      <c r="G55" s="12">
        <f>Table521117681522293437414651589162332[[#This Row],[LỢI NHUẬN RÒNG]]+Table521117681522293437414651589162332[[#This Row],[VỐN CP]]</f>
        <v>17629234.950209998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4457025.25</v>
      </c>
      <c r="F56" s="11">
        <v>2816029.1251749992</v>
      </c>
      <c r="G56" s="12">
        <f>Table521117681522293437414651589162332[[#This Row],[LỢI NHUẬN RÒNG]]+Table521117681522293437414651589162332[[#This Row],[VỐN CP]]</f>
        <v>14691029.125174999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4457025.25</v>
      </c>
      <c r="F57" s="11">
        <v>2816029.1251749992</v>
      </c>
      <c r="G57" s="12">
        <f>Table521117681522293437414651589162332[[#This Row],[LỢI NHUẬN RÒNG]]+Table521117681522293437414651589162332[[#This Row],[VỐN CP]]</f>
        <v>14691029.125174999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3565620.2</v>
      </c>
      <c r="F58" s="11">
        <v>2252823.3001399995</v>
      </c>
      <c r="G58" s="12">
        <f>Table521117681522293437414651589162332[[#This Row],[LỢI NHUẬN RÒNG]]+Table521117681522293437414651589162332[[#This Row],[VỐN CP]]</f>
        <v>11752823.300139999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6123375.2999999998</v>
      </c>
      <c r="F59" s="11">
        <v>4302371.1577356663</v>
      </c>
      <c r="G59" s="12">
        <f>Table521117681522293437414651589162332[[#This Row],[LỢI NHUẬN RÒNG]]+Table521117681522293437414651589162332[[#This Row],[VỐN CP]]</f>
        <v>24252371.157735668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5102812.75</v>
      </c>
      <c r="F60" s="11">
        <v>3585309.2981130551</v>
      </c>
      <c r="G60" s="12">
        <f>Table521117681522293437414651589162332[[#This Row],[LỢI NHUẬN RÒNG]]+Table521117681522293437414651589162332[[#This Row],[VỐN CP]]</f>
        <v>20210309.298113056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5102812.75</v>
      </c>
      <c r="F61" s="11">
        <v>3585309.2981130551</v>
      </c>
      <c r="G61" s="12">
        <f>Table521117681522293437414651589162332[[#This Row],[LỢI NHUẬN RÒNG]]+Table521117681522293437414651589162332[[#This Row],[VỐN CP]]</f>
        <v>20210309.298113056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4082250.2</v>
      </c>
      <c r="F62" s="11">
        <v>2868247.4384904443</v>
      </c>
      <c r="G62" s="12">
        <f>Table521117681522293437414651589162332[[#This Row],[LỢI NHUẬN RÒNG]]+Table521117681522293437414651589162332[[#This Row],[VỐN CP]]</f>
        <v>16168247.438490445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-563280</v>
      </c>
      <c r="F63" s="11">
        <v>-1930603.2397985493</v>
      </c>
      <c r="G63" s="12">
        <f>Table521117681522293437414651589162332[[#This Row],[LỢI NHUẬN RÒNG]]+Table521117681522293437414651589162332[[#This Row],[VỐN CP]]</f>
        <v>5569396.7602014504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-563280</v>
      </c>
      <c r="F64" s="11">
        <v>-1930603.2397985493</v>
      </c>
      <c r="G64" s="12">
        <f>Table521117681522293437414651589162332[[#This Row],[LỢI NHUẬN RÒNG]]+Table521117681522293437414651589162332[[#This Row],[VỐN CP]]</f>
        <v>5569396.7602014504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-1126560</v>
      </c>
      <c r="F65" s="11">
        <v>-3861206.4795970987</v>
      </c>
      <c r="G65" s="12">
        <f>Table521117681522293437414651589162332[[#This Row],[LỢI NHUẬN RÒNG]]+Table521117681522293437414651589162332[[#This Row],[VỐN CP]]</f>
        <v>11138793.520402901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6077373.25</v>
      </c>
      <c r="F66" s="11">
        <v>4507019.8800579607</v>
      </c>
      <c r="G66" s="12">
        <f>Table521117681522293437414651589162332[[#This Row],[LỢI NHUẬN RÒNG]]+Table521117681522293437414651589162332[[#This Row],[VỐN CP]]</f>
        <v>14507019.880057961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6077373.25</v>
      </c>
      <c r="F67" s="11">
        <v>4507019.8800579607</v>
      </c>
      <c r="G67" s="12">
        <f>Table521117681522293437414651589162332[[#This Row],[LỢI NHUẬN RÒNG]]+Table521117681522293437414651589162332[[#This Row],[VỐN CP]]</f>
        <v>14507019.880057961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12154746.5</v>
      </c>
      <c r="F68" s="11">
        <v>9014039.7601159215</v>
      </c>
      <c r="G68" s="12">
        <f>Table521117681522293437414651589162332[[#This Row],[LỢI NHUẬN RÒNG]]+Table521117681522293437414651589162332[[#This Row],[VỐN CP]]</f>
        <v>29014039.760115921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5483132.9000000004</v>
      </c>
      <c r="F69" s="11">
        <v>1247334.7138910801</v>
      </c>
      <c r="G69" s="12">
        <f>Table521117681522293437414651589162332[[#This Row],[LỢI NHUẬN RÒNG]]+Table521117681522293437414651589162332[[#This Row],[VỐN CP]]</f>
        <v>12097334.71389108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5483132.9000000004</v>
      </c>
      <c r="F70" s="11">
        <v>1247334.7138910801</v>
      </c>
      <c r="G70" s="12">
        <f>Table521117681522293437414651589162332[[#This Row],[LỢI NHUẬN RÒNG]]+Table521117681522293437414651589162332[[#This Row],[VỐN CP]]</f>
        <v>12097334.71389108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3133218.8</v>
      </c>
      <c r="F71" s="11">
        <v>712762.69365204568</v>
      </c>
      <c r="G71" s="12">
        <f>Table521117681522293437414651589162332[[#This Row],[LỢI NHUẬN RÒNG]]+Table521117681522293437414651589162332[[#This Row],[VỐN CP]]</f>
        <v>6912762.6936520459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1566609.4</v>
      </c>
      <c r="F72" s="11">
        <v>356381.34682602284</v>
      </c>
      <c r="G72" s="12">
        <f>Table521117681522293437414651589162332[[#This Row],[LỢI NHUẬN RÒNG]]+Table521117681522293437414651589162332[[#This Row],[VỐN CP]]</f>
        <v>3456381.346826023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4691490.2</v>
      </c>
      <c r="F73" s="11">
        <v>3489401.5611383738</v>
      </c>
      <c r="G73" s="12">
        <f>Table521117681522293437414651589162332[[#This Row],[LỢI NHUẬN RÒNG]]+Table521117681522293437414651589162332[[#This Row],[VỐN CP]]</f>
        <v>8289401.5611383738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4691490.2</v>
      </c>
      <c r="F74" s="11">
        <v>3489401.5611383738</v>
      </c>
      <c r="G74" s="12">
        <f>Table521117681522293437414651589162332[[#This Row],[LỢI NHUẬN RÒNG]]+Table521117681522293437414651589162332[[#This Row],[VỐN CP]]</f>
        <v>8289401.5611383738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11728725.5</v>
      </c>
      <c r="F75" s="11">
        <v>8723503.902845934</v>
      </c>
      <c r="G75" s="12">
        <f>Table521117681522293437414651589162332[[#This Row],[LỢI NHUẬN RÒNG]]+Table521117681522293437414651589162332[[#This Row],[VỐN CP]]</f>
        <v>20723503.902845934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2345745.1</v>
      </c>
      <c r="F76" s="11">
        <v>1744700.7805691869</v>
      </c>
      <c r="G76" s="12">
        <f>Table521117681522293437414651589162332[[#This Row],[LỢI NHUẬN RÒNG]]+Table521117681522293437414651589162332[[#This Row],[VỐN CP]]</f>
        <v>4144700.7805691869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5555982.7999999998</v>
      </c>
      <c r="F77" s="11">
        <v>4260406.2420168016</v>
      </c>
      <c r="G77" s="12">
        <f>Table521117681522293437414651589162332[[#This Row],[LỢI NHUẬN RÒNG]]+Table521117681522293437414651589162332[[#This Row],[VỐN CP]]</f>
        <v>16260406.242016802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5555982.7999999998</v>
      </c>
      <c r="F78" s="11">
        <v>4260406.2420168016</v>
      </c>
      <c r="G78" s="12">
        <f>Table521117681522293437414651589162332[[#This Row],[LỢI NHUẬN RÒNG]]+Table521117681522293437414651589162332[[#This Row],[VỐN CP]]</f>
        <v>16260406.242016802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13889957</v>
      </c>
      <c r="F79" s="11">
        <v>10651015.605042003</v>
      </c>
      <c r="G79" s="12">
        <f>Table521117681522293437414651589162332[[#This Row],[LỢI NHUẬN RÒNG]]+Table521117681522293437414651589162332[[#This Row],[VỐN CP]]</f>
        <v>40651015.605042003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2777991.4</v>
      </c>
      <c r="F80" s="11">
        <v>2130203.1210084008</v>
      </c>
      <c r="G80" s="12">
        <f>Table521117681522293437414651589162332[[#This Row],[LỢI NHUẬN RÒNG]]+Table521117681522293437414651589162332[[#This Row],[VỐN CP]]</f>
        <v>8130203.1210084008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3712858.8</v>
      </c>
      <c r="F81" s="11">
        <v>2178961.8198375879</v>
      </c>
      <c r="G81" s="12">
        <f>Table521117681522293437414651589162332[[#This Row],[LỢI NHUẬN RÒNG]]+Table521117681522293437414651589162332[[#This Row],[VỐN CP]]</f>
        <v>10368961.819837589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3712858.8</v>
      </c>
      <c r="F82" s="11">
        <v>2178961.8198375879</v>
      </c>
      <c r="G82" s="12">
        <f>Table521117681522293437414651589162332[[#This Row],[LỢI NHUẬN RÒNG]]+Table521117681522293437414651589162332[[#This Row],[VỐN CP]]</f>
        <v>10368961.819837589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3182450.4</v>
      </c>
      <c r="F83" s="11">
        <v>1867681.5598607897</v>
      </c>
      <c r="G83" s="12">
        <f>Table521117681522293437414651589162332[[#This Row],[LỢI NHUẬN RÒNG]]+Table521117681522293437414651589162332[[#This Row],[VỐN CP]]</f>
        <v>8887681.5598607901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4789995.9000000004</v>
      </c>
      <c r="F84" s="11">
        <v>2358996.0014064922</v>
      </c>
      <c r="G84" s="12">
        <f>Table521117681522293437414651589162332[[#This Row],[LỢI NHUẬN RÒNG]]+Table521117681522293437414651589162332[[#This Row],[VỐN CP]]</f>
        <v>9858996.0014064927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4789995.9000000004</v>
      </c>
      <c r="F85" s="11">
        <v>2358996.0014064922</v>
      </c>
      <c r="G85" s="12">
        <f>Table521117681522293437414651589162332[[#This Row],[LỢI NHUẬN RÒNG]]+Table521117681522293437414651589162332[[#This Row],[VỐN CP]]</f>
        <v>9858996.0014064927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2394997.9500000002</v>
      </c>
      <c r="F86" s="11">
        <v>1179498.0007032461</v>
      </c>
      <c r="G86" s="12">
        <f>Table521117681522293437414651589162332[[#This Row],[LỢI NHUẬN RÒNG]]+Table521117681522293437414651589162332[[#This Row],[VỐN CP]]</f>
        <v>4929498.0007032463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3991663.25</v>
      </c>
      <c r="F87" s="11">
        <v>1965830.0011720771</v>
      </c>
      <c r="G87" s="12">
        <f>Table521117681522293437414651589162332[[#This Row],[LỢI NHUẬN RÒNG]]+Table521117681522293437414651589162332[[#This Row],[VỐN CP]]</f>
        <v>8215830.0011720769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33000000</v>
      </c>
      <c r="E88" s="11">
        <v>16429753.800000001</v>
      </c>
      <c r="F88" s="11">
        <v>9621187.4150730111</v>
      </c>
      <c r="G88" s="12">
        <f>Table521117681522293437414651589162332[[#This Row],[LỢI NHUẬN RÒNG]]+Table521117681522293437414651589162332[[#This Row],[VỐN CP]]</f>
        <v>42621187.415073007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27500000</v>
      </c>
      <c r="E89" s="11">
        <v>13691461.5</v>
      </c>
      <c r="F89" s="11">
        <v>8017656.1792275086</v>
      </c>
      <c r="G89" s="12"/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16500000</v>
      </c>
      <c r="E90" s="11">
        <v>8214876.9000000004</v>
      </c>
      <c r="F90" s="11">
        <v>4810593.7075365055</v>
      </c>
      <c r="G90" s="12">
        <f>Table521117681522293437414651589162332[[#This Row],[LỢI NHUẬN RÒNG]]+Table521117681522293437414651589162332[[#This Row],[VỐN CP]]</f>
        <v>21310593.707536504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22000000</v>
      </c>
      <c r="E91" s="11">
        <v>10953169.199999999</v>
      </c>
      <c r="F91" s="11">
        <v>6414124.9433820071</v>
      </c>
      <c r="G91" s="12">
        <f>Table521117681522293437414651589162332[[#This Row],[LỢI NHUẬN RÒNG]]+Table521117681522293437414651589162332[[#This Row],[VỐN CP]]</f>
        <v>28414124.943382006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11000000</v>
      </c>
      <c r="E92" s="11">
        <v>5476584.5999999996</v>
      </c>
      <c r="F92" s="11">
        <v>3207062.4716910035</v>
      </c>
      <c r="G92" s="12">
        <f>Table521117681522293437414651589162332[[#This Row],[LỢI NHUẬN RÒNG]]+Table521117681522293437414651589162332[[#This Row],[VỐN CP]]</f>
        <v>14207062.471691003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1241018</v>
      </c>
      <c r="F93" s="11">
        <v>9912.3252945505083</v>
      </c>
      <c r="G93" s="12">
        <f>Table521117681522293437414651589162332[[#This Row],[LỢI NHUẬN RÒNG]]+Table521117681522293437414651589162332[[#This Row],[VỐN CP]]</f>
        <v>12509912.325294551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1241018</v>
      </c>
      <c r="F94" s="11">
        <v>9912.3252945505083</v>
      </c>
      <c r="G94" s="12">
        <f>Table521117681522293437414651589162332[[#This Row],[LỢI NHUẬN RÒNG]]+Table521117681522293437414651589162332[[#This Row],[VỐN CP]]</f>
        <v>12509912.325294551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496407.2</v>
      </c>
      <c r="F95" s="11">
        <v>3964.9301178202031</v>
      </c>
      <c r="G95" s="12">
        <f>Table521117681522293437414651589162332[[#This Row],[LỢI NHUẬN RÒNG]]+Table521117681522293437414651589162332[[#This Row],[VỐN CP]]</f>
        <v>5003964.9301178204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1985628.8</v>
      </c>
      <c r="F96" s="11">
        <v>15859.720471280812</v>
      </c>
      <c r="G96" s="12">
        <f>Table521117681522293437414651589162332[[#This Row],[LỢI NHUẬN RÒNG]]+Table521117681522293437414651589162332[[#This Row],[VỐN CP]]</f>
        <v>20015859.720471282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12500000</v>
      </c>
      <c r="E97" s="11">
        <v>6239388.25</v>
      </c>
      <c r="F97" s="11">
        <v>3416519.5772359557</v>
      </c>
      <c r="G97" s="12">
        <f>Table521117681522293437414651589162332[[#This Row],[LỢI NHUẬN RÒNG]]+Table521117681522293437414651589162332[[#This Row],[VỐN CP]]</f>
        <v>15916519.577235956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5000000</v>
      </c>
      <c r="E98" s="11">
        <v>2495755.2999999998</v>
      </c>
      <c r="F98" s="11">
        <v>1366607.8308943822</v>
      </c>
      <c r="G98" s="12">
        <f>Table521117681522293437414651589162332[[#This Row],[LỢI NHUẬN RÒNG]]+Table521117681522293437414651589162332[[#This Row],[VỐN CP]]</f>
        <v>6366607.8308943827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12500000</v>
      </c>
      <c r="E99" s="11">
        <v>6239388.25</v>
      </c>
      <c r="F99" s="11">
        <v>3416519.5772359557</v>
      </c>
      <c r="G99" s="12">
        <f>Table521117681522293437414651589162332[[#This Row],[LỢI NHUẬN RÒNG]]+Table521117681522293437414651589162332[[#This Row],[VỐN CP]]</f>
        <v>15916519.577235956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10000000</v>
      </c>
      <c r="E100" s="11">
        <v>4991510.5999999996</v>
      </c>
      <c r="F100" s="11">
        <v>2733215.6617887644</v>
      </c>
      <c r="G100" s="12">
        <f>Table521117681522293437414651589162332[[#This Row],[LỢI NHUẬN RÒNG]]+Table521117681522293437414651589162332[[#This Row],[VỐN CP]]</f>
        <v>12733215.661788765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10000000</v>
      </c>
      <c r="E101" s="11">
        <v>4991510.5999999996</v>
      </c>
      <c r="F101" s="11">
        <v>2733215.6617887644</v>
      </c>
      <c r="G101" s="12">
        <f>Table521117681522293437414651589162332[[#This Row],[LỢI NHUẬN RÒNG]]+Table521117681522293437414651589162332[[#This Row],[VỐN CP]]</f>
        <v>12733215.661788765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3742698.5</v>
      </c>
      <c r="F102" s="11">
        <v>1837787.1999538019</v>
      </c>
      <c r="G102" s="12">
        <f>Table521117681522293437414651589162332[[#This Row],[LỢI NHUẬN RÒNG]]+Table521117681522293437414651589162332[[#This Row],[VỐN CP]]</f>
        <v>19237787.199953802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3742698.5</v>
      </c>
      <c r="F103" s="11">
        <v>1837787.1999538019</v>
      </c>
      <c r="G103" s="12">
        <f>Table521117681522293437414651589162332[[#This Row],[LỢI NHUẬN RÒNG]]+Table521117681522293437414651589162332[[#This Row],[VỐN CP]]</f>
        <v>19237787.199953802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2994158.8</v>
      </c>
      <c r="F104" s="11">
        <v>1470229.7599630416</v>
      </c>
      <c r="G104" s="12">
        <f>Table521117681522293437414651589162332[[#This Row],[LỢI NHUẬN RÒNG]]+Table521117681522293437414651589162332[[#This Row],[VỐN CP]]</f>
        <v>15390229.759963041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2994158.8</v>
      </c>
      <c r="F105" s="11">
        <v>1470229.7599630416</v>
      </c>
      <c r="G105" s="12">
        <f>Table521117681522293437414651589162332[[#This Row],[LỢI NHUẬN RÒNG]]+Table521117681522293437414651589162332[[#This Row],[VỐN CP]]</f>
        <v>15390229.759963041</v>
      </c>
    </row>
    <row r="106" spans="1:7" ht="15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1497079.4</v>
      </c>
      <c r="F106" s="11">
        <v>735114.87998152082</v>
      </c>
      <c r="G106" s="12">
        <f>Table521117681522293437414651589162332[[#This Row],[LỢI NHUẬN RÒNG]]+Table521117681522293437414651589162332[[#This Row],[VỐN CP]]</f>
        <v>7695114.8799815206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8806244.3000000007</v>
      </c>
      <c r="F107" s="11">
        <v>5503678.4993092204</v>
      </c>
      <c r="G107" s="12">
        <f>Table521117681522293437414651589162332[[#This Row],[LỢI NHUẬN RÒNG]]+Table521117681522293437414651589162332[[#This Row],[VỐN CP]]</f>
        <v>33503678.499309219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8806244.3000000007</v>
      </c>
      <c r="F108" s="11">
        <v>5503678.4993092204</v>
      </c>
      <c r="G108" s="12">
        <f>Table521117681522293437414651589162332[[#This Row],[LỢI NHUẬN RÒNG]]+Table521117681522293437414651589162332[[#This Row],[VỐN CP]]</f>
        <v>33503678.499309219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5032139.5999999996</v>
      </c>
      <c r="F109" s="11">
        <v>3144959.1424624114</v>
      </c>
      <c r="G109" s="12">
        <f>Table521117681522293437414651589162332[[#This Row],[LỢI NHUẬN RÒNG]]+Table521117681522293437414651589162332[[#This Row],[VỐN CP]]</f>
        <v>19144959.14246241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2516069.7999999998</v>
      </c>
      <c r="F110" s="11">
        <v>1572479.5712312057</v>
      </c>
      <c r="G110" s="12">
        <f>Table521117681522293437414651589162332[[#This Row],[LỢI NHUẬN RÒNG]]+Table521117681522293437414651589162332[[#This Row],[VỐN CP]]</f>
        <v>9572479.571231205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2104232.7000000002</v>
      </c>
      <c r="F111" s="11">
        <v>325576.50164146721</v>
      </c>
      <c r="G111" s="12">
        <f>Table521117681522293437414651589162332[[#This Row],[LỢI NHUẬN RÒNG]]+Table521117681522293437414651589162332[[#This Row],[VỐN CP]]</f>
        <v>5725576.5016414672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2104232.7000000002</v>
      </c>
      <c r="F112" s="11">
        <v>325576.50164146721</v>
      </c>
      <c r="G112" s="12">
        <f>Table521117681522293437414651589162332[[#This Row],[LỢI NHUẬN RÒNG]]+Table521117681522293437414651589162332[[#This Row],[VỐN CP]]</f>
        <v>5725576.5016414672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1402821.8</v>
      </c>
      <c r="F113" s="11">
        <v>217051.00109431148</v>
      </c>
      <c r="G113" s="12">
        <f>Table521117681522293437414651589162332[[#This Row],[LỢI NHUẬN RÒNG]]+Table521117681522293437414651589162332[[#This Row],[VỐN CP]]</f>
        <v>3817051.0010943115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1402821.8</v>
      </c>
      <c r="F114" s="11">
        <v>217051.00109431148</v>
      </c>
      <c r="G114" s="12">
        <f>Table521117681522293437414651589162332[[#This Row],[LỢI NHUẬN RÒNG]]+Table521117681522293437414651589162332[[#This Row],[VỐN CP]]</f>
        <v>3817051.0010943115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626661</v>
      </c>
      <c r="F115" s="11">
        <v>-2443960.0731835393</v>
      </c>
      <c r="G115" s="12">
        <f>Table521117681522293437414651589162332[[#This Row],[LỢI NHUẬN RÒNG]]+Table521117681522293437414651589162332[[#This Row],[VỐN CP]]</f>
        <v>8656039.9268164597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626661</v>
      </c>
      <c r="F116" s="11">
        <v>-2443960.0731835393</v>
      </c>
      <c r="G116" s="12">
        <f>Table521117681522293437414651589162332[[#This Row],[LỢI NHUẬN RÒNG]]+Table521117681522293437414651589162332[[#This Row],[VỐN CP]]</f>
        <v>8656039.9268164597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417774</v>
      </c>
      <c r="F117" s="11">
        <v>-1629306.715455693</v>
      </c>
      <c r="G117" s="12">
        <f>Table521117681522293437414651589162332[[#This Row],[LỢI NHUẬN RÒNG]]+Table521117681522293437414651589162332[[#This Row],[VỐN CP]]</f>
        <v>5770693.2845443068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417774</v>
      </c>
      <c r="F118" s="11">
        <v>-1629306.715455693</v>
      </c>
      <c r="G118" s="12">
        <f>Table521117681522293437414651589162332[[#This Row],[LỢI NHUẬN RÒNG]]+Table521117681522293437414651589162332[[#This Row],[VỐN CP]]</f>
        <v>5770693.2845443068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4025864.5</v>
      </c>
      <c r="F119" s="11">
        <v>3219318.9455366959</v>
      </c>
      <c r="G119" s="12">
        <f>Table521117681522293437414651589162332[[#This Row],[LỢI NHUẬN RÒNG]]+Table521117681522293437414651589162332[[#This Row],[VỐN CP]]</f>
        <v>8219318.9455366954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4025864.5</v>
      </c>
      <c r="F120" s="11">
        <v>3219318.9455366959</v>
      </c>
      <c r="G120" s="12">
        <f>Table521117681522293437414651589162332[[#This Row],[LỢI NHUẬN RÒNG]]+Table521117681522293437414651589162332[[#This Row],[VỐN CP]]</f>
        <v>8219318.9455366954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4831037.4000000004</v>
      </c>
      <c r="F121" s="11">
        <v>3863182.7346440344</v>
      </c>
      <c r="G121" s="12">
        <f>Table521117681522293437414651589162332[[#This Row],[LỢI NHUẬN RÒNG]]+Table521117681522293437414651589162332[[#This Row],[VỐN CP]]</f>
        <v>9863182.7346440349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1610345.8</v>
      </c>
      <c r="F122" s="11">
        <v>1287727.5782146782</v>
      </c>
      <c r="G122" s="12">
        <f>Table521117681522293437414651589162332[[#This Row],[LỢI NHUẬN RÒNG]]+Table521117681522293437414651589162332[[#This Row],[VỐN CP]]</f>
        <v>3287727.578214678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1610345.8</v>
      </c>
      <c r="F123" s="11">
        <v>1287727.5782146782</v>
      </c>
      <c r="G123" s="12">
        <f>Table521117681522293437414651589162332[[#This Row],[LỢI NHUẬN RÒNG]]+Table521117681522293437414651589162332[[#This Row],[VỐN CP]]</f>
        <v>3287727.578214678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1788067.5</v>
      </c>
      <c r="F124" s="11">
        <v>199492.87179863601</v>
      </c>
      <c r="G124" s="12">
        <f>Table521117681522293437414651589162332[[#This Row],[LỢI NHUẬN RÒNG]]+Table521117681522293437414651589162332[[#This Row],[VỐN CP]]</f>
        <v>5239492.8717986364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1788067.5</v>
      </c>
      <c r="F125" s="11">
        <v>199492.87179863601</v>
      </c>
      <c r="G125" s="12">
        <f>Table521117681522293437414651589162332[[#This Row],[LỢI NHUẬN RÒNG]]+Table521117681522293437414651589162332[[#This Row],[VỐN CP]]</f>
        <v>5239492.8717986364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1192045</v>
      </c>
      <c r="F126" s="11">
        <v>132995.24786575735</v>
      </c>
      <c r="G126" s="12">
        <f>Table521117681522293437414651589162332[[#This Row],[LỢI NHUẬN RÒNG]]+Table521117681522293437414651589162332[[#This Row],[VỐN CP]]</f>
        <v>3492995.2478657574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1192045</v>
      </c>
      <c r="F127" s="11">
        <v>132995.24786575735</v>
      </c>
      <c r="G127" s="12">
        <f>Table521117681522293437414651589162332[[#This Row],[LỢI NHUẬN RÒNG]]+Table521117681522293437414651589162332[[#This Row],[VỐN CP]]</f>
        <v>3492995.2478657574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3367364.35</v>
      </c>
      <c r="F128" s="11">
        <v>763668.28188216721</v>
      </c>
      <c r="G128" s="12">
        <f>Table521117681522293437414651589162332[[#This Row],[LỢI NHUẬN RÒNG]]+Table521117681522293437414651589162332[[#This Row],[VỐN CP]]</f>
        <v>16513668.281882167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3367364.35</v>
      </c>
      <c r="F129" s="11">
        <v>763668.28188216721</v>
      </c>
      <c r="G129" s="12">
        <f>Table521117681522293437414651589162332[[#This Row],[LỢI NHUẬN RÒNG]]+Table521117681522293437414651589162332[[#This Row],[VỐN CP]]</f>
        <v>16513668.281882167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1924208.2</v>
      </c>
      <c r="F130" s="11">
        <v>436381.87536123843</v>
      </c>
      <c r="G130" s="12">
        <f>Table521117681522293437414651589162332[[#This Row],[LỢI NHUẬN RÒNG]]+Table521117681522293437414651589162332[[#This Row],[VỐN CP]]</f>
        <v>9436381.8753612377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962104.1</v>
      </c>
      <c r="F131" s="11">
        <v>218190.93768061922</v>
      </c>
      <c r="G131" s="12">
        <f>Table521117681522293437414651589162332[[#This Row],[LỢI NHUẬN RÒNG]]+Table521117681522293437414651589162332[[#This Row],[VỐN CP]]</f>
        <v>4718190.9376806188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2466666.666666667</v>
      </c>
      <c r="E132" s="11">
        <v>620664.43333333323</v>
      </c>
      <c r="F132" s="11">
        <v>236812.49682428315</v>
      </c>
      <c r="G132" s="12">
        <f>Table521117681522293437414651589162332[[#This Row],[LỢI NHUẬN RÒNG]]+Table521117681522293437414651589162332[[#This Row],[VỐN CP]]</f>
        <v>2703479.1634909501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3700000.0000000005</v>
      </c>
      <c r="E133" s="11">
        <v>930996.64999999991</v>
      </c>
      <c r="F133" s="11">
        <v>355218.74523642473</v>
      </c>
      <c r="G133" s="12">
        <f>Table521117681522293437414651589162332[[#This Row],[LỢI NHUẬN RÒNG]]+Table521117681522293437414651589162332[[#This Row],[VỐN CP]]</f>
        <v>4055218.7452364252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4933333.333333334</v>
      </c>
      <c r="E134" s="11">
        <v>1241328.8666666665</v>
      </c>
      <c r="F134" s="11">
        <v>473624.99364856631</v>
      </c>
      <c r="G134" s="12">
        <f>Table521117681522293437414651589162332[[#This Row],[LỢI NHUẬN RÒNG]]+Table521117681522293437414651589162332[[#This Row],[VỐN CP]]</f>
        <v>5406958.3269819003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4933333.333333334</v>
      </c>
      <c r="E135" s="11">
        <v>1241328.8666666665</v>
      </c>
      <c r="F135" s="11">
        <v>473624.99364856631</v>
      </c>
      <c r="G135" s="12">
        <f>Table521117681522293437414651589162332[[#This Row],[LỢI NHUẬN RÒNG]]+Table521117681522293437414651589162332[[#This Row],[VỐN CP]]</f>
        <v>5406958.3269819003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4933333.333333334</v>
      </c>
      <c r="E136" s="11">
        <v>1241328.8666666665</v>
      </c>
      <c r="F136" s="11">
        <v>473624.99364856631</v>
      </c>
      <c r="G136" s="12">
        <f>Table521117681522293437414651589162332[[#This Row],[LỢI NHUẬN RÒNG]]+Table521117681522293437414651589162332[[#This Row],[VỐN CP]]</f>
        <v>5406958.3269819003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3700000.0000000005</v>
      </c>
      <c r="E137" s="11">
        <v>930996.64999999991</v>
      </c>
      <c r="F137" s="11">
        <v>355218.74523642473</v>
      </c>
      <c r="G137" s="12">
        <f>Table521117681522293437414651589162332[[#This Row],[LỢI NHUẬN RÒNG]]+Table521117681522293437414651589162332[[#This Row],[VỐN CP]]</f>
        <v>4055218.7452364252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2776508.4333333345</v>
      </c>
      <c r="F138" s="11">
        <v>1443167.2933218852</v>
      </c>
      <c r="G138" s="12">
        <f>Table521117681522293437414651589162332[[#This Row],[LỢI NHUẬN RÒNG]]+Table521117681522293437414651589162332[[#This Row],[VỐN CP]]</f>
        <v>8109833.9599885512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1379715.6</v>
      </c>
      <c r="F139" s="11">
        <v>275639.3167383179</v>
      </c>
      <c r="G139" s="12">
        <f>Table521117681522293437414651589162332[[#This Row],[LỢI NHUẬN RÒNG]]+Table521117681522293437414651589162332[[#This Row],[VỐN CP]]</f>
        <v>5775639.3167383177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1037040.1</v>
      </c>
      <c r="F140" s="11">
        <v>192513.08927038909</v>
      </c>
      <c r="G140" s="12">
        <f>Table521117681522293437414651589162332[[#This Row],[LỢI NHUẬN RÒNG]]+Table521117681522293437414651589162332[[#This Row],[VỐN CP]]</f>
        <v>6655013.0892703887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1435024.2</v>
      </c>
      <c r="F141" s="11">
        <v>95585.437401042131</v>
      </c>
      <c r="G141" s="12">
        <f>Table521117681522293437414651589162332[[#This Row],[LỢI NHUẬN RÒNG]]+Table521117681522293437414651589162332[[#This Row],[VỐN CP]]</f>
        <v>8315585.4374010423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1435024.2</v>
      </c>
      <c r="F142" s="11">
        <v>95585.437401042131</v>
      </c>
      <c r="G142" s="12">
        <f>Table521117681522293437414651589162332[[#This Row],[LỢI NHUẬN RÒNG]]+Table521117681522293437414651589162332[[#This Row],[VỐN CP]]</f>
        <v>8315585.4374010423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1913365.6</v>
      </c>
      <c r="F143" s="11">
        <v>127447.24986805618</v>
      </c>
      <c r="G143" s="12">
        <f>Table521117681522293437414651589162332[[#This Row],[LỢI NHUẬN RÒNG]]+Table521117681522293437414651589162332[[#This Row],[VỐN CP]]</f>
        <v>11087447.249868056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2586997.5</v>
      </c>
      <c r="F144" s="11">
        <v>-612451.17055173439</v>
      </c>
      <c r="G144" s="12">
        <f>Table521117681522293437414651589162332[[#This Row],[LỢI NHUẬN RÒNG]]+Table521117681522293437414651589162332[[#This Row],[VỐN CP]]</f>
        <v>10487548.829448266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3018163.75</v>
      </c>
      <c r="F145" s="11">
        <v>-714526.36564369022</v>
      </c>
      <c r="G145" s="12">
        <f>Table521117681522293437414651589162332[[#This Row],[LỢI NHUẬN RÒNG]]+Table521117681522293437414651589162332[[#This Row],[VỐN CP]]</f>
        <v>12235473.634356311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3018163.75</v>
      </c>
      <c r="F146" s="11">
        <v>-714526.36564369022</v>
      </c>
      <c r="G146" s="12">
        <f>Table521117681522293437414651589162332[[#This Row],[LỢI NHUẬN RÒNG]]+Table521117681522293437414651589162332[[#This Row],[VỐN CP]]</f>
        <v>12235473.634356311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6144941.5999999996</v>
      </c>
      <c r="F147" s="11">
        <v>3951818.073196617</v>
      </c>
      <c r="G147" s="12">
        <f>Table521117681522293437414651589162332[[#This Row],[LỢI NHUẬN RÒNG]]+Table521117681522293437414651589162332[[#This Row],[VỐN CP]]</f>
        <v>13285151.406529948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3072470.8</v>
      </c>
      <c r="F148" s="11">
        <v>1975909.0365983085</v>
      </c>
      <c r="G148" s="12">
        <f>Table521117681522293437414651589162332[[#This Row],[LỢI NHUẬN RÒNG]]+Table521117681522293437414651589162332[[#This Row],[VỐN CP]]</f>
        <v>6642575.7032649741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3072470.8</v>
      </c>
      <c r="F149" s="11">
        <v>1975909.0365983085</v>
      </c>
      <c r="G149" s="12">
        <f>Table521117681522293437414651589162332[[#This Row],[LỢI NHUẬN RÒNG]]+Table521117681522293437414651589162332[[#This Row],[VỐN CP]]</f>
        <v>6642575.7032649741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3072470.8</v>
      </c>
      <c r="F150" s="11">
        <v>1975909.0365983085</v>
      </c>
      <c r="G150" s="12">
        <f>Table521117681522293437414651589162332[[#This Row],[LỢI NHUẬN RÒNG]]+Table521117681522293437414651589162332[[#This Row],[VỐN CP]]</f>
        <v>6642575.7032649741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2407996</v>
      </c>
      <c r="F151" s="11">
        <v>1162760.3803472384</v>
      </c>
      <c r="G151" s="12">
        <f>Table521117681522293437414651589162332[[#This Row],[LỢI NHUẬN RÒNG]]+Table521117681522293437414651589162332[[#This Row],[VỐN CP]]</f>
        <v>7822760.3803472389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2407996</v>
      </c>
      <c r="F152" s="11">
        <v>1162760.3803472384</v>
      </c>
      <c r="G152" s="12">
        <f>Table521117681522293437414651589162332[[#This Row],[LỢI NHUẬN RÒNG]]+Table521117681522293437414651589162332[[#This Row],[VỐN CP]]</f>
        <v>7822760.3803472389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2407996</v>
      </c>
      <c r="F153" s="11">
        <v>1162760.3803472384</v>
      </c>
      <c r="G153" s="12">
        <f>Table521117681522293437414651589162332[[#This Row],[LỢI NHUẬN RÒNG]]+Table521117681522293437414651589162332[[#This Row],[VỐN CP]]</f>
        <v>7822760.3803472389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4815992</v>
      </c>
      <c r="F154" s="21">
        <v>2325520.7606944768</v>
      </c>
      <c r="G154" s="12">
        <f>Table521117681522293437414651589162332[[#This Row],[LỢI NHUẬN RÒNG]]+Table521117681522293437414651589162332[[#This Row],[VỐN CP]]</f>
        <v>15645520.760694478</v>
      </c>
    </row>
    <row r="155" spans="1:8" x14ac:dyDescent="0.3">
      <c r="A155" s="20"/>
      <c r="B155" s="21"/>
      <c r="C155" s="21"/>
      <c r="D155" s="21">
        <f>SUBTOTAL(109,Table521117681522293437414651589162332[VỐN CP])</f>
        <v>17560000</v>
      </c>
      <c r="E155" s="21">
        <f>SUBTOTAL(109,Table521117681522293437414651589162332[LỢI NHUẬN GỘP])</f>
        <v>5329525.5999999996</v>
      </c>
      <c r="F155" s="21">
        <f>SUBTOTAL(109,Table521117681522293437414651589162332[LỢI NHUẬN RÒNG])</f>
        <v>2770284.626470753</v>
      </c>
      <c r="G155" s="21">
        <f>SUBTOTAL(109,Table521117681522293437414651589162332[TỔNG NHẬN])</f>
        <v>20330284.626470752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7823-CAEC-4D37-90D6-0015FE10D588}">
  <sheetPr codeName="Sheet17"/>
  <dimension ref="A1:O416"/>
  <sheetViews>
    <sheetView topLeftCell="A98" workbookViewId="0">
      <selection activeCell="F76" sqref="F76:F352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154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2932399.4</v>
      </c>
      <c r="F3" s="11">
        <v>1980611.3869225385</v>
      </c>
      <c r="G3" s="12">
        <f>D3+Table8414194101324273239434853567142128[[#This Row],[LỢI NHUẬN RÒNG]]</f>
        <v>10380611.386922538</v>
      </c>
      <c r="K3" s="13" t="s">
        <v>10</v>
      </c>
      <c r="L3" s="14">
        <f>SUMIF(Table8414194101324273239434853567142128[CỔ ĐÔNG],K3,Table8414194101324273239434853567142128[VỐN CP])</f>
        <v>47388333.333333336</v>
      </c>
      <c r="M3" s="14">
        <f>SUMIF(Table8414194101324273239434853567142128[CỔ ĐÔNG],K3,Table8414194101324273239434853567142128[LỢI NHUẬN GỘP])</f>
        <v>16957075.300000001</v>
      </c>
      <c r="N3" s="14">
        <f>SUMIF(Table8414194101324273239434853567142128[CỔ ĐÔNG],K3,Table8414194101324273239434853567142128[LỢI NHUẬN RÒNG])</f>
        <v>10444172.991441982</v>
      </c>
      <c r="O3" s="15">
        <f>SUMIF(Table8414194101324273239434853567142128[CỔ ĐÔNG],K3,Table8414194101324273239434853567142128[TỔNG NHẬN])</f>
        <v>57832506.324775316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17850000</v>
      </c>
      <c r="E4" s="11">
        <v>3845979.9</v>
      </c>
      <c r="F4" s="11">
        <v>512482.64150655118</v>
      </c>
      <c r="G4" s="12">
        <f>D4+Table8414194101324273239434853567142128[[#This Row],[LỢI NHUẬN RÒNG]]</f>
        <v>18362482.641506553</v>
      </c>
      <c r="K4" s="13" t="s">
        <v>9</v>
      </c>
      <c r="L4" s="14">
        <f>SUMIF(Table8414194101324273239434853567142128[CỔ ĐÔNG],K4,Table8414194101324273239434853567142128[VỐN CP])</f>
        <v>376789999.99999994</v>
      </c>
      <c r="M4" s="14">
        <f>SUMIF(Table8414194101324273239434853567142128[CỔ ĐÔNG],K4,Table8414194101324273239434853567142128[LỢI NHUẬN GỘP])</f>
        <v>105277256.76416665</v>
      </c>
      <c r="N4" s="14">
        <f>SUMIF(Table8414194101324273239434853567142128[CỔ ĐÔNG],K4,Table8414194101324273239434853567142128[LỢI NHUẬN RÒNG])</f>
        <v>48961757.235560924</v>
      </c>
      <c r="O4" s="15">
        <f>SUMIF(Table8414194101324273239434853567142128[CỔ ĐÔNG],Table9515205111425283340444954578152229[[#This Row],[CỔ ĐÔNG]],Table8414194101324273239434853567142128[TỔNG NHẬN])</f>
        <v>425751757.23556083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12799999.999999998</v>
      </c>
      <c r="E5" s="11">
        <v>-95018.899999999252</v>
      </c>
      <c r="F5" s="11">
        <v>-1386900.4315448934</v>
      </c>
      <c r="G5" s="12">
        <f>D5+Table8414194101324273239434853567142128[[#This Row],[LỢI NHUẬN RÒNG]]</f>
        <v>11413099.568455104</v>
      </c>
      <c r="K5" s="13" t="s">
        <v>13</v>
      </c>
      <c r="L5" s="14">
        <f>SUMIF(Table8414194101324273239434853567142128[CỔ ĐÔNG],K5,Table8414194101324273239434853567142128[VỐN CP])</f>
        <v>63605000</v>
      </c>
      <c r="M5" s="14">
        <f>SUMIF(Table8414194101324273239434853567142128[CỔ ĐÔNG],K5,Table8414194101324273239434853567142128[LỢI NHUẬN GỘP])</f>
        <v>23629555.186666664</v>
      </c>
      <c r="N5" s="14">
        <f>SUMIF(Table8414194101324273239434853567142128[CỔ ĐÔNG],K5,Table8414194101324273239434853567142128[LỢI NHUẬN RÒNG])</f>
        <v>13009824.534625875</v>
      </c>
      <c r="O5" s="15">
        <f>SUMIF(Table8414194101324273239434853567142128[CỔ ĐÔNG],Table9515205111425283340444954578152229[[#This Row],[CỔ ĐÔNG]],Table8414194101324273239434853567142128[TỔNG NHẬN])</f>
        <v>76614824.534625858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15210000</v>
      </c>
      <c r="E6" s="11">
        <v>6283764.5999999996</v>
      </c>
      <c r="F6" s="11">
        <v>2514429.401709768</v>
      </c>
      <c r="G6" s="12">
        <f>D6+Table8414194101324273239434853567142128[[#This Row],[LỢI NHUẬN RÒNG]]</f>
        <v>17724429.401709769</v>
      </c>
      <c r="K6" s="13" t="s">
        <v>15</v>
      </c>
      <c r="L6" s="14">
        <f>SUMIF(Table8414194101324273239434853567142128[CỔ ĐÔNG],K6,Table8414194101324273239434853567142128[VỐN CP])</f>
        <v>27896666.666666668</v>
      </c>
      <c r="M6" s="14">
        <f>SUMIF(Table8414194101324273239434853567142128[CỔ ĐÔNG],K6,Table8414194101324273239434853567142128[LỢI NHUẬN GỘP])</f>
        <v>12299985.599999998</v>
      </c>
      <c r="N6" s="14">
        <f>SUMIF(Table8414194101324273239434853567142128[CỔ ĐÔNG],K6,Table8414194101324273239434853567142128[LỢI NHUẬN RÒNG])</f>
        <v>7514235.3399116956</v>
      </c>
      <c r="O6" s="15">
        <f>SUMIF(Table8414194101324273239434853567142128[CỔ ĐÔNG],K6,Table8414194101324273239434853567142128[TỔNG NHẬN])</f>
        <v>35410902.006578371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306813.2</v>
      </c>
      <c r="F7" s="11">
        <v>-2173566.6091538845</v>
      </c>
      <c r="G7" s="12">
        <f>D7+Table8414194101324273239434853567142128[[#This Row],[LỢI NHUẬN RÒNG]]</f>
        <v>15826433.390846115</v>
      </c>
      <c r="I7" s="11"/>
      <c r="K7" s="13" t="s">
        <v>17</v>
      </c>
      <c r="L7" s="14">
        <f>SUMIF(Table8414194101324273239434853567142128[CỔ ĐÔNG],K7,Table8414194101324273239434853567142128[VỐN CP])</f>
        <v>6795000</v>
      </c>
      <c r="M7" s="14">
        <f>SUMIF(Table8414194101324273239434853567142128[CỔ ĐÔNG],K7,Table8414194101324273239434853567142128[LỢI NHUẬN GỘP])</f>
        <v>3413446.75</v>
      </c>
      <c r="N7" s="14">
        <f>SUMIF(Table8414194101324273239434853567142128[CỔ ĐÔNG],K7,Table8414194101324273239434853567142128[LỢI NHUẬN RÒNG])</f>
        <v>2316832.0806934461</v>
      </c>
      <c r="O7" s="15">
        <f>SUMIF(Table8414194101324273239434853567142128[CỔ ĐÔNG],Table9515205111425283340444954578152229[[#This Row],[CỔ ĐÔNG]],Table8414194101324273239434853567142128[TỔNG NHẬN])</f>
        <v>9111832.0806934461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9500000</v>
      </c>
      <c r="E8" s="11">
        <v>3964773.2041666657</v>
      </c>
      <c r="F8" s="11">
        <v>2466091.9720261656</v>
      </c>
      <c r="G8" s="12">
        <f>D8+Table8414194101324273239434853567142128[[#This Row],[LỢI NHUẬN RÒNG]]</f>
        <v>11966091.972026166</v>
      </c>
      <c r="K8" s="13" t="s">
        <v>19</v>
      </c>
      <c r="L8" s="14">
        <f>SUMIF(Table8414194101324273239434853567142128[CỔ ĐÔNG],K8,Table8414194101324273239434853567142128[VỐN CP])</f>
        <v>392836666.66666669</v>
      </c>
      <c r="M8" s="14">
        <f>SUMIF(Table8414194101324273239434853567142128[CỔ ĐÔNG],K8,Table8414194101324273239434853567142128[LỢI NHUẬN GỘP])</f>
        <v>117820162.09166667</v>
      </c>
      <c r="N8" s="14">
        <f>SUMIF(Table8414194101324273239434853567142128[CỔ ĐÔNG],K8,Table8414194101324273239434853567142128[LỢI NHUẬN RÒNG])</f>
        <v>54853710.789289184</v>
      </c>
      <c r="O8" s="15">
        <f>SUMIF(Table8414194101324273239434853567142128[CỔ ĐÔNG],Table9515205111425283340444954578152229[[#This Row],[CỔ ĐÔNG]],Table8414194101324273239434853567142128[TỔNG NHẬN])</f>
        <v>447690377.45595586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3190222.4000000004</v>
      </c>
      <c r="F9" s="11">
        <v>1983981.1548031901</v>
      </c>
      <c r="G9" s="12">
        <f>D9+Table8414194101324273239434853567142128[[#This Row],[LỢI NHUẬN RÒNG]]</f>
        <v>10983981.15480319</v>
      </c>
      <c r="K9" s="13" t="s">
        <v>21</v>
      </c>
      <c r="L9" s="14">
        <f>SUMIF(Table8414194101324273239434853567142128[CỔ ĐÔNG],K9,Table8414194101324273239434853567142128[VỐN CP])</f>
        <v>346901666.66666669</v>
      </c>
      <c r="M9" s="14">
        <f>SUMIF(Table8414194101324273239434853567142128[CỔ ĐÔNG],K9,Table8414194101324273239434853567142128[LỢI NHUẬN GỘP])</f>
        <v>115179691.62916668</v>
      </c>
      <c r="N9" s="14">
        <f>SUMIF(Table8414194101324273239434853567142128[CỔ ĐÔNG],K9,Table8414194101324273239434853567142128[LỢI NHUẬN RÒNG])</f>
        <v>62359440.381637558</v>
      </c>
      <c r="O9" s="15">
        <f>SUMIF(Table8414194101324273239434853567142128[CỔ ĐÔNG],Table9515205111425283340444954578152229[[#This Row],[CỔ ĐÔNG]],Table8414194101324273239434853567142128[TỔNG NHẬN])</f>
        <v>409261107.04830414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1436683.25</v>
      </c>
      <c r="F10" s="11">
        <v>602372.17186940461</v>
      </c>
      <c r="G10" s="12">
        <f>D10+Table8414194101324273239434853567142128[[#This Row],[LỢI NHUẬN RÒNG]]</f>
        <v>6102372.1718694046</v>
      </c>
      <c r="I10" s="11"/>
      <c r="K10" s="13" t="s">
        <v>23</v>
      </c>
      <c r="L10" s="14">
        <f>SUMIF(Table8414194101324273239434853567142128[CỔ ĐÔNG],K10,Table8414194101324273239434853567142128[VỐN CP])</f>
        <v>35435000</v>
      </c>
      <c r="M10" s="14">
        <f>SUMIF(Table8414194101324273239434853567142128[CỔ ĐÔNG],K10,Table8414194101324273239434853567142128[LỢI NHUẬN GỘP])</f>
        <v>11373310.466666667</v>
      </c>
      <c r="N10" s="14">
        <f>SUMIF(Table8414194101324273239434853567142128[CỔ ĐÔNG],K10,Table8414194101324273239434853567142128[LỢI NHUẬN RÒNG])</f>
        <v>5515590.5772029655</v>
      </c>
      <c r="O10" s="15">
        <f>SUMIF(Table8414194101324273239434853567142128[CỔ ĐÔNG],Table9515205111425283340444954578152229[[#This Row],[CỔ ĐÔNG]],Table8414194101324273239434853567142128[TỔNG NHẬN])</f>
        <v>40950590.577202961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5240367.8666666653</v>
      </c>
      <c r="F11" s="11">
        <v>3901860.0665250095</v>
      </c>
      <c r="G11" s="12">
        <f>D11+Table8414194101324273239434853567142128[[#This Row],[LỢI NHUẬN RÒNG]]</f>
        <v>18681860.066525009</v>
      </c>
      <c r="K11" s="13" t="s">
        <v>25</v>
      </c>
      <c r="L11" s="14">
        <f>SUMIF(Table8414194101324273239434853567142128[CỔ ĐÔNG],K11,Table8414194101324273239434853567142128[VỐN CP])</f>
        <v>96943333.333333328</v>
      </c>
      <c r="M11" s="14">
        <f>SUMIF(Table8414194101324273239434853567142128[CỔ ĐÔNG],K11,Table8414194101324273239434853567142128[LỢI NHUẬN GỘP])</f>
        <v>30558825.520000003</v>
      </c>
      <c r="N11" s="14">
        <f>SUMIF(Table8414194101324273239434853567142128[CỔ ĐÔNG],K11,Table8414194101324273239434853567142128[LỢI NHUẬN RÒNG])</f>
        <v>17344923.16700843</v>
      </c>
      <c r="O11" s="15">
        <f>SUMIF(Table8414194101324273239434853567142128[CỔ ĐÔNG],Table9515205111425283340444954578152229[[#This Row],[CỔ ĐÔNG]],Table8414194101324273239434853567142128[TỔNG NHẬN])</f>
        <v>114288256.50034177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-994011.9</v>
      </c>
      <c r="F12" s="11">
        <v>-2880493.3002320183</v>
      </c>
      <c r="G12" s="12">
        <f>D12+Table8414194101324273239434853567142128[[#This Row],[LỢI NHUẬN RÒNG]]</f>
        <v>10949506.699767981</v>
      </c>
      <c r="K12" s="13" t="s">
        <v>27</v>
      </c>
      <c r="L12" s="14">
        <f>SUMIF(Table8414194101324273239434853567142128[CỔ ĐÔNG],K12,Table8414194101324273239434853567142128[VỐN CP])</f>
        <v>79870000</v>
      </c>
      <c r="M12" s="14">
        <f>SUMIF(Table8414194101324273239434853567142128[CỔ ĐÔNG],K12,Table8414194101324273239434853567142128[LỢI NHUẬN GỘP])</f>
        <v>32766107.624999996</v>
      </c>
      <c r="N12" s="14">
        <f>SUMIF(Table8414194101324273239434853567142128[CỔ ĐÔNG],K12,Table8414194101324273239434853567142128[LỢI NHUẬN RÒNG])</f>
        <v>19976024.108451087</v>
      </c>
      <c r="O12" s="15">
        <f>SUMIF(Table8414194101324273239434853567142128[CỔ ĐÔNG],Table9515205111425283340444954578152229[[#This Row],[CỔ ĐÔNG]],Table8414194101324273239434853567142128[TỔNG NHẬN])</f>
        <v>99846024.108451083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SUMIF(Table8414194101324273239434853567142128[CỔ ĐÔNG],K13,Table8414194101324273239434853567142128[VỐN CP])</f>
        <v>38848333.333333328</v>
      </c>
      <c r="M13" s="14">
        <f>SUMIF(Table8414194101324273239434853567142128[CỔ ĐÔNG],K13,Table8414194101324273239434853567142128[LỢI NHUẬN GỘP])</f>
        <v>14628183.966666667</v>
      </c>
      <c r="N13" s="14">
        <f>SUMIF(Table8414194101324273239434853567142128[CỔ ĐÔNG],K13,Table8414194101324273239434853567142128[LỢI NHUẬN RÒNG])</f>
        <v>7967668.6834061025</v>
      </c>
      <c r="O13" s="15">
        <f>SUMIF(Table8414194101324273239434853567142128[CỔ ĐÔNG],Table9515205111425283340444954578152229[[#This Row],[CỔ ĐÔNG]],Table8414194101324273239434853567142128[TỔNG NHẬN])</f>
        <v>46816002.016739443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20400000</v>
      </c>
      <c r="E14" s="11">
        <v>378023.6</v>
      </c>
      <c r="F14" s="11">
        <v>-3632162.3448977349</v>
      </c>
      <c r="G14" s="12">
        <f>D14+Table8414194101324273239434853567142128[[#This Row],[LỢI NHUẬN RÒNG]]</f>
        <v>16767837.655102264</v>
      </c>
      <c r="K14" s="13" t="s">
        <v>31</v>
      </c>
      <c r="L14" s="14">
        <f>SUMIF(Table8414194101324273239434853567142128[CỔ ĐÔNG],K14,Table8414194101324273239434853567142128[VỐN CP])</f>
        <v>146066666.66666666</v>
      </c>
      <c r="M14" s="14">
        <f>SUMIF(Table8414194101324273239434853567142128[CỔ ĐÔNG],K14,Table8414194101324273239434853567142128[LỢI NHUẬN GỘP])</f>
        <v>50111922.79999999</v>
      </c>
      <c r="N14" s="14">
        <f>SUMIF(Table8414194101324273239434853567142128[CỔ ĐÔNG],K14,Table8414194101324273239434853567142128[LỢI NHUẬN RÒNG])</f>
        <v>25501458.028738029</v>
      </c>
      <c r="O14" s="15">
        <f>SUMIF(Table8414194101324273239434853567142128[CỔ ĐÔNG],Table9515205111425283340444954578152229[[#This Row],[CỔ ĐÔNG]],Table8414194101324273239434853567142128[TỔNG NHẬN])</f>
        <v>171568124.69540471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776007</v>
      </c>
      <c r="F15" s="11">
        <v>-927689.43652547745</v>
      </c>
      <c r="G15" s="12">
        <f>D15+Table8414194101324273239434853567142128[[#This Row],[LỢI NHUẬN RÒNG]]</f>
        <v>8222310.5634745229</v>
      </c>
      <c r="K15" s="13" t="s">
        <v>33</v>
      </c>
      <c r="L15" s="14">
        <f>SUMIF(Table8414194101324273239434853567142128[CỔ ĐÔNG],K15,Table8414194101324273239434853567142128[VỐN CP])</f>
        <v>61608333.333333336</v>
      </c>
      <c r="M15" s="14">
        <f>SUMIF(Table8414194101324273239434853567142128[CỔ ĐÔNG],K15,Table8414194101324273239434853567142128[LỢI NHUẬN GỘP])</f>
        <v>23938840.049999993</v>
      </c>
      <c r="N15" s="14">
        <f>SUMIF(Table8414194101324273239434853567142128[CỔ ĐÔNG],K15,Table8414194101324273239434853567142128[LỢI NHUẬN RÒNG])</f>
        <v>14399323.94475366</v>
      </c>
      <c r="O15" s="15">
        <f>SUMIF(Table8414194101324273239434853567142128[CỔ ĐÔNG],Table9515205111425283340444954578152229[[#This Row],[CỔ ĐÔNG]],Table8414194101324273239434853567142128[TỔNG NHẬN])</f>
        <v>76007657.27808696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3019668</v>
      </c>
      <c r="F16" s="11">
        <v>2320231.8221191033</v>
      </c>
      <c r="G16" s="12">
        <f>D16+Table8414194101324273239434853567142128[[#This Row],[LỢI NHUẬN RÒNG]]</f>
        <v>8480231.8221191037</v>
      </c>
      <c r="K16" s="13" t="s">
        <v>35</v>
      </c>
      <c r="L16" s="14">
        <f>SUMIF(Table8414194101324273239434853567142128[CỔ ĐÔNG],K16,Table8414194101324273239434853567142128[VỐN CP])</f>
        <v>51421666.666666672</v>
      </c>
      <c r="M16" s="14">
        <f>SUMIF(Table8414194101324273239434853567142128[CỔ ĐÔNG],K16,Table8414194101324273239434853567142128[LỢI NHUẬN GỘP])</f>
        <v>18219083.750000004</v>
      </c>
      <c r="N16" s="14">
        <f>SUMIF(Table8414194101324273239434853567142128[CỔ ĐÔNG],K16,Table8414194101324273239434853567142128[LỢI NHUẬN RÒNG])</f>
        <v>10769079.991658032</v>
      </c>
      <c r="O16" s="15">
        <f>SUMIF(Table8414194101324273239434853567142128[CỔ ĐÔNG],Table9515205111425283340444954578152229[[#This Row],[CỔ ĐÔNG]],Table8414194101324273239434853567142128[TỔNG NHẬN])</f>
        <v>62190746.658324711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3320490.4</v>
      </c>
      <c r="F17" s="11">
        <v>2238523.5327519714</v>
      </c>
      <c r="G17" s="12">
        <f>D17+Table8414194101324273239434853567142128[[#This Row],[LỢI NHUẬN RÒNG]]</f>
        <v>11238523.532751972</v>
      </c>
      <c r="K17" s="16" t="s">
        <v>37</v>
      </c>
      <c r="L17" s="17">
        <f>SUMIF(Table8414194101324273239434853567142128[CỔ ĐÔNG],K17,Table8414194101324273239434853567142128[VỐN CP])</f>
        <v>160675000</v>
      </c>
      <c r="M17" s="17">
        <f>SUMIF(Table8414194101324273239434853567142128[CỔ ĐÔNG],K17,Table8414194101324273239434853567142128[LỢI NHUẬN GỘP])</f>
        <v>54681060.899999999</v>
      </c>
      <c r="N17" s="17">
        <f>SUMIF(Table8414194101324273239434853567142128[CỔ ĐÔNG],K17,Table8414194101324273239434853567142128[LỢI NHUẬN RÒNG])</f>
        <v>30751532.643969826</v>
      </c>
      <c r="O17" s="15">
        <f>SUMIF(Table8414194101324273239434853567142128[CỔ ĐÔNG],Table9515205111425283340444954578152229[[#This Row],[CỔ ĐÔNG]],Table8414194101324273239434853567142128[TỔNG NHẬN])</f>
        <v>191426532.64396983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3093620.6</v>
      </c>
      <c r="F18" s="11">
        <v>2489369.5783687308</v>
      </c>
      <c r="G18" s="12">
        <f>D18+Table8414194101324273239434853567142128[[#This Row],[LỢI NHUẬN RÒNG]]</f>
        <v>7489369.5783687308</v>
      </c>
      <c r="K18" s="13" t="s">
        <v>39</v>
      </c>
      <c r="L18" s="17">
        <f>SUMIF(Table8414194101324273239434853567142128[CỔ ĐÔNG],K18,Table8414194101324273239434853567142128[VỐN CP])</f>
        <v>1583333.3333333335</v>
      </c>
      <c r="M18" s="17">
        <f>SUMIF(Table8414194101324273239434853567142128[CỔ ĐÔNG],K18,Table8414194101324273239434853567142128[LỢI NHUẬN GỘP])</f>
        <v>598542.1666666664</v>
      </c>
      <c r="N18" s="17">
        <f>SUMIF(Table8414194101324273239434853567142128[CỔ ĐÔNG],K18,Table8414194101324273239434853567142128[LỢI NHUẬN RÒNG])</f>
        <v>308335.76211788878</v>
      </c>
      <c r="O18" s="15">
        <f>SUMIF(Table8414194101324273239434853567142128[CỔ ĐÔNG],Table9515205111425283340444954578152229[[#This Row],[CỔ ĐÔNG]],Table8414194101324273239434853567142128[TỔNG NHẬN])</f>
        <v>1891669.0954512223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1330899</v>
      </c>
      <c r="F19" s="11">
        <v>856137.47672892513</v>
      </c>
      <c r="G19" s="12">
        <f>D19+Table8414194101324273239434853567142128[[#This Row],[LỢI NHUẬN RÒNG]]</f>
        <v>1956137.476728925</v>
      </c>
      <c r="I19" s="11"/>
      <c r="K19" s="13" t="s">
        <v>41</v>
      </c>
      <c r="L19" s="17">
        <f>SUMIF(Table8414194101324273239434853567142128[CỔ ĐÔNG],K19,Table8414194101324273239434853567142128[VỐN CP])</f>
        <v>2533333.3333333335</v>
      </c>
      <c r="M19" s="17">
        <f>SUMIF(Table8414194101324273239434853567142128[CỔ ĐÔNG],K19,Table8414194101324273239434853567142128[LỢI NHUẬN GỘP])</f>
        <v>656351.1666666664</v>
      </c>
      <c r="N19" s="17">
        <f>SUMIF(Table8414194101324273239434853567142128[CỔ ĐÔNG],K19,Table8414194101324273239434853567142128[LỢI NHUẬN RÒNG])</f>
        <v>199627.95967891216</v>
      </c>
      <c r="O19" s="15">
        <f>SUMIF(Table8414194101324273239434853567142128[CỔ ĐÔNG],Table9515205111425283340444954578152229[[#This Row],[CỔ ĐÔNG]],Table8414194101324273239434853567142128[TỔNG NHẬN])</f>
        <v>2732961.2930122456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837828.4</v>
      </c>
      <c r="F20" s="11">
        <v>565888.96769215388</v>
      </c>
      <c r="G20" s="12">
        <f>D20+Table8414194101324273239434853567142128[[#This Row],[LỢI NHUẬN RÒNG]]</f>
        <v>2965888.967692154</v>
      </c>
      <c r="K20" s="13" t="s">
        <v>42</v>
      </c>
      <c r="L20" s="17">
        <f>SUMIF(Table8414194101324273239434853567142128[CỔ ĐÔNG],K20,Table8414194101324273239434853567142128[VỐN CP])</f>
        <v>2083333.3333333335</v>
      </c>
      <c r="M20" s="17">
        <f>SUMIF(Table8414194101324273239434853567142128[CỔ ĐÔNG],K20,Table8414194101324273239434853567142128[LỢI NHUẬN GỘP])</f>
        <v>1010448.4666666663</v>
      </c>
      <c r="N20" s="17">
        <f>SUMIF(Table8414194101324273239434853567142128[CỔ ĐÔNG],K20,Table8414194101324273239434853567142128[LỢI NHUẬN RÒNG])</f>
        <v>570497.33018723654</v>
      </c>
      <c r="O20" s="15">
        <f>SUMIF(Table8414194101324273239434853567142128[CỔ ĐÔNG],Table9515205111425283340444954578152229[[#This Row],[CỔ ĐÔNG]],Table8414194101324273239434853567142128[TỔNG NHẬN])</f>
        <v>2653830.6635205699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5100000</v>
      </c>
      <c r="E21" s="11">
        <v>1098851.3999999999</v>
      </c>
      <c r="F21" s="11">
        <v>146423.61185901464</v>
      </c>
      <c r="G21" s="12">
        <f>D21+Table8414194101324273239434853567142128[[#This Row],[LỢI NHUẬN RÒNG]]</f>
        <v>5246423.6118590143</v>
      </c>
      <c r="K21" s="13" t="s">
        <v>43</v>
      </c>
      <c r="L21" s="17">
        <f>SUMIF(Table8414194101324273239434853567142128[CỔ ĐÔNG],K21,Table8414194101324273239434853567142128[VỐN CP])</f>
        <v>90518333.333333343</v>
      </c>
      <c r="M21" s="17">
        <f>SUMIF(Table8414194101324273239434853567142128[CỔ ĐÔNG],K21,Table8414194101324273239434853567142128[LỢI NHUẬN GỘP])</f>
        <v>30446875.68333333</v>
      </c>
      <c r="N21" s="17">
        <f>SUMIF(Table8414194101324273239434853567142128[CỔ ĐÔNG],K21,Table8414194101324273239434853567142128[LỢI NHUẬN RÒNG])</f>
        <v>18676992.869312648</v>
      </c>
      <c r="O21" s="15">
        <f>SUMIF(Table8414194101324273239434853567142128[CỔ ĐÔNG],Table9515205111425283340444954578152229[[#This Row],[CỔ ĐÔNG]],Table8414194101324273239434853567142128[TỔNG NHẬN])</f>
        <v>109195326.20264597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4266666.666666666</v>
      </c>
      <c r="E22" s="18">
        <v>-31672.96666666642</v>
      </c>
      <c r="F22" s="18">
        <v>-462300.14384829777</v>
      </c>
      <c r="G22" s="12">
        <f>D22+Table8414194101324273239434853567142128[[#This Row],[LỢI NHUẬN RÒNG]]</f>
        <v>3804366.5228183684</v>
      </c>
      <c r="K22" s="13" t="s">
        <v>44</v>
      </c>
      <c r="L22" s="17">
        <f>SUMIF(Table8414194101324273239434853567142128[CỔ ĐÔNG],K22,Table8414194101324273239434853567142128[VỐN CP])</f>
        <v>4700000</v>
      </c>
      <c r="M22" s="17">
        <f>SUMIF(Table8414194101324273239434853567142128[CỔ ĐÔNG],K22,Table8414194101324273239434853567142128[LỢI NHUẬN GỘP])</f>
        <v>1865353.1999999997</v>
      </c>
      <c r="N22" s="17">
        <f>SUMIF(Table8414194101324273239434853567142128[CỔ ĐÔNG],K22,Table8414194101324273239434853567142128[LỢI NHUẬN RÒNG])</f>
        <v>909443.29335553106</v>
      </c>
      <c r="O22" s="15">
        <f>SUMIF(Table8414194101324273239434853567142128[CỔ ĐÔNG],Table9515205111425283340444954578152229[[#This Row],[CỔ ĐÔNG]],Table8414194101324273239434853567142128[TỔNG NHẬN])</f>
        <v>5609443.2933555311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5070000</v>
      </c>
      <c r="E23" s="11">
        <v>2094588.2</v>
      </c>
      <c r="F23" s="11">
        <v>838143.13390325604</v>
      </c>
      <c r="G23" s="12">
        <f>D23+Table8414194101324273239434853567142128[[#This Row],[LỢI NHUẬN RÒNG]]</f>
        <v>5908143.1339032557</v>
      </c>
      <c r="K23" s="13" t="s">
        <v>45</v>
      </c>
      <c r="L23" s="17">
        <f>SUMIF(Table8414194101324273239434853567142128[CỔ ĐÔNG],K23,Table8414194101324273239434853567142128[VỐN CP])</f>
        <v>13050000</v>
      </c>
      <c r="M23" s="17">
        <f>SUMIF(Table8414194101324273239434853567142128[CỔ ĐÔNG],K23,Table8414194101324273239434853567142128[LỢI NHUẬN GỘP])</f>
        <v>4492065.7</v>
      </c>
      <c r="N23" s="17">
        <f>SUMIF(Table8414194101324273239434853567142128[CỔ ĐÔNG],K23,Table8414194101324273239434853567142128[LỢI NHUẬN RÒNG])</f>
        <v>2033362.0290459509</v>
      </c>
      <c r="O23" s="15">
        <f>SUMIF(Table8414194101324273239434853567142128[CỔ ĐÔNG],Table9515205111425283340444954578152229[[#This Row],[CỔ ĐÔNG]],Table8414194101324273239434853567142128[TỔNG NHẬN])</f>
        <v>15083362.029045949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2932399.4</v>
      </c>
      <c r="F24" s="11">
        <v>1980611.3869225385</v>
      </c>
      <c r="G24" s="12">
        <f>D24+Table8414194101324273239434853567142128[[#This Row],[LỢI NHUẬN RÒNG]]</f>
        <v>10380611.386922538</v>
      </c>
      <c r="K24" s="13" t="s">
        <v>46</v>
      </c>
      <c r="L24" s="17">
        <f>SUMIF(Table8414194101324273239434853567142128[CỔ ĐÔNG],K24,Table8414194101324273239434853567142128[VỐN CP])</f>
        <v>13350000</v>
      </c>
      <c r="M24" s="17">
        <f>SUMIF(Table8414194101324273239434853567142128[CỔ ĐÔNG],K24,Table8414194101324273239434853567142128[LỢI NHUẬN GỘP])</f>
        <v>4080248.3</v>
      </c>
      <c r="N24" s="17">
        <f>SUMIF(Table8414194101324273239434853567142128[CỔ ĐÔNG],K24,Table8414194101324273239434853567142128[LỢI NHUẬN RÒNG])</f>
        <v>1898947.8471817423</v>
      </c>
      <c r="O24" s="15">
        <f>SUMIF(Table8414194101324273239434853567142128[CỔ ĐÔNG],Table9515205111425283340444954578152229[[#This Row],[CỔ ĐÔNG]],Table8414194101324273239434853567142128[TỔNG NHẬN])</f>
        <v>15248947.847181743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17850000</v>
      </c>
      <c r="E25" s="11">
        <v>3845979.9</v>
      </c>
      <c r="F25" s="11">
        <v>512482.64150655118</v>
      </c>
      <c r="G25" s="12">
        <f>D25+Table8414194101324273239434853567142128[[#This Row],[LỢI NHUẬN RÒNG]]</f>
        <v>18362482.641506553</v>
      </c>
      <c r="K25" s="13" t="s">
        <v>47</v>
      </c>
      <c r="L25" s="14">
        <f>SUM(L2:L24)</f>
        <v>2060899999.9999995</v>
      </c>
      <c r="M25" s="14">
        <f>SUM(M2:M24)</f>
        <v>674004393.08333313</v>
      </c>
      <c r="N25" s="14">
        <f>SUM(N2:N24)</f>
        <v>356282781.58922869</v>
      </c>
      <c r="O25" s="14">
        <f>SUM(O2:O24)</f>
        <v>2417182781.5892282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12799999.999999998</v>
      </c>
      <c r="E26" s="11">
        <v>-95018.899999999252</v>
      </c>
      <c r="F26" s="11">
        <v>-1386900.4315448934</v>
      </c>
      <c r="G26" s="12">
        <f>D26+Table8414194101324273239434853567142128[[#This Row],[LỢI NHUẬN RÒNG]]</f>
        <v>11413099.568455104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15210000</v>
      </c>
      <c r="E27" s="11">
        <v>6283764.5999999996</v>
      </c>
      <c r="F27" s="11">
        <v>2514429.401709768</v>
      </c>
      <c r="G27" s="12">
        <f>D27+Table8414194101324273239434853567142128[[#This Row],[LỢI NHUẬN RÒNG]]</f>
        <v>17724429.401709769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306813.2</v>
      </c>
      <c r="F28" s="11">
        <v>-2173566.6091538845</v>
      </c>
      <c r="G28" s="12">
        <f>D28+Table8414194101324273239434853567142128[[#This Row],[LỢI NHUẬN RÒNG]]</f>
        <v>15826433.390846115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11400000</v>
      </c>
      <c r="E29" s="11">
        <v>4757727.8449999988</v>
      </c>
      <c r="F29" s="11">
        <v>2959310.3664313983</v>
      </c>
      <c r="G29" s="12">
        <f>D29+Table8414194101324273239434853567142128[[#This Row],[LỢI NHUẬN RÒNG]]</f>
        <v>14359310.366431398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3828266.8800000008</v>
      </c>
      <c r="F30" s="11">
        <v>2380777.3857638286</v>
      </c>
      <c r="G30" s="12">
        <f>D30+Table8414194101324273239434853567142128[[#This Row],[LỢI NHUẬN RÒNG]]</f>
        <v>13180777.385763828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1149346.6000000001</v>
      </c>
      <c r="F31" s="11">
        <v>481897.7374955237</v>
      </c>
      <c r="G31" s="12">
        <f>D31+Table8414194101324273239434853567142128[[#This Row],[LỢI NHUẬN RÒNG]]</f>
        <v>4881897.7374955239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6550459.8333333321</v>
      </c>
      <c r="F32" s="11">
        <v>4877325.0831562616</v>
      </c>
      <c r="G32" s="12">
        <f>D32+Table8414194101324273239434853567142128[[#This Row],[LỢI NHUẬN RÒNG]]</f>
        <v>23352325.083156262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-1325349.2</v>
      </c>
      <c r="F33" s="11">
        <v>-3840657.7336426913</v>
      </c>
      <c r="G33" s="12">
        <f>D33+Table8414194101324273239434853567142128[[#This Row],[LỢI NHUẬN RÒNG]]</f>
        <v>14599342.266357308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25500000</v>
      </c>
      <c r="E35" s="11">
        <v>472529.5</v>
      </c>
      <c r="F35" s="11">
        <v>-4540202.9311221689</v>
      </c>
      <c r="G35" s="12">
        <f>D35+Table8414194101324273239434853567142128[[#This Row],[LỢI NHUẬN RÒNG]]</f>
        <v>20959797.068877831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1034676</v>
      </c>
      <c r="F36" s="11">
        <v>-1236919.2487006367</v>
      </c>
      <c r="G36" s="12">
        <f>D36+Table8414194101324273239434853567142128[[#This Row],[LỢI NHUẬN RÒNG]]</f>
        <v>10963080.751299363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1509834</v>
      </c>
      <c r="F37" s="11">
        <v>1160115.9110595516</v>
      </c>
      <c r="G37" s="12">
        <f>D37+Table8414194101324273239434853567142128[[#This Row],[LỢI NHUẬN RÒNG]]</f>
        <v>4240115.9110595519</v>
      </c>
      <c r="L37" s="11">
        <f>N25+'Tháng 1 nhà T  '!N17</f>
        <v>633551441.03895497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3320490.4</v>
      </c>
      <c r="F38" s="11">
        <v>2238523.5327519714</v>
      </c>
      <c r="G38" s="12">
        <f>D38+Table8414194101324273239434853567142128[[#This Row],[LỢI NHUẬN RÒNG]]</f>
        <v>11238523.532751972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3093620.6</v>
      </c>
      <c r="F39" s="11">
        <v>2489369.5783687308</v>
      </c>
      <c r="G39" s="12">
        <f>D39+Table8414194101324273239434853567142128[[#This Row],[LỢI NHUẬN RÒNG]]</f>
        <v>7489369.5783687308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1330899</v>
      </c>
      <c r="F40" s="11">
        <v>856137.47672892513</v>
      </c>
      <c r="G40" s="12">
        <f>D40+Table8414194101324273239434853567142128[[#This Row],[LỢI NHUẬN RÒNG]]</f>
        <v>1956137.476728925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1675656.8</v>
      </c>
      <c r="F41" s="11">
        <v>1131777.9353843078</v>
      </c>
      <c r="G41" s="12">
        <f>D41+Table8414194101324273239434853567142128[[#This Row],[LỢI NHUẬN RÒNG]]</f>
        <v>5931777.935384308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5100000</v>
      </c>
      <c r="E42" s="11">
        <v>1098851.3999999999</v>
      </c>
      <c r="F42" s="11">
        <v>146423.61185901464</v>
      </c>
      <c r="G42" s="12">
        <f>D42+Table8414194101324273239434853567142128[[#This Row],[LỢI NHUẬN RÒNG]]</f>
        <v>5246423.6118590143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5070000</v>
      </c>
      <c r="E43" s="11">
        <v>2094588.2</v>
      </c>
      <c r="F43" s="11">
        <v>838143.13390325604</v>
      </c>
      <c r="G43" s="12">
        <f>D43+Table8414194101324273239434853567142128[[#This Row],[LỢI NHUẬN RÒNG]]</f>
        <v>5908143.1339032557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153406.6</v>
      </c>
      <c r="F44" s="11">
        <v>-1086783.3045769422</v>
      </c>
      <c r="G44" s="12">
        <f>D44+Table8414194101324273239434853567142128[[#This Row],[LỢI NHUẬN RÒNG]]</f>
        <v>7913216.6954230573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5700000</v>
      </c>
      <c r="E45" s="11">
        <v>2378863.9224999994</v>
      </c>
      <c r="F45" s="11">
        <v>1479655.1832156992</v>
      </c>
      <c r="G45" s="12">
        <f>D45+Table8414194101324273239434853567142128[[#This Row],[LỢI NHUẬN RÒNG]]</f>
        <v>7179655.1832156992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1914133.4400000004</v>
      </c>
      <c r="F46" s="11">
        <v>1190388.6928819143</v>
      </c>
      <c r="G46" s="12">
        <f>D46+Table8414194101324273239434853567142128[[#This Row],[LỢI NHUẬN RÒNG]]</f>
        <v>6590388.6928819139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862009.95</v>
      </c>
      <c r="F47" s="11">
        <v>361423.30312164279</v>
      </c>
      <c r="G47" s="12">
        <f>D47+Table8414194101324273239434853567142128[[#This Row],[LỢI NHUẬN RÒNG]]</f>
        <v>3661423.3031216427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3930275.8999999994</v>
      </c>
      <c r="F48" s="11">
        <v>2926395.0498937573</v>
      </c>
      <c r="G48" s="12">
        <f>D48+Table8414194101324273239434853567142128[[#This Row],[LỢI NHUẬN RÒNG]]</f>
        <v>14011395.049893757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-994011.9</v>
      </c>
      <c r="F49" s="11">
        <v>-2880493.3002320183</v>
      </c>
      <c r="G49" s="12">
        <f>D49+Table8414194101324273239434853567142128[[#This Row],[LỢI NHUẬN RÒNG]]</f>
        <v>10949506.699767981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1552014</v>
      </c>
      <c r="F51" s="11">
        <v>-1855378.8730509549</v>
      </c>
      <c r="G51" s="12">
        <f>D51+Table8414194101324273239434853567142128[[#This Row],[LỢI NHUẬN RÒNG]]</f>
        <v>16444621.126949046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3019668</v>
      </c>
      <c r="F52" s="11">
        <v>2320231.8221191033</v>
      </c>
      <c r="G52" s="12">
        <f>D52+Table8414194101324273239434853567142128[[#This Row],[LỢI NHUẬN RÒNG]]</f>
        <v>8480231.8221191037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4980735.5999999996</v>
      </c>
      <c r="F53" s="11">
        <v>3357785.2991279573</v>
      </c>
      <c r="G53" s="12">
        <f>D53+Table8414194101324273239434853567142128[[#This Row],[LỢI NHUẬN RÒNG]]</f>
        <v>16857785.299127959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4640430.9000000004</v>
      </c>
      <c r="F54" s="11">
        <v>3734054.3675530963</v>
      </c>
      <c r="G54" s="12">
        <f>D54+Table8414194101324273239434853567142128[[#This Row],[LỢI NHUẬN RÒNG]]</f>
        <v>11234054.367553096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3992697</v>
      </c>
      <c r="F55" s="11">
        <v>2568412.4301867755</v>
      </c>
      <c r="G55" s="12">
        <f>D55+Table8414194101324273239434853567142128[[#This Row],[LỢI NHUẬN RÒNG]]</f>
        <v>5868412.4301867755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4266666.666666666</v>
      </c>
      <c r="E56" s="18">
        <v>-31672.96666666642</v>
      </c>
      <c r="F56" s="18">
        <v>-462300.14384829777</v>
      </c>
      <c r="G56" s="12">
        <f>D56+Table8414194101324273239434853567142128[[#This Row],[LỢI NHUẬN RÒNG]]</f>
        <v>3804366.5228183684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1509834</v>
      </c>
      <c r="F57" s="11">
        <v>1160115.9110595516</v>
      </c>
      <c r="G57" s="12">
        <f>D57+Table8414194101324273239434853567142128[[#This Row],[LỢI NHUẬN RÒNG]]</f>
        <v>4240115.9110595519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830122.6</v>
      </c>
      <c r="F58" s="11">
        <v>559630.88318799285</v>
      </c>
      <c r="G58" s="12">
        <f>D58+Table8414194101324273239434853567142128[[#This Row],[LỢI NHUẬN RÒNG]]</f>
        <v>2809630.883187993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4266666.666666666</v>
      </c>
      <c r="E59" s="11">
        <v>-31672.96666666642</v>
      </c>
      <c r="F59" s="11">
        <v>-462300.14384829777</v>
      </c>
      <c r="G59" s="12">
        <f>D59+Table8414194101324273239434853567142128[[#This Row],[LỢI NHUẬN RÒNG]]</f>
        <v>3804366.5228183684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1546810.3</v>
      </c>
      <c r="F60" s="11">
        <v>1244684.7891843654</v>
      </c>
      <c r="G60" s="12">
        <f>D60+Table8414194101324273239434853567142128[[#This Row],[LỢI NHUẬN RÒNG]]</f>
        <v>3744684.7891843654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11400000</v>
      </c>
      <c r="E61" s="11">
        <v>4757727.8449999988</v>
      </c>
      <c r="F61" s="11">
        <v>2959310.3664313983</v>
      </c>
      <c r="G61" s="12">
        <f>D61+Table8414194101324273239434853567142128[[#This Row],[LỢI NHUẬN RÒNG]]</f>
        <v>14359310.366431398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3828266.8800000008</v>
      </c>
      <c r="F62" s="11">
        <v>2380777.3857638286</v>
      </c>
      <c r="G62" s="12">
        <f>D62+Table8414194101324273239434853567142128[[#This Row],[LỢI NHUẬN RÒNG]]</f>
        <v>13180777.385763828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1724019.9</v>
      </c>
      <c r="F63" s="11">
        <v>722846.60624328558</v>
      </c>
      <c r="G63" s="12">
        <f>D63+Table8414194101324273239434853567142128[[#This Row],[LỢI NHUẬN RÒNG]]</f>
        <v>7322846.6062432854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7860551.7999999989</v>
      </c>
      <c r="F64" s="11">
        <v>5852790.0997875147</v>
      </c>
      <c r="G64" s="12">
        <f>D64+Table8414194101324273239434853567142128[[#This Row],[LỢI NHUẬN RÒNG]]</f>
        <v>28022790.099787515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2661798</v>
      </c>
      <c r="F66" s="11">
        <v>1712274.9534578503</v>
      </c>
      <c r="G66" s="12">
        <f>D66+Table8414194101324273239434853567142128[[#This Row],[LỢI NHUẬN RÒNG]]</f>
        <v>3912274.95345785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5100000</v>
      </c>
      <c r="E67" s="18">
        <v>1098851.3999999999</v>
      </c>
      <c r="F67" s="18">
        <v>146423.61185901464</v>
      </c>
      <c r="G67" s="12">
        <f>D67+Table8414194101324273239434853567142128[[#This Row],[LỢI NHUẬN RÒNG]]</f>
        <v>5246423.6118590143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4266666.666666666</v>
      </c>
      <c r="E68" s="11">
        <v>-31672.96666666642</v>
      </c>
      <c r="F68" s="11">
        <v>-462300.14384829777</v>
      </c>
      <c r="G68" s="12">
        <f>D68+Table8414194101324273239434853567142128[[#This Row],[LỢI NHUẬN RÒNG]]</f>
        <v>3804366.5228183684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5070000</v>
      </c>
      <c r="E69" s="11">
        <v>2094588.2</v>
      </c>
      <c r="F69" s="11">
        <v>838143.13390325604</v>
      </c>
      <c r="G69" s="12">
        <f>D69+Table8414194101324273239434853567142128[[#This Row],[LỢI NHUẬN RÒNG]]</f>
        <v>5908143.1339032557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5100000</v>
      </c>
      <c r="E70" s="11">
        <v>94505.9</v>
      </c>
      <c r="F70" s="11">
        <v>-908040.58622443373</v>
      </c>
      <c r="G70" s="12">
        <f>D70+Table8414194101324273239434853567142128[[#This Row],[LỢI NHUẬN RÒNG]]</f>
        <v>4191959.413775566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517338</v>
      </c>
      <c r="F71" s="11">
        <v>-618459.62435031834</v>
      </c>
      <c r="G71" s="12">
        <f>D71+Table8414194101324273239434853567142128[[#This Row],[LỢI NHUẬN RÒNG]]</f>
        <v>5481540.3756496813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1509834</v>
      </c>
      <c r="F72" s="11">
        <v>1160115.9110595516</v>
      </c>
      <c r="G72" s="12">
        <f>D72+Table8414194101324273239434853567142128[[#This Row],[LỢI NHUẬN RÒNG]]</f>
        <v>4240115.9110595519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1660245.2</v>
      </c>
      <c r="F73" s="11">
        <v>1119261.7663759857</v>
      </c>
      <c r="G73" s="12">
        <f>D73+Table8414194101324273239434853567142128[[#This Row],[LỢI NHUẬN RÒNG]]</f>
        <v>5619261.7663759859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1546810.3</v>
      </c>
      <c r="F74" s="11">
        <v>1244684.7891843654</v>
      </c>
      <c r="G74" s="12">
        <f>D74+Table8414194101324273239434853567142128[[#This Row],[LỢI NHUẬN RÒNG]]</f>
        <v>3744684.7891843654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2661798</v>
      </c>
      <c r="F75" s="11">
        <v>1712274.9534578503</v>
      </c>
      <c r="G75" s="12">
        <f>D75+Table8414194101324273239434853567142128[[#This Row],[LỢI NHUẬN RÒNG]]</f>
        <v>3912274.95345785</v>
      </c>
    </row>
    <row r="76" spans="1:7" ht="15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574673.30000000005</v>
      </c>
      <c r="F76" s="11">
        <v>240948.86874776185</v>
      </c>
      <c r="G76" s="12">
        <f>D76+Table8414194101324273239434853567142128[[#This Row],[LỢI NHUẬN RÒNG]]</f>
        <v>2440948.8687477619</v>
      </c>
    </row>
    <row r="77" spans="1:7" ht="15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2620183.9333333327</v>
      </c>
      <c r="F77" s="11">
        <v>1950930.0332625047</v>
      </c>
      <c r="G77" s="12">
        <f>D77+Table8414194101324273239434853567142128[[#This Row],[LỢI NHUẬN RÒNG]]</f>
        <v>9340930.0332625043</v>
      </c>
    </row>
    <row r="78" spans="1:7" ht="15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517338</v>
      </c>
      <c r="F79" s="11">
        <v>-618459.62435031834</v>
      </c>
      <c r="G79" s="12">
        <f>D79+Table8414194101324273239434853567142128[[#This Row],[LỢI NHUẬN RÒNG]]</f>
        <v>5481540.3756496813</v>
      </c>
    </row>
    <row r="80" spans="1:7" ht="15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1509834</v>
      </c>
      <c r="F80" s="11">
        <v>1160115.9110595516</v>
      </c>
      <c r="G80" s="12">
        <f>D80+Table8414194101324273239434853567142128[[#This Row],[LỢI NHUẬN RÒNG]]</f>
        <v>4240115.9110595519</v>
      </c>
    </row>
    <row r="81" spans="1:7" ht="15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2490367.7999999998</v>
      </c>
      <c r="F81" s="11">
        <v>1678892.6495639787</v>
      </c>
      <c r="G81" s="12">
        <f>D81+Table8414194101324273239434853567142128[[#This Row],[LỢI NHUẬN RÒNG]]</f>
        <v>8428892.6495639794</v>
      </c>
    </row>
    <row r="82" spans="1:7" ht="15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1546810.3</v>
      </c>
      <c r="F82" s="11">
        <v>1244684.7891843654</v>
      </c>
      <c r="G82" s="12">
        <f>D82+Table8414194101324273239434853567142128[[#This Row],[LỢI NHUẬN RÒNG]]</f>
        <v>3744684.7891843654</v>
      </c>
    </row>
    <row r="83" spans="1:7" ht="15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1330899</v>
      </c>
      <c r="F83" s="11">
        <v>856137.47672892513</v>
      </c>
      <c r="G83" s="12">
        <f>D83+Table8414194101324273239434853567142128[[#This Row],[LỢI NHUẬN RÒNG]]</f>
        <v>1956137.476728925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5070000</v>
      </c>
      <c r="E84" s="11">
        <v>2094588.2</v>
      </c>
      <c r="F84" s="11">
        <v>838143.13390325604</v>
      </c>
      <c r="G84" s="12">
        <f>D84+Table8414194101324273239434853567142128[[#This Row],[LỢI NHUẬN RÒNG]]</f>
        <v>5908143.1339032557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776007</v>
      </c>
      <c r="F85" s="11">
        <v>-927689.43652547745</v>
      </c>
      <c r="G85" s="12">
        <f>D85+Table8414194101324273239434853567142128[[#This Row],[LỢI NHUẬN RÒNG]]</f>
        <v>8222310.5634745229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1509834</v>
      </c>
      <c r="F86" s="21">
        <v>1160115.9110595516</v>
      </c>
      <c r="G86" s="12">
        <f>D86+Table8414194101324273239434853567142128[[#This Row],[LỢI NHUẬN RÒNG]]</f>
        <v>4240115.9110595519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9972083.1999999993</v>
      </c>
      <c r="F87" s="21">
        <v>5079447.2346889675</v>
      </c>
      <c r="G87" s="12">
        <f>D87+Table8414194101324273239434853567142128[[#This Row],[LỢI NHUẬN RÒNG]]</f>
        <v>29079447.234688967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7479062.4000000004</v>
      </c>
      <c r="F88" s="21">
        <v>3809585.4260167251</v>
      </c>
      <c r="G88" s="12">
        <f>D88+Table8414194101324273239434853567142128[[#This Row],[LỢI NHUẬN RÒNG]]</f>
        <v>21809585.426016726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1246510.3999999999</v>
      </c>
      <c r="F89" s="21">
        <v>634930.90433612093</v>
      </c>
      <c r="G89" s="12">
        <f>D89+Table8414194101324273239434853567142128[[#This Row],[LỢI NHUẬN RÒNG]]</f>
        <v>3634930.9043361209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2493020.7999999998</v>
      </c>
      <c r="F90" s="21">
        <v>1269861.8086722419</v>
      </c>
      <c r="G90" s="12">
        <f>D90+Table8414194101324273239434853567142128[[#This Row],[LỢI NHUẬN RÒNG]]</f>
        <v>7269861.8086722419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1246510.3999999999</v>
      </c>
      <c r="F91" s="21">
        <v>634930.90433612093</v>
      </c>
      <c r="G91" s="12">
        <f>D91+Table8414194101324273239434853567142128[[#This Row],[LỢI NHUẬN RÒNG]]</f>
        <v>3634930.9043361209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1246510.3999999999</v>
      </c>
      <c r="F92" s="21">
        <v>634930.90433612093</v>
      </c>
      <c r="G92" s="12">
        <f>D92+Table8414194101324273239434853567142128[[#This Row],[LỢI NHUẬN RÒNG]]</f>
        <v>3634930.9043361209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1246510.3999999999</v>
      </c>
      <c r="F93" s="21">
        <v>634930.90433612093</v>
      </c>
      <c r="G93" s="12">
        <f>D93+Table8414194101324273239434853567142128[[#This Row],[LỢI NHUẬN RÒNG]]</f>
        <v>3634930.9043361209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997009.28333333356</v>
      </c>
      <c r="F94" s="21">
        <v>697960.43503404781</v>
      </c>
      <c r="G94" s="12">
        <f>D94+Table8414194101324273239434853567142128[[#This Row],[LỢI NHUẬN RÒNG]]</f>
        <v>2347960.4350340478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5982055.7000000011</v>
      </c>
      <c r="F95" s="21">
        <v>4187762.6102042864</v>
      </c>
      <c r="G95" s="12">
        <f>D95+Table8414194101324273239434853567142128[[#This Row],[LỢI NHUẬN RÒNG]]</f>
        <v>14087762.610204287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997009.28333333356</v>
      </c>
      <c r="F96" s="21">
        <v>697960.43503404781</v>
      </c>
      <c r="G96" s="12">
        <f>D96+Table8414194101324273239434853567142128[[#This Row],[LỢI NHUẬN RÒNG]]</f>
        <v>2347960.4350340478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1994018.5666666671</v>
      </c>
      <c r="F97" s="21">
        <v>1395920.8700680956</v>
      </c>
      <c r="G97" s="12">
        <f>D97+Table8414194101324273239434853567142128[[#This Row],[LỢI NHUẬN RÒNG]]</f>
        <v>4695920.8700680956</v>
      </c>
    </row>
    <row r="98" spans="1:7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997009.28333333356</v>
      </c>
      <c r="F98" s="21">
        <v>697960.43503404781</v>
      </c>
      <c r="G98" s="12">
        <f>D98+Table8414194101324273239434853567142128[[#This Row],[LỢI NHUẬN RÒNG]]</f>
        <v>2347960.4350340478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5982055.7000000011</v>
      </c>
      <c r="F99" s="21">
        <v>4187762.6102042864</v>
      </c>
      <c r="G99" s="12">
        <f>D99+Table8414194101324273239434853567142128[[#This Row],[LỢI NHUẬN RÒNG]]</f>
        <v>14087762.610204287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997009.28333333356</v>
      </c>
      <c r="F100" s="21">
        <v>697960.43503404781</v>
      </c>
      <c r="G100" s="12">
        <f>D100+Table8414194101324273239434853567142128[[#This Row],[LỢI NHUẬN RÒNG]]</f>
        <v>2347960.4350340478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997009.28333333356</v>
      </c>
      <c r="F101" s="21">
        <v>697960.43503404781</v>
      </c>
      <c r="G101" s="12">
        <f>D101+Table8414194101324273239434853567142128[[#This Row],[LỢI NHUẬN RÒNG]]</f>
        <v>2347960.4350340478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997009.28333333356</v>
      </c>
      <c r="F102" s="21">
        <v>697960.43503404781</v>
      </c>
      <c r="G102" s="12">
        <f>D102+Table8414194101324273239434853567142128[[#This Row],[LỢI NHUẬN RÒNG]]</f>
        <v>2347960.4350340478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857373.66666666686</v>
      </c>
      <c r="F103" s="21">
        <v>513243.00342738145</v>
      </c>
      <c r="G103" s="12">
        <f>D103+Table8414194101324273239434853567142128[[#This Row],[LỢI NHUẬN RÒNG]]</f>
        <v>2438243.0034273816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5144242.0000000009</v>
      </c>
      <c r="F104" s="21">
        <v>3079458.0205642884</v>
      </c>
      <c r="G104" s="12">
        <f>D104+Table8414194101324273239434853567142128[[#This Row],[LỢI NHUẬN RÒNG]]</f>
        <v>14629458.020564288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857373.66666666686</v>
      </c>
      <c r="F105" s="21">
        <v>513243.00342738145</v>
      </c>
      <c r="G105" s="12">
        <f>D105+Table8414194101324273239434853567142128[[#This Row],[LỢI NHUẬN RÒNG]]</f>
        <v>2438243.0034273816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1714747.3333333337</v>
      </c>
      <c r="F106" s="21">
        <v>1026486.0068547629</v>
      </c>
      <c r="G106" s="12">
        <f>D106+Table8414194101324273239434853567142128[[#This Row],[LỢI NHUẬN RÒNG]]</f>
        <v>4876486.0068547633</v>
      </c>
    </row>
    <row r="107" spans="1:7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857373.66666666686</v>
      </c>
      <c r="F107" s="21">
        <v>513243.00342738145</v>
      </c>
      <c r="G107" s="12">
        <f>D107+Table8414194101324273239434853567142128[[#This Row],[LỢI NHUẬN RÒNG]]</f>
        <v>2438243.0034273816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5144242.0000000009</v>
      </c>
      <c r="F108" s="21">
        <v>3079458.0205642884</v>
      </c>
      <c r="G108" s="12">
        <f>D108+Table8414194101324273239434853567142128[[#This Row],[LỢI NHUẬN RÒNG]]</f>
        <v>14629458.020564288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857373.66666666686</v>
      </c>
      <c r="F109" s="21">
        <v>513243.00342738145</v>
      </c>
      <c r="G109" s="12">
        <f>D109+Table8414194101324273239434853567142128[[#This Row],[LỢI NHUẬN RÒNG]]</f>
        <v>2438243.0034273816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857373.66666666686</v>
      </c>
      <c r="F110" s="21">
        <v>513243.00342738145</v>
      </c>
      <c r="G110" s="12">
        <f>D110+Table8414194101324273239434853567142128[[#This Row],[LỢI NHUẬN RÒNG]]</f>
        <v>2438243.0034273816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857373.66666666686</v>
      </c>
      <c r="F111" s="21">
        <v>513243.00342738145</v>
      </c>
      <c r="G111" s="12">
        <f>D111+Table8414194101324273239434853567142128[[#This Row],[LỢI NHUẬN RÒNG]]</f>
        <v>2438243.0034273816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666412.61666666658</v>
      </c>
      <c r="F112" s="21">
        <v>439304.72399993875</v>
      </c>
      <c r="G112" s="12">
        <f>D112+Table8414194101324273239434853567142128[[#This Row],[LỢI NHUẬN RÒNG]]</f>
        <v>1639304.7239999387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3998475.6999999993</v>
      </c>
      <c r="F113" s="21">
        <v>2635828.3439996326</v>
      </c>
      <c r="G113" s="12">
        <f>D113+Table8414194101324273239434853567142128[[#This Row],[LỢI NHUẬN RÒNG]]</f>
        <v>9835828.3439996317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666412.61666666658</v>
      </c>
      <c r="F114" s="21">
        <v>439304.72399993875</v>
      </c>
      <c r="G114" s="12">
        <f>D114+Table8414194101324273239434853567142128[[#This Row],[LỢI NHUẬN RÒNG]]</f>
        <v>1639304.7239999387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1332825.2333333332</v>
      </c>
      <c r="F115" s="11">
        <v>878609.44799987751</v>
      </c>
      <c r="G115" s="12">
        <f>D115+Table8414194101324273239434853567142128[[#This Row],[LỢI NHUẬN RÒNG]]</f>
        <v>3278609.4479998774</v>
      </c>
    </row>
    <row r="116" spans="1:7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666412.61666666658</v>
      </c>
      <c r="F116" s="11">
        <v>439304.72399993875</v>
      </c>
      <c r="G116" s="12">
        <f>D116+Table8414194101324273239434853567142128[[#This Row],[LỢI NHUẬN RÒNG]]</f>
        <v>1639304.7239999387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3998475.6999999993</v>
      </c>
      <c r="F117" s="11">
        <v>2635828.3439996326</v>
      </c>
      <c r="G117" s="12">
        <f>D117+Table8414194101324273239434853567142128[[#This Row],[LỢI NHUẬN RÒNG]]</f>
        <v>9835828.3439996317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666412.61666666658</v>
      </c>
      <c r="F118" s="11">
        <v>439304.72399993875</v>
      </c>
      <c r="G118" s="12">
        <f>D118+Table8414194101324273239434853567142128[[#This Row],[LỢI NHUẬN RÒNG]]</f>
        <v>1639304.7239999387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666412.61666666658</v>
      </c>
      <c r="F119" s="11">
        <v>439304.72399993875</v>
      </c>
      <c r="G119" s="12">
        <f>D119+Table8414194101324273239434853567142128[[#This Row],[LỢI NHUẬN RÒNG]]</f>
        <v>1639304.7239999387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666412.61666666658</v>
      </c>
      <c r="F120" s="21">
        <v>439304.72399993875</v>
      </c>
      <c r="G120" s="12">
        <f>D120+Table8414194101324273239434853567142128[[#This Row],[LỢI NHUẬN RÒNG]]</f>
        <v>1639304.7239999387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4623458</v>
      </c>
      <c r="F121" s="11">
        <v>2980852.4155360931</v>
      </c>
      <c r="G121" s="12">
        <f>D121+Table8414194101324273239434853567142128[[#This Row],[LỢI NHUẬN RÒNG]]</f>
        <v>7880852.4155360926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1320988</v>
      </c>
      <c r="F122" s="11">
        <v>851672.11872459797</v>
      </c>
      <c r="G122" s="12">
        <f>D122+Table8414194101324273239434853567142128[[#This Row],[LỢI NHUẬN RÒNG]]</f>
        <v>2251672.1187245981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1320988</v>
      </c>
      <c r="F123" s="11">
        <v>851672.11872459797</v>
      </c>
      <c r="G123" s="12">
        <f>D123+Table8414194101324273239434853567142128[[#This Row],[LỢI NHUẬN RÒNG]]</f>
        <v>2251672.1187245981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1320988</v>
      </c>
      <c r="F124" s="11">
        <v>851672.11872459797</v>
      </c>
      <c r="G124" s="12">
        <f>D124+Table8414194101324273239434853567142128[[#This Row],[LỢI NHUẬN RÒNG]]</f>
        <v>2251672.1187245981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660494</v>
      </c>
      <c r="F125" s="11">
        <v>425836.05936229898</v>
      </c>
      <c r="G125" s="12">
        <f>D125+Table8414194101324273239434853567142128[[#This Row],[LỢI NHUẬN RÒNG]]</f>
        <v>1125836.059362299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2641976</v>
      </c>
      <c r="F126" s="11">
        <v>1703344.2374491959</v>
      </c>
      <c r="G126" s="12">
        <f>D126+Table8414194101324273239434853567142128[[#This Row],[LỢI NHUẬN RÒNG]]</f>
        <v>4503344.2374491962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1320988</v>
      </c>
      <c r="F127" s="21">
        <v>851672.11872459797</v>
      </c>
      <c r="G127" s="12">
        <f>D127+Table8414194101324273239434853567142128[[#This Row],[LỢI NHUẬN RÒNG]]</f>
        <v>2251672.1187245981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2268992.2000000002</v>
      </c>
      <c r="F128" s="11">
        <v>937180.99750478717</v>
      </c>
      <c r="G128" s="12">
        <f>D128+Table8414194101324273239434853567142128[[#This Row],[LỢI NHUẬN RÒNG]]</f>
        <v>9597180.9975047875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1134496.1000000001</v>
      </c>
      <c r="F129" s="11">
        <v>468590.49875239359</v>
      </c>
      <c r="G129" s="12">
        <f>D129+Table8414194101324273239434853567142128[[#This Row],[LỢI NHUẬN RÒNG]]</f>
        <v>4798590.4987523938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1134496.1000000001</v>
      </c>
      <c r="F130" s="11">
        <v>468590.49875239359</v>
      </c>
      <c r="G130" s="12">
        <f>D130+Table8414194101324273239434853567142128[[#This Row],[LỢI NHUẬN RÒNG]]</f>
        <v>4798590.4987523938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2268992.2000000002</v>
      </c>
      <c r="F131" s="11">
        <v>937180.99750478717</v>
      </c>
      <c r="G131" s="12">
        <f>D131+Table8414194101324273239434853567142128[[#This Row],[LỢI NHUẬN RÒNG]]</f>
        <v>9597180.9975047875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567248.05000000005</v>
      </c>
      <c r="F132" s="11">
        <v>234295.24937619679</v>
      </c>
      <c r="G132" s="12">
        <f>D132+Table8414194101324273239434853567142128[[#This Row],[LỢI NHUẬN RÒNG]]</f>
        <v>2399295.2493761969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1134496.1000000001</v>
      </c>
      <c r="F133" s="11">
        <v>468590.49875239359</v>
      </c>
      <c r="G133" s="12">
        <f>D133+Table8414194101324273239434853567142128[[#This Row],[LỢI NHUẬN RÒNG]]</f>
        <v>4798590.4987523938</v>
      </c>
    </row>
    <row r="134" spans="1:7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567248.05000000005</v>
      </c>
      <c r="F134" s="11">
        <v>234295.24937619679</v>
      </c>
      <c r="G134" s="12">
        <f>D134+Table8414194101324273239434853567142128[[#This Row],[LỢI NHUẬN RÒNG]]</f>
        <v>2399295.2493761969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567248.05000000005</v>
      </c>
      <c r="F135" s="11">
        <v>234295.24937619679</v>
      </c>
      <c r="G135" s="12">
        <f>D135+Table8414194101324273239434853567142128[[#This Row],[LỢI NHUẬN RÒNG]]</f>
        <v>2399295.2493761969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1701744.15</v>
      </c>
      <c r="F136" s="11">
        <v>702885.74812859029</v>
      </c>
      <c r="G136" s="12">
        <f>D136+Table8414194101324273239434853567142128[[#This Row],[LỢI NHUẬN RÒNG]]</f>
        <v>7197885.7481285902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975296</v>
      </c>
      <c r="F137" s="11">
        <v>592334.24107114528</v>
      </c>
      <c r="G137" s="12">
        <f>D137+Table8414194101324273239434853567142128[[#This Row],[LỢI NHUẬN RÒNG]]</f>
        <v>1642334.2410711453</v>
      </c>
    </row>
    <row r="138" spans="1:7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975296</v>
      </c>
      <c r="F138" s="11">
        <v>592334.24107114528</v>
      </c>
      <c r="G138" s="12">
        <f>D138+Table8414194101324273239434853567142128[[#This Row],[LỢI NHUẬN RÒNG]]</f>
        <v>1642334.2410711453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4388832</v>
      </c>
      <c r="F139" s="11">
        <v>2665504.0848201537</v>
      </c>
      <c r="G139" s="12">
        <f>D139+Table8414194101324273239434853567142128[[#This Row],[LỢI NHUẬN RÒNG]]</f>
        <v>7390504.0848201532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975296</v>
      </c>
      <c r="F140" s="11">
        <v>592334.24107114528</v>
      </c>
      <c r="G140" s="12">
        <f>D140+Table8414194101324273239434853567142128[[#This Row],[LỢI NHUẬN RÒNG]]</f>
        <v>1642334.2410711453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1509834</v>
      </c>
      <c r="F141" s="21">
        <v>1160115.9110595516</v>
      </c>
      <c r="G141" s="12">
        <f>D141+Table8414194101324273239434853567142128[[#This Row],[LỢI NHUẬN RÒNG]]</f>
        <v>4240115.9110595519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975296</v>
      </c>
      <c r="F142" s="21">
        <v>592334.24107114528</v>
      </c>
      <c r="G142" s="12">
        <f>D142+Table8414194101324273239434853567142128[[#This Row],[LỢI NHUẬN RÒNG]]</f>
        <v>1642334.2410711453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1462944</v>
      </c>
      <c r="F143" s="21">
        <v>888501.36160671781</v>
      </c>
      <c r="G143" s="12">
        <f>D143+Table8414194101324273239434853567142128[[#This Row],[LỢI NHUẬN RÒNG]]</f>
        <v>2463501.361606718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3723914.1333333324</v>
      </c>
      <c r="F144" s="21">
        <v>2662766.0939183668</v>
      </c>
      <c r="G144" s="12">
        <f>D144+Table8414194101324273239434853567142128[[#This Row],[LỢI NHUẬN RÒNG]]</f>
        <v>11062766.093918366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2792935.5999999996</v>
      </c>
      <c r="F145" s="21">
        <v>1997074.5704387752</v>
      </c>
      <c r="G145" s="12">
        <f>D145+Table8414194101324273239434853567142128[[#This Row],[LỢI NHUẬN RÒNG]]</f>
        <v>8297074.5704387752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1861957.0666666662</v>
      </c>
      <c r="F146" s="21">
        <v>1331383.0469591834</v>
      </c>
      <c r="G146" s="12">
        <f>D146+Table8414194101324273239434853567142128[[#This Row],[LỢI NHUẬN RÒNG]]</f>
        <v>5531383.0469591832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5585871.1999999993</v>
      </c>
      <c r="F147" s="21">
        <v>3994149.1408775505</v>
      </c>
      <c r="G147" s="12">
        <f>D147+Table8414194101324273239434853567142128[[#This Row],[LỢI NHUẬN RÒNG]]</f>
        <v>16594149.14087755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1861957.0666666662</v>
      </c>
      <c r="F148" s="21">
        <v>1331383.0469591834</v>
      </c>
      <c r="G148" s="12">
        <f>D148+Table8414194101324273239434853567142128[[#This Row],[LỢI NHUẬN RÒNG]]</f>
        <v>5531383.0469591832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2792935.5999999996</v>
      </c>
      <c r="F149" s="21">
        <v>1997074.5704387752</v>
      </c>
      <c r="G149" s="12">
        <f>D149+Table8414194101324273239434853567142128[[#This Row],[LỢI NHUẬN RÒNG]]</f>
        <v>8297074.5704387752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849796</v>
      </c>
      <c r="F150" s="21">
        <v>443458.23847211449</v>
      </c>
      <c r="G150" s="12">
        <f>D150+Table8414194101324273239434853567142128[[#This Row],[LỢI NHUẬN RÒNG]]</f>
        <v>3293458.2384721143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849796</v>
      </c>
      <c r="F151" s="21">
        <v>443458.23847211449</v>
      </c>
      <c r="G151" s="12">
        <f>D151+Table8414194101324273239434853567142128[[#This Row],[LỢI NHUẬN RÒNG]]</f>
        <v>3293458.2384721143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849796</v>
      </c>
      <c r="F152" s="21">
        <v>443458.23847211449</v>
      </c>
      <c r="G152" s="12">
        <f>D152+Table8414194101324273239434853567142128[[#This Row],[LỢI NHUẬN RÒNG]]</f>
        <v>3293458.2384721143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1699592</v>
      </c>
      <c r="F153" s="21">
        <v>886916.47694422898</v>
      </c>
      <c r="G153" s="12">
        <f>D153+Table8414194101324273239434853567142128[[#This Row],[LỢI NHUẬN RÒNG]]</f>
        <v>6586916.4769442286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1699592</v>
      </c>
      <c r="F154" s="21">
        <v>886916.47694422898</v>
      </c>
      <c r="G154" s="12">
        <f>D154+Table8414194101324273239434853567142128[[#This Row],[LỢI NHUẬN RÒNG]]</f>
        <v>6586916.4769442286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849796</v>
      </c>
      <c r="F155" s="21">
        <v>443458.23847211449</v>
      </c>
      <c r="G155" s="12">
        <f>D155+Table8414194101324273239434853567142128[[#This Row],[LỢI NHUẬN RÒNG]]</f>
        <v>3293458.2384721143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849796</v>
      </c>
      <c r="F156" s="21">
        <v>443458.23847211449</v>
      </c>
      <c r="G156" s="12">
        <f>D156+Table8414194101324273239434853567142128[[#This Row],[LỢI NHUẬN RÒNG]]</f>
        <v>3293458.2384721143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849796</v>
      </c>
      <c r="F157" s="21">
        <v>443458.23847211449</v>
      </c>
      <c r="G157" s="12">
        <f>D157+Table8414194101324273239434853567142128[[#This Row],[LỢI NHUẬN RÒNG]]</f>
        <v>3293458.2384721143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12000000</v>
      </c>
      <c r="E158" s="21">
        <v>1554154.6800000006</v>
      </c>
      <c r="F158" s="21">
        <v>-854184.08259895747</v>
      </c>
      <c r="G158" s="12">
        <f>D158+Table8414194101324273239434853567142128[[#This Row],[LỢI NHUẬN RÒNG]]</f>
        <v>11145815.917401042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2000000</v>
      </c>
      <c r="E159" s="21">
        <v>259025.78000000009</v>
      </c>
      <c r="F159" s="21">
        <v>-142364.01376649289</v>
      </c>
      <c r="G159" s="12">
        <f>D159+Table8414194101324273239434853567142128[[#This Row],[LỢI NHUẬN RÒNG]]</f>
        <v>1857635.9862335071</v>
      </c>
      <c r="H159" s="11"/>
    </row>
    <row r="160" spans="1:10" x14ac:dyDescent="0.3">
      <c r="A160" s="23" t="s">
        <v>57</v>
      </c>
      <c r="B160" s="21" t="s">
        <v>33</v>
      </c>
      <c r="C160" s="21">
        <v>5</v>
      </c>
      <c r="D160" s="21">
        <v>2000000</v>
      </c>
      <c r="E160" s="21">
        <v>259025.78000000009</v>
      </c>
      <c r="F160" s="21">
        <v>-142364.01376649289</v>
      </c>
      <c r="G160" s="12">
        <f>D160+Table8414194101324273239434853567142128[[#This Row],[LỢI NHUẬN RÒNG]]</f>
        <v>1857635.9862335071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4000000</v>
      </c>
      <c r="E161" s="21">
        <v>518051.56000000017</v>
      </c>
      <c r="F161" s="21">
        <v>-284728.02753298578</v>
      </c>
      <c r="G161" s="12">
        <f>D161+Table8414194101324273239434853567142128[[#This Row],[LỢI NHUẬN RÒNG]]</f>
        <v>3715271.9724670141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8000000</v>
      </c>
      <c r="E162" s="21">
        <v>1036103.1200000003</v>
      </c>
      <c r="F162" s="21">
        <v>-569456.05506597157</v>
      </c>
      <c r="G162" s="12">
        <f>D162+Table8414194101324273239434853567142128[[#This Row],[LỢI NHUẬN RÒNG]]</f>
        <v>7430543.9449340282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2000000</v>
      </c>
      <c r="E163" s="21">
        <v>259025.78000000009</v>
      </c>
      <c r="F163" s="21">
        <v>-142364.01376649289</v>
      </c>
      <c r="G163" s="12">
        <f>D163+Table8414194101324273239434853567142128[[#This Row],[LỢI NHUẬN RÒNG]]</f>
        <v>1857635.9862335071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10000000</v>
      </c>
      <c r="E164" s="21">
        <v>1295128.9000000004</v>
      </c>
      <c r="F164" s="21">
        <v>-711820.06883246452</v>
      </c>
      <c r="G164" s="12">
        <f>D164+Table8414194101324273239434853567142128[[#This Row],[LỢI NHUẬN RÒNG]]</f>
        <v>9288179.9311675355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1875000</v>
      </c>
      <c r="E165" s="21">
        <v>768751.56</v>
      </c>
      <c r="F165" s="21">
        <v>427281.40299775661</v>
      </c>
      <c r="G165" s="12">
        <f>D165+Table8414194101324273239434853567142128[[#This Row],[LỢI NHUẬN RÒNG]]</f>
        <v>2302281.4029977564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3750000</v>
      </c>
      <c r="E166" s="21">
        <v>1537503.12</v>
      </c>
      <c r="F166" s="21">
        <v>854562.80599551322</v>
      </c>
      <c r="G166" s="12">
        <f>D166+Table8414194101324273239434853567142128[[#This Row],[LỢI NHUẬN RÒNG]]</f>
        <v>4604562.8059955128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625000</v>
      </c>
      <c r="E167" s="18">
        <v>256250.52</v>
      </c>
      <c r="F167" s="18">
        <v>142427.13433258553</v>
      </c>
      <c r="G167" s="12">
        <f>D167+Table8414194101324273239434853567142128[[#This Row],[LỢI NHUẬN RÒNG]]</f>
        <v>767427.1343325855</v>
      </c>
      <c r="H167" s="11"/>
    </row>
    <row r="168" spans="1:10" x14ac:dyDescent="0.3">
      <c r="A168" s="23" t="s">
        <v>58</v>
      </c>
      <c r="B168" s="21" t="s">
        <v>33</v>
      </c>
      <c r="C168" s="21">
        <v>5</v>
      </c>
      <c r="D168" s="21">
        <v>625000</v>
      </c>
      <c r="E168" s="21">
        <v>256250.52</v>
      </c>
      <c r="F168" s="21">
        <v>142427.13433258553</v>
      </c>
      <c r="G168" s="12">
        <f>D168+Table8414194101324273239434853567142128[[#This Row],[LỢI NHUẬN RÒNG]]</f>
        <v>767427.1343325855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1250000</v>
      </c>
      <c r="E169" s="21">
        <v>512501.04</v>
      </c>
      <c r="F169" s="21">
        <v>284854.26866517105</v>
      </c>
      <c r="G169" s="12">
        <f>D169+Table8414194101324273239434853567142128[[#This Row],[LỢI NHUẬN RÒNG]]</f>
        <v>1534854.268665171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2500000</v>
      </c>
      <c r="E170" s="21">
        <v>1025002.08</v>
      </c>
      <c r="F170" s="21">
        <v>569708.53733034211</v>
      </c>
      <c r="G170" s="12">
        <f>D170+Table8414194101324273239434853567142128[[#This Row],[LỢI NHUẬN RÒNG]]</f>
        <v>3069708.537330342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625000</v>
      </c>
      <c r="E171" s="21">
        <v>256250.52</v>
      </c>
      <c r="F171" s="21">
        <v>142427.13433258553</v>
      </c>
      <c r="G171" s="12">
        <f>D171+Table8414194101324273239434853567142128[[#This Row],[LỢI NHUẬN RÒNG]]</f>
        <v>767427.1343325855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625000</v>
      </c>
      <c r="E172" s="21">
        <v>256250.52</v>
      </c>
      <c r="F172" s="21">
        <v>142427.13433258553</v>
      </c>
      <c r="G172" s="12">
        <f>D172+Table8414194101324273239434853567142128[[#This Row],[LỢI NHUẬN RÒNG]]</f>
        <v>767427.1343325855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625000</v>
      </c>
      <c r="E173" s="21">
        <v>256250.52</v>
      </c>
      <c r="F173" s="21">
        <v>142427.13433258553</v>
      </c>
      <c r="G173" s="12">
        <f>D173+Table8414194101324273239434853567142128[[#This Row],[LỢI NHUẬN RÒNG]]</f>
        <v>767427.1343325855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2755888.4</v>
      </c>
      <c r="F174" s="21">
        <v>1979458.8728125556</v>
      </c>
      <c r="G174" s="12">
        <f>D174+Table8414194101324273239434853567142128[[#This Row],[LỢI NHUẬN RÒNG]]</f>
        <v>9379458.8728125561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688972.1</v>
      </c>
      <c r="F175" s="21">
        <v>494864.71820313891</v>
      </c>
      <c r="G175" s="12">
        <f>D175+Table8414194101324273239434853567142128[[#This Row],[LỢI NHUẬN RÒNG]]</f>
        <v>2344864.718203139</v>
      </c>
      <c r="H175" s="11"/>
    </row>
    <row r="176" spans="1:10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1377944.2</v>
      </c>
      <c r="F176" s="21">
        <v>989729.43640627782</v>
      </c>
      <c r="G176" s="12">
        <f>D176+Table8414194101324273239434853567142128[[#This Row],[LỢI NHUẬN RÒNG]]</f>
        <v>4689729.4364062781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1377944.2</v>
      </c>
      <c r="F177" s="21">
        <v>989729.43640627782</v>
      </c>
      <c r="G177" s="12">
        <f>D177+Table8414194101324273239434853567142128[[#This Row],[LỢI NHUẬN RÒNG]]</f>
        <v>4689729.4364062781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688972.1</v>
      </c>
      <c r="F178" s="21">
        <v>494864.71820313891</v>
      </c>
      <c r="G178" s="12">
        <f>D178+Table8414194101324273239434853567142128[[#This Row],[LỢI NHUẬN RÒNG]]</f>
        <v>2344864.718203139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2755888.4</v>
      </c>
      <c r="F179" s="21">
        <v>1979458.8728125556</v>
      </c>
      <c r="G179" s="12">
        <f>D179+Table8414194101324273239434853567142128[[#This Row],[LỢI NHUẬN RÒNG]]</f>
        <v>9379458.8728125561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1377944.2</v>
      </c>
      <c r="F180" s="21">
        <v>989729.43640627782</v>
      </c>
      <c r="G180" s="12">
        <f>D180+Table8414194101324273239434853567142128[[#This Row],[LỢI NHUẬN RÒNG]]</f>
        <v>4689729.4364062781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688972.1</v>
      </c>
      <c r="F181" s="21">
        <v>494864.71820313891</v>
      </c>
      <c r="G181" s="12">
        <f>D181+Table8414194101324273239434853567142128[[#This Row],[LỢI NHUẬN RÒNG]]</f>
        <v>2344864.718203139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2066916.3</v>
      </c>
      <c r="F182" s="21">
        <v>1484594.1546094166</v>
      </c>
      <c r="G182" s="12">
        <f>D182+Table8414194101324273239434853567142128[[#This Row],[LỢI NHUẬN RÒNG]]</f>
        <v>7034594.1546094166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1197084.3333333328</v>
      </c>
      <c r="F183" s="18">
        <v>616671.52423577756</v>
      </c>
      <c r="G183" s="12">
        <f>D183+Table8414194101324273239434853567142128[[#This Row],[LỢI NHUẬN RÒNG]]</f>
        <v>3783338.1909024445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1795626.4999999993</v>
      </c>
      <c r="F184" s="21">
        <v>925007.28635366634</v>
      </c>
      <c r="G184" s="12">
        <f>D184+Table8414194101324273239434853567142128[[#This Row],[LỢI NHUẬN RÒNG]]</f>
        <v>5675007.2863536663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598542.1666666664</v>
      </c>
      <c r="F185" s="21">
        <v>308335.76211788878</v>
      </c>
      <c r="G185" s="12">
        <f>D185+Table8414194101324273239434853567142128[[#This Row],[LỢI NHUẬN RÒNG]]</f>
        <v>1891669.0954512223</v>
      </c>
      <c r="H185" s="28"/>
    </row>
    <row r="186" spans="1:9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598542.1666666664</v>
      </c>
      <c r="F186" s="21">
        <v>308335.76211788878</v>
      </c>
      <c r="G186" s="12">
        <f>D186+Table8414194101324273239434853567142128[[#This Row],[LỢI NHUẬN RÒNG]]</f>
        <v>1891669.0954512223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1197084.3333333328</v>
      </c>
      <c r="F187" s="21">
        <v>616671.52423577756</v>
      </c>
      <c r="G187" s="12">
        <f>D187+Table8414194101324273239434853567142128[[#This Row],[LỢI NHUẬN RÒNG]]</f>
        <v>3783338.1909024445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1197084.3333333328</v>
      </c>
      <c r="F188" s="21">
        <v>616671.52423577756</v>
      </c>
      <c r="G188" s="12">
        <f>D188+Table8414194101324273239434853567142128[[#This Row],[LỢI NHUẬN RÒNG]]</f>
        <v>3783338.1909024445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1795626.4999999993</v>
      </c>
      <c r="F189" s="21">
        <v>925007.28635366634</v>
      </c>
      <c r="G189" s="12">
        <f>D189+Table8414194101324273239434853567142128[[#This Row],[LỢI NHUẬN RÒNG]]</f>
        <v>5675007.2863536663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598542.1666666664</v>
      </c>
      <c r="F190" s="21">
        <v>308335.76211788878</v>
      </c>
      <c r="G190" s="12">
        <f>D190+Table8414194101324273239434853567142128[[#This Row],[LỢI NHUẬN RÒNG]]</f>
        <v>1891669.0954512223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1197084.3333333328</v>
      </c>
      <c r="F191" s="21">
        <v>616671.52423577756</v>
      </c>
      <c r="G191" s="12">
        <f>D191+Table8414194101324273239434853567142128[[#This Row],[LỢI NHUẬN RÒNG]]</f>
        <v>3783338.1909024445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598542.1666666664</v>
      </c>
      <c r="F192" s="21">
        <v>308335.76211788878</v>
      </c>
      <c r="G192" s="12">
        <f>D192+Table8414194101324273239434853567142128[[#This Row],[LỢI NHUẬN RÒNG]]</f>
        <v>1891669.0954512223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598542.1666666664</v>
      </c>
      <c r="F193" s="21">
        <v>308335.76211788878</v>
      </c>
      <c r="G193" s="12">
        <f>D193+Table8414194101324273239434853567142128[[#This Row],[LỢI NHUẬN RÒNG]]</f>
        <v>1891669.0954512223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598542.1666666664</v>
      </c>
      <c r="F194" s="21">
        <v>308335.76211788878</v>
      </c>
      <c r="G194" s="12">
        <f>D194+Table8414194101324273239434853567142128[[#This Row],[LỢI NHUẬN RÒNG]]</f>
        <v>1891669.0954512223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1235718.8999999999</v>
      </c>
      <c r="F195" s="21">
        <v>786484.70420804317</v>
      </c>
      <c r="G195" s="12">
        <f>D195+Table8414194101324273239434853567142128[[#This Row],[LỢI NHUẬN RÒNG]]</f>
        <v>2286484.7042080434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1235718.8999999999</v>
      </c>
      <c r="F196" s="21">
        <v>786484.70420804317</v>
      </c>
      <c r="G196" s="12">
        <f>D196+Table8414194101324273239434853567142128[[#This Row],[LỢI NHUẬN RÒNG]]</f>
        <v>2286484.7042080434</v>
      </c>
      <c r="H196" s="28"/>
    </row>
    <row r="197" spans="1:8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411906.3</v>
      </c>
      <c r="F197" s="21">
        <v>262161.56806934776</v>
      </c>
      <c r="G197" s="12">
        <f>D197+Table8414194101324273239434853567142128[[#This Row],[LỢI NHUẬN RÒNG]]</f>
        <v>762161.56806934776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823812.6</v>
      </c>
      <c r="F198" s="21">
        <v>524323.13613869553</v>
      </c>
      <c r="G198" s="12">
        <f>D198+Table8414194101324273239434853567142128[[#This Row],[LỢI NHUẬN RÒNG]]</f>
        <v>1524323.1361386955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823812.6</v>
      </c>
      <c r="F199" s="21">
        <v>524323.13613869553</v>
      </c>
      <c r="G199" s="12">
        <f>D199+Table8414194101324273239434853567142128[[#This Row],[LỢI NHUẬN RÒNG]]</f>
        <v>1524323.1361386955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1235718.8999999999</v>
      </c>
      <c r="F200" s="21">
        <v>786484.70420804317</v>
      </c>
      <c r="G200" s="12">
        <f>D200+Table8414194101324273239434853567142128[[#This Row],[LỢI NHUẬN RÒNG]]</f>
        <v>2286484.7042080434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411906.3</v>
      </c>
      <c r="F201" s="21">
        <v>262161.56806934776</v>
      </c>
      <c r="G201" s="12">
        <f>D201+Table8414194101324273239434853567142128[[#This Row],[LỢI NHUẬN RÒNG]]</f>
        <v>762161.56806934776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411906.3</v>
      </c>
      <c r="F202" s="21">
        <v>262161.56806934776</v>
      </c>
      <c r="G202" s="12">
        <f>D202+Table8414194101324273239434853567142128[[#This Row],[LỢI NHUẬN RÒNG]]</f>
        <v>762161.56806934776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411906.3</v>
      </c>
      <c r="F203" s="21">
        <v>262161.56806934776</v>
      </c>
      <c r="G203" s="12">
        <f>D203+Table8414194101324273239434853567142128[[#This Row],[LỢI NHUẬN RÒNG]]</f>
        <v>762161.56806934776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823812.6</v>
      </c>
      <c r="F204" s="21">
        <v>524323.13613869553</v>
      </c>
      <c r="G204" s="12">
        <f>D204+Table8414194101324273239434853567142128[[#This Row],[LỢI NHUẬN RÒNG]]</f>
        <v>1524323.1361386955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411906.3</v>
      </c>
      <c r="F205" s="21">
        <v>262161.56806934776</v>
      </c>
      <c r="G205" s="12">
        <f>D205+Table8414194101324273239434853567142128[[#This Row],[LỢI NHUẬN RÒNG]]</f>
        <v>762161.56806934776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2061595.4</v>
      </c>
      <c r="F206" s="21">
        <v>1406329.0744356378</v>
      </c>
      <c r="G206" s="21">
        <f>Table8414194101324273239434853567142128[[#This Row],[VỐN CP]]+Table8414194101324273239434853567142128[[#This Row],[LỢI NHUẬN RÒNG]]</f>
        <v>5006329.0744356383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5153988.5</v>
      </c>
      <c r="F207" s="21">
        <v>3515822.6860890947</v>
      </c>
      <c r="G207" s="21">
        <f>Table8414194101324273239434853567142128[[#This Row],[VỐN CP]]+Table8414194101324273239434853567142128[[#This Row],[LỢI NHUẬN RÒNG]]</f>
        <v>12515822.686089095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2061595.4</v>
      </c>
      <c r="F208" s="21">
        <v>1406329.0744356378</v>
      </c>
      <c r="G208" s="21">
        <f>Table8414194101324273239434853567142128[[#This Row],[VỐN CP]]+Table8414194101324273239434853567142128[[#This Row],[LỢI NHUẬN RÒNG]]</f>
        <v>5006329.0744356383</v>
      </c>
      <c r="H208" s="28"/>
    </row>
    <row r="209" spans="1:8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1030797.7</v>
      </c>
      <c r="F209" s="21">
        <v>703164.5372178189</v>
      </c>
      <c r="G209" s="21">
        <f>Table8414194101324273239434853567142128[[#This Row],[VỐN CP]]+Table8414194101324273239434853567142128[[#This Row],[LỢI NHUẬN RÒNG]]</f>
        <v>2503164.5372178191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1030797.7</v>
      </c>
      <c r="F210" s="21">
        <v>703164.5372178189</v>
      </c>
      <c r="G210" s="21">
        <f>Table8414194101324273239434853567142128[[#This Row],[VỐN CP]]+Table8414194101324273239434853567142128[[#This Row],[LỢI NHUẬN RÒNG]]</f>
        <v>2503164.5372178191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4123190.8</v>
      </c>
      <c r="F211" s="21">
        <v>2812658.1488712756</v>
      </c>
      <c r="G211" s="21">
        <f>Table8414194101324273239434853567142128[[#This Row],[VỐN CP]]+Table8414194101324273239434853567142128[[#This Row],[LỢI NHUẬN RÒNG]]</f>
        <v>10012658.148871277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2061595.4</v>
      </c>
      <c r="F212" s="21">
        <v>1406329.0744356378</v>
      </c>
      <c r="G212" s="21">
        <f>Table8414194101324273239434853567142128[[#This Row],[VỐN CP]]+Table8414194101324273239434853567142128[[#This Row],[LỢI NHUẬN RÒNG]]</f>
        <v>5006329.0744356383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1030797.7</v>
      </c>
      <c r="F213" s="21">
        <v>703164.5372178189</v>
      </c>
      <c r="G213" s="21">
        <f>Table8414194101324273239434853567142128[[#This Row],[VỐN CP]]+Table8414194101324273239434853567142128[[#This Row],[LỢI NHUẬN RÒNG]]</f>
        <v>2503164.5372178191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2061595.4</v>
      </c>
      <c r="F214" s="21">
        <v>1406329.0744356378</v>
      </c>
      <c r="G214" s="21">
        <f>Table8414194101324273239434853567142128[[#This Row],[VỐN CP]]+Table8414194101324273239434853567142128[[#This Row],[LỢI NHUẬN RÒNG]]</f>
        <v>5006329.0744356383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1371618.3</v>
      </c>
      <c r="F215" s="21">
        <v>760783.83556911792</v>
      </c>
      <c r="G215" s="21">
        <f>Table8414194101324273239434853567142128[[#This Row],[VỐN CP]]+Table8414194101324273239434853567142128[[#This Row],[LỢI NHUẬN RÒNG]]</f>
        <v>6960783.8355691181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2743236.6</v>
      </c>
      <c r="F216" s="21">
        <v>1521567.6711382358</v>
      </c>
      <c r="G216" s="21">
        <f>Table8414194101324273239434853567142128[[#This Row],[VỐN CP]]+Table8414194101324273239434853567142128[[#This Row],[LỢI NHUẬN RÒNG]]</f>
        <v>13921567.671138236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1371618.3</v>
      </c>
      <c r="F217" s="21">
        <v>760783.83556911792</v>
      </c>
      <c r="G217" s="21">
        <f>Table8414194101324273239434853567142128[[#This Row],[VỐN CP]]+Table8414194101324273239434853567142128[[#This Row],[LỢI NHUẬN RÒNG]]</f>
        <v>6960783.8355691181</v>
      </c>
      <c r="H217" s="28"/>
    </row>
    <row r="218" spans="1:8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685809.15</v>
      </c>
      <c r="F218" s="21">
        <v>380391.91778455896</v>
      </c>
      <c r="G218" s="21">
        <f>Table8414194101324273239434853567142128[[#This Row],[VỐN CP]]+Table8414194101324273239434853567142128[[#This Row],[LỢI NHUẬN RÒNG]]</f>
        <v>3480391.9177845591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685809.15</v>
      </c>
      <c r="F219" s="21">
        <v>380391.91778455896</v>
      </c>
      <c r="G219" s="21">
        <f>Table8414194101324273239434853567142128[[#This Row],[VỐN CP]]+Table8414194101324273239434853567142128[[#This Row],[LỢI NHUẬN RÒNG]]</f>
        <v>3480391.9177845591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1371618.3</v>
      </c>
      <c r="F220" s="21">
        <v>760783.83556911792</v>
      </c>
      <c r="G220" s="21">
        <f>Table8414194101324273239434853567142128[[#This Row],[VỐN CP]]+Table8414194101324273239434853567142128[[#This Row],[LỢI NHUẬN RÒNG]]</f>
        <v>6960783.8355691181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685809.15</v>
      </c>
      <c r="F221" s="21">
        <v>380391.91778455896</v>
      </c>
      <c r="G221" s="21">
        <f>Table8414194101324273239434853567142128[[#This Row],[VỐN CP]]+Table8414194101324273239434853567142128[[#This Row],[LỢI NHUẬN RÒNG]]</f>
        <v>3480391.9177845591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1371618.3</v>
      </c>
      <c r="F222" s="21">
        <v>760783.83556911792</v>
      </c>
      <c r="G222" s="21">
        <f>Table8414194101324273239434853567142128[[#This Row],[VỐN CP]]+Table8414194101324273239434853567142128[[#This Row],[LỢI NHUẬN RÒNG]]</f>
        <v>6960783.8355691181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1371618.3</v>
      </c>
      <c r="F223" s="21">
        <v>760783.83556911792</v>
      </c>
      <c r="G223" s="21">
        <f>Table8414194101324273239434853567142128[[#This Row],[VỐN CP]]+Table8414194101324273239434853567142128[[#This Row],[LỢI NHUẬN RÒNG]]</f>
        <v>6960783.8355691181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685809.15</v>
      </c>
      <c r="F224" s="21">
        <v>380391.91778455896</v>
      </c>
      <c r="G224" s="21">
        <f>Table8414194101324273239434853567142128[[#This Row],[VỐN CP]]+Table8414194101324273239434853567142128[[#This Row],[LỢI NHUẬN RÒNG]]</f>
        <v>3480391.9177845591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1371618.3</v>
      </c>
      <c r="F225" s="21">
        <v>760783.83556911792</v>
      </c>
      <c r="G225" s="21">
        <f>Table8414194101324273239434853567142128[[#This Row],[VỐN CP]]+Table8414194101324273239434853567142128[[#This Row],[LỢI NHUẬN RÒNG]]</f>
        <v>6960783.8355691181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1764436</v>
      </c>
      <c r="F226" s="21">
        <v>812020.82223767636</v>
      </c>
      <c r="G226" s="21">
        <f>Table8414194101324273239434853567142128[[#This Row],[VỐN CP]]+Table8414194101324273239434853567142128[[#This Row],[LỢI NHUẬN RÒNG]]</f>
        <v>4512020.822237676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3528872</v>
      </c>
      <c r="F227" s="21">
        <v>1624041.6444753527</v>
      </c>
      <c r="G227" s="21">
        <f>Table8414194101324273239434853567142128[[#This Row],[VỐN CP]]+Table8414194101324273239434853567142128[[#This Row],[LỢI NHUẬN RÒNG]]</f>
        <v>9024041.644475352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1764436</v>
      </c>
      <c r="F228" s="21">
        <v>812020.82223767636</v>
      </c>
      <c r="G228" s="21">
        <f>Table8414194101324273239434853567142128[[#This Row],[VỐN CP]]+Table8414194101324273239434853567142128[[#This Row],[LỢI NHUẬN RÒNG]]</f>
        <v>4512020.822237676</v>
      </c>
      <c r="H228" s="28"/>
    </row>
    <row r="229" spans="1:10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882218</v>
      </c>
      <c r="F229" s="21">
        <v>406010.41111883818</v>
      </c>
      <c r="G229" s="21">
        <f>Table8414194101324273239434853567142128[[#This Row],[VỐN CP]]+Table8414194101324273239434853567142128[[#This Row],[LỢI NHUẬN RÒNG]]</f>
        <v>2256010.411118838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882218</v>
      </c>
      <c r="F230" s="21">
        <v>406010.41111883818</v>
      </c>
      <c r="G230" s="21">
        <f>Table8414194101324273239434853567142128[[#This Row],[VỐN CP]]+Table8414194101324273239434853567142128[[#This Row],[LỢI NHUẬN RÒNG]]</f>
        <v>2256010.411118838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1764436</v>
      </c>
      <c r="F231" s="21">
        <v>812020.82223767636</v>
      </c>
      <c r="G231" s="21">
        <f>Table8414194101324273239434853567142128[[#This Row],[VỐN CP]]+Table8414194101324273239434853567142128[[#This Row],[LỢI NHUẬN RÒNG]]</f>
        <v>4512020.822237676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882218</v>
      </c>
      <c r="F232" s="21">
        <v>406010.41111883818</v>
      </c>
      <c r="G232" s="21">
        <f>Table8414194101324273239434853567142128[[#This Row],[VỐN CP]]+Table8414194101324273239434853567142128[[#This Row],[LỢI NHUẬN RÒNG]]</f>
        <v>2256010.411118838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1764436</v>
      </c>
      <c r="F233" s="21">
        <v>812020.82223767636</v>
      </c>
      <c r="G233" s="21">
        <f>Table8414194101324273239434853567142128[[#This Row],[VỐN CP]]+Table8414194101324273239434853567142128[[#This Row],[LỢI NHUẬN RÒNG]]</f>
        <v>4512020.822237676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882218</v>
      </c>
      <c r="F234" s="11">
        <v>406010.41111883818</v>
      </c>
      <c r="G234" s="21">
        <f>Table8414194101324273239434853567142128[[#This Row],[VỐN CP]]+Table8414194101324273239434853567142128[[#This Row],[LỢI NHUẬN RÒNG]]</f>
        <v>2256010.411118838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1764436</v>
      </c>
      <c r="F235" s="21">
        <v>812020.82223767636</v>
      </c>
      <c r="G235" s="21">
        <f>Table8414194101324273239434853567142128[[#This Row],[VỐN CP]]+Table8414194101324273239434853567142128[[#This Row],[LỢI NHUẬN RÒNG]]</f>
        <v>4512020.822237676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1764436</v>
      </c>
      <c r="F236" s="21">
        <v>812020.82223767636</v>
      </c>
      <c r="G236" s="21">
        <f>Table8414194101324273239434853567142128[[#This Row],[VỐN CP]]+Table8414194101324273239434853567142128[[#This Row],[LỢI NHUẬN RÒNG]]</f>
        <v>4512020.822237676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1163933.8999999999</v>
      </c>
      <c r="F237" s="21">
        <v>670865.38071043487</v>
      </c>
      <c r="G237" s="21">
        <f>Table8414194101324273239434853567142128[[#This Row],[VỐN CP]]+Table8414194101324273239434853567142128[[#This Row],[LỢI NHUẬN RÒNG]]</f>
        <v>4170865.3807104351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3491801.7</v>
      </c>
      <c r="F238" s="21">
        <v>2012596.1421313048</v>
      </c>
      <c r="G238" s="21">
        <f>Table8414194101324273239434853567142128[[#This Row],[VỐN CP]]+Table8414194101324273239434853567142128[[#This Row],[LỢI NHUẬN RÒNG]]</f>
        <v>12512596.142131304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1163933.8999999999</v>
      </c>
      <c r="F239" s="21">
        <v>670865.38071043487</v>
      </c>
      <c r="G239" s="21">
        <f>Table8414194101324273239434853567142128[[#This Row],[VỐN CP]]+Table8414194101324273239434853567142128[[#This Row],[LỢI NHUẬN RÒNG]]</f>
        <v>4170865.3807104351</v>
      </c>
      <c r="H239" s="28"/>
      <c r="I239" s="11"/>
      <c r="J239" s="11"/>
    </row>
    <row r="240" spans="1:10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581966.94999999995</v>
      </c>
      <c r="F240" s="21">
        <v>335432.69035521743</v>
      </c>
      <c r="G240" s="21">
        <f>Table8414194101324273239434853567142128[[#This Row],[VỐN CP]]+Table8414194101324273239434853567142128[[#This Row],[LỢI NHUẬN RÒNG]]</f>
        <v>2085432.6903552175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1163933.8999999999</v>
      </c>
      <c r="F241" s="21">
        <v>670865.38071043487</v>
      </c>
      <c r="G241" s="21">
        <f>Table8414194101324273239434853567142128[[#This Row],[VỐN CP]]+Table8414194101324273239434853567142128[[#This Row],[LỢI NHUẬN RÒNG]]</f>
        <v>4170865.3807104351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1163933.8999999999</v>
      </c>
      <c r="F242" s="21">
        <v>670865.38071043487</v>
      </c>
      <c r="G242" s="21">
        <f>Table8414194101324273239434853567142128[[#This Row],[VỐN CP]]+Table8414194101324273239434853567142128[[#This Row],[LỢI NHUẬN RÒNG]]</f>
        <v>4170865.3807104351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1163933.8999999999</v>
      </c>
      <c r="F243" s="21">
        <v>670865.38071043487</v>
      </c>
      <c r="G243" s="21">
        <f>Table8414194101324273239434853567142128[[#This Row],[VỐN CP]]+Table8414194101324273239434853567142128[[#This Row],[LỢI NHUẬN RÒNG]]</f>
        <v>4170865.3807104351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1163933.8999999999</v>
      </c>
      <c r="F244" s="21">
        <v>670865.38071043487</v>
      </c>
      <c r="G244" s="21">
        <f>Table8414194101324273239434853567142128[[#This Row],[VỐN CP]]+Table8414194101324273239434853567142128[[#This Row],[LỢI NHUẬN RÒNG]]</f>
        <v>4170865.3807104351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581966.94999999995</v>
      </c>
      <c r="F245" s="21">
        <v>335432.69035521743</v>
      </c>
      <c r="G245" s="21">
        <f>Table8414194101324273239434853567142128[[#This Row],[VỐN CP]]+Table8414194101324273239434853567142128[[#This Row],[LỢI NHUẬN RÒNG]]</f>
        <v>2085432.6903552175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1772770</v>
      </c>
      <c r="F246" s="21">
        <v>869701.98362784984</v>
      </c>
      <c r="G246" s="21">
        <f>Table8414194101324273239434853567142128[[#This Row],[VỐN CP]]+Table8414194101324273239434853567142128[[#This Row],[LỢI NHUẬN RÒNG]]</f>
        <v>5869701.9836278502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3545540</v>
      </c>
      <c r="F247" s="21">
        <v>1739403.9672556997</v>
      </c>
      <c r="G247" s="21">
        <f>Table8414194101324273239434853567142128[[#This Row],[VỐN CP]]+Table8414194101324273239434853567142128[[#This Row],[LỢI NHUẬN RÒNG]]</f>
        <v>11739403.9672557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1772770</v>
      </c>
      <c r="F248" s="21">
        <v>869701.98362784984</v>
      </c>
      <c r="G248" s="21">
        <f>Table8414194101324273239434853567142128[[#This Row],[VỐN CP]]+Table8414194101324273239434853567142128[[#This Row],[LỢI NHUẬN RÒNG]]</f>
        <v>5869701.9836278502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886385</v>
      </c>
      <c r="F249" s="21">
        <v>434850.99181392492</v>
      </c>
      <c r="G249" s="21">
        <f>Table8414194101324273239434853567142128[[#This Row],[VỐN CP]]+Table8414194101324273239434853567142128[[#This Row],[LỢI NHUẬN RÒNG]]</f>
        <v>2934850.9918139251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1772770</v>
      </c>
      <c r="F250" s="21">
        <v>869701.98362784984</v>
      </c>
      <c r="G250" s="21">
        <f>Table8414194101324273239434853567142128[[#This Row],[VỐN CP]]+Table8414194101324273239434853567142128[[#This Row],[LỢI NHUẬN RÒNG]]</f>
        <v>5869701.9836278502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886385</v>
      </c>
      <c r="F251" s="21">
        <v>434850.99181392492</v>
      </c>
      <c r="G251" s="21">
        <f>Table8414194101324273239434853567142128[[#This Row],[VỐN CP]]+Table8414194101324273239434853567142128[[#This Row],[LỢI NHUẬN RÒNG]]</f>
        <v>2934850.9918139251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1772770</v>
      </c>
      <c r="F252" s="21">
        <v>869701.98362784984</v>
      </c>
      <c r="G252" s="21">
        <f>Table8414194101324273239434853567142128[[#This Row],[VỐN CP]]+Table8414194101324273239434853567142128[[#This Row],[LỢI NHUẬN RÒNG]]</f>
        <v>5869701.9836278502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886385</v>
      </c>
      <c r="F253" s="21">
        <v>434850.99181392492</v>
      </c>
      <c r="G253" s="21">
        <f>Table8414194101324273239434853567142128[[#This Row],[VỐN CP]]+Table8414194101324273239434853567142128[[#This Row],[LỢI NHUẬN RÒNG]]</f>
        <v>2934850.9918139251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886385</v>
      </c>
      <c r="F254" s="21">
        <v>434850.99181392492</v>
      </c>
      <c r="G254" s="21">
        <f>Table8414194101324273239434853567142128[[#This Row],[VỐN CP]]+Table8414194101324273239434853567142128[[#This Row],[LỢI NHUẬN RÒNG]]</f>
        <v>2934850.9918139251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1772770</v>
      </c>
      <c r="F255" s="21">
        <v>869701.98362784984</v>
      </c>
      <c r="G255" s="21">
        <f>Table8414194101324273239434853567142128[[#This Row],[VỐN CP]]+Table8414194101324273239434853567142128[[#This Row],[LỢI NHUẬN RÒNG]]</f>
        <v>5869701.9836278502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886385</v>
      </c>
      <c r="F256" s="21">
        <v>434850.99181392492</v>
      </c>
      <c r="G256" s="21">
        <f>Table8414194101324273239434853567142128[[#This Row],[VỐN CP]]+Table8414194101324273239434853567142128[[#This Row],[LỢI NHUẬN RÒNG]]</f>
        <v>2934850.9918139251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886385</v>
      </c>
      <c r="F257" s="21">
        <v>434850.99181392492</v>
      </c>
      <c r="G257" s="21">
        <f>Table8414194101324273239434853567142128[[#This Row],[VỐN CP]]+Table8414194101324273239434853567142128[[#This Row],[LỢI NHUẬN RÒNG]]</f>
        <v>2934850.9918139251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115618</v>
      </c>
      <c r="F258" s="21">
        <v>-217415.60487795324</v>
      </c>
      <c r="G258" s="21">
        <f>Table8414194101324273239434853567142128[[#This Row],[VỐN CP]]+Table8414194101324273239434853567142128[[#This Row],[LỢI NHUẬN RÒNG]]</f>
        <v>1682584.3951220468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231236</v>
      </c>
      <c r="F259" s="21">
        <v>-434831.20975590649</v>
      </c>
      <c r="G259" s="21">
        <f>Table8414194101324273239434853567142128[[#This Row],[VỐN CP]]+Table8414194101324273239434853567142128[[#This Row],[LỢI NHUẬN RÒNG]]</f>
        <v>3365168.7902440936</v>
      </c>
      <c r="H259" s="28"/>
      <c r="I259" s="11"/>
      <c r="J259" s="11"/>
    </row>
    <row r="260" spans="1:10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57809</v>
      </c>
      <c r="F260" s="21">
        <v>-108707.80243897662</v>
      </c>
      <c r="G260" s="21">
        <f>Table8414194101324273239434853567142128[[#This Row],[VỐN CP]]+Table8414194101324273239434853567142128[[#This Row],[LỢI NHUẬN RÒNG]]</f>
        <v>841292.19756102341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115618</v>
      </c>
      <c r="F261" s="21">
        <v>-217415.60487795324</v>
      </c>
      <c r="G261" s="21">
        <f>Table8414194101324273239434853567142128[[#This Row],[VỐN CP]]+Table8414194101324273239434853567142128[[#This Row],[LỢI NHUẬN RÒNG]]</f>
        <v>1682584.3951220468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173427</v>
      </c>
      <c r="F262" s="21">
        <v>-326123.40731692984</v>
      </c>
      <c r="G262" s="21">
        <f>Table8414194101324273239434853567142128[[#This Row],[VỐN CP]]+Table8414194101324273239434853567142128[[#This Row],[LỢI NHUẬN RÒNG]]</f>
        <v>2523876.5926830703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115618</v>
      </c>
      <c r="F263" s="21">
        <v>-217415.60487795324</v>
      </c>
      <c r="G263" s="21">
        <f>Table8414194101324273239434853567142128[[#This Row],[VỐN CP]]+Table8414194101324273239434853567142128[[#This Row],[LỢI NHUẬN RÒNG]]</f>
        <v>1682584.3951220468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57809</v>
      </c>
      <c r="F264" s="21">
        <v>-108707.80243897662</v>
      </c>
      <c r="G264" s="21">
        <f>Table8414194101324273239434853567142128[[#This Row],[VỐN CP]]+Table8414194101324273239434853567142128[[#This Row],[LỢI NHUẬN RÒNG]]</f>
        <v>841292.19756102341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231236</v>
      </c>
      <c r="F265" s="21">
        <v>-434831.20975590649</v>
      </c>
      <c r="G265" s="21">
        <f>Table8414194101324273239434853567142128[[#This Row],[VỐN CP]]+Table8414194101324273239434853567142128[[#This Row],[LỢI NHUẬN RÒNG]]</f>
        <v>3365168.7902440936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57809</v>
      </c>
      <c r="F266" s="21">
        <v>-108707.80243897662</v>
      </c>
      <c r="G266" s="21">
        <f>Table8414194101324273239434853567142128[[#This Row],[VỐN CP]]+Table8414194101324273239434853567142128[[#This Row],[LỢI NHUẬN RÒNG]]</f>
        <v>841292.19756102341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1785311.75</v>
      </c>
      <c r="F267" s="21">
        <v>1407177.691320518</v>
      </c>
      <c r="G267" s="21">
        <f>Table8414194101324273239434853567142128[[#This Row],[VỐN CP]]+Table8414194101324273239434853567142128[[#This Row],[LỢI NHUẬN RÒNG]]</f>
        <v>2907177.691320518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595103.91666666674</v>
      </c>
      <c r="F268" s="21">
        <v>469059.2304401726</v>
      </c>
      <c r="G268" s="21">
        <f>Table8414194101324273239434853567142128[[#This Row],[VỐN CP]]+Table8414194101324273239434853567142128[[#This Row],[LỢI NHUẬN RÒNG]]</f>
        <v>969059.2304401726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1190207.8333333335</v>
      </c>
      <c r="F269" s="21">
        <v>938118.4608803452</v>
      </c>
      <c r="G269" s="21">
        <f>Table8414194101324273239434853567142128[[#This Row],[VỐN CP]]+Table8414194101324273239434853567142128[[#This Row],[LỢI NHUẬN RÒNG]]</f>
        <v>1938118.4608803452</v>
      </c>
      <c r="H269" s="28"/>
      <c r="I269" s="11"/>
      <c r="J269" s="11"/>
    </row>
    <row r="270" spans="1:10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595103.91666666674</v>
      </c>
      <c r="F270" s="21">
        <v>469059.2304401726</v>
      </c>
      <c r="G270" s="21">
        <f>Table8414194101324273239434853567142128[[#This Row],[VỐN CP]]+Table8414194101324273239434853567142128[[#This Row],[LỢI NHUẬN RÒNG]]</f>
        <v>969059.2304401726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595103.91666666674</v>
      </c>
      <c r="F271" s="21">
        <v>469059.2304401726</v>
      </c>
      <c r="G271" s="21">
        <f>Table8414194101324273239434853567142128[[#This Row],[VỐN CP]]+Table8414194101324273239434853567142128[[#This Row],[LỢI NHUẬN RÒNG]]</f>
        <v>969059.2304401726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595103.91666666674</v>
      </c>
      <c r="F272" s="21">
        <v>469059.2304401726</v>
      </c>
      <c r="G272" s="21">
        <f>Table8414194101324273239434853567142128[[#This Row],[VỐN CP]]+Table8414194101324273239434853567142128[[#This Row],[LỢI NHUẬN RÒNG]]</f>
        <v>969059.2304401726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1785311.75</v>
      </c>
      <c r="F273" s="21">
        <v>1407177.691320518</v>
      </c>
      <c r="G273" s="21">
        <f>Table8414194101324273239434853567142128[[#This Row],[VỐN CP]]+Table8414194101324273239434853567142128[[#This Row],[LỢI NHUẬN RÒNG]]</f>
        <v>2907177.691320518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595103.91666666674</v>
      </c>
      <c r="F274" s="21">
        <v>469059.2304401726</v>
      </c>
      <c r="G274" s="21">
        <f>Table8414194101324273239434853567142128[[#This Row],[VỐN CP]]+Table8414194101324273239434853567142128[[#This Row],[LỢI NHUẬN RÒNG]]</f>
        <v>969059.2304401726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1190207.8333333335</v>
      </c>
      <c r="F275" s="21">
        <v>938118.4608803452</v>
      </c>
      <c r="G275" s="21">
        <f>Table8414194101324273239434853567142128[[#This Row],[VỐN CP]]+Table8414194101324273239434853567142128[[#This Row],[LỢI NHUẬN RÒNG]]</f>
        <v>1938118.4608803452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1190207.8333333335</v>
      </c>
      <c r="F276" s="21">
        <v>938118.4608803452</v>
      </c>
      <c r="G276" s="21">
        <f>Table8414194101324273239434853567142128[[#This Row],[VỐN CP]]+Table8414194101324273239434853567142128[[#This Row],[LỢI NHUẬN RÒNG]]</f>
        <v>1938118.4608803452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595103.91666666674</v>
      </c>
      <c r="F277" s="21">
        <v>469059.2304401726</v>
      </c>
      <c r="G277" s="21">
        <f>Table8414194101324273239434853567142128[[#This Row],[VỐN CP]]+Table8414194101324273239434853567142128[[#This Row],[LỢI NHUẬN RÒNG]]</f>
        <v>969059.2304401726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1190207.8333333335</v>
      </c>
      <c r="F278" s="21">
        <v>938118.4608803452</v>
      </c>
      <c r="G278" s="21">
        <f>Table8414194101324273239434853567142128[[#This Row],[VỐN CP]]+Table8414194101324273239434853567142128[[#This Row],[LỢI NHUẬN RÒNG]]</f>
        <v>1938118.4608803452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2310766</v>
      </c>
      <c r="F279" s="21">
        <v>1309905.260715595</v>
      </c>
      <c r="G279" s="21">
        <f>Table8414194101324273239434853567142128[[#This Row],[VỐN CP]]+Table8414194101324273239434853567142128[[#This Row],[LỢI NHUẬN RÒNG]]</f>
        <v>8509905.2607155945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1155383</v>
      </c>
      <c r="F280" s="21">
        <v>654952.63035779749</v>
      </c>
      <c r="G280" s="21">
        <f>Table8414194101324273239434853567142128[[#This Row],[VỐN CP]]+Table8414194101324273239434853567142128[[#This Row],[LỢI NHUẬN RÒNG]]</f>
        <v>4254952.6303577973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1155383</v>
      </c>
      <c r="F281" s="21">
        <v>654952.63035779749</v>
      </c>
      <c r="G281" s="21">
        <f>Table8414194101324273239434853567142128[[#This Row],[VỐN CP]]+Table8414194101324273239434853567142128[[#This Row],[LỢI NHUẬN RÒNG]]</f>
        <v>4254952.6303577973</v>
      </c>
      <c r="H281" s="28"/>
      <c r="I281" s="11"/>
      <c r="J281" s="11"/>
    </row>
    <row r="282" spans="1:10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577691.5</v>
      </c>
      <c r="F282" s="21">
        <v>327476.31517889875</v>
      </c>
      <c r="G282" s="21">
        <f>Table8414194101324273239434853567142128[[#This Row],[VỐN CP]]+Table8414194101324273239434853567142128[[#This Row],[LỢI NHUẬN RÒNG]]</f>
        <v>2127476.3151788986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577691.5</v>
      </c>
      <c r="F283" s="21">
        <v>327476.31517889875</v>
      </c>
      <c r="G283" s="21">
        <f>Table8414194101324273239434853567142128[[#This Row],[VỐN CP]]+Table8414194101324273239434853567142128[[#This Row],[LỢI NHUẬN RÒNG]]</f>
        <v>2127476.3151788986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577691.5</v>
      </c>
      <c r="F284" s="21">
        <v>327476.31517889875</v>
      </c>
      <c r="G284" s="21">
        <f>Table8414194101324273239434853567142128[[#This Row],[VỐN CP]]+Table8414194101324273239434853567142128[[#This Row],[LỢI NHUẬN RÒNG]]</f>
        <v>2127476.3151788986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1733074.5</v>
      </c>
      <c r="F285" s="21">
        <v>982428.94553669612</v>
      </c>
      <c r="G285" s="21">
        <f>Table8414194101324273239434853567142128[[#This Row],[VỐN CP]]+Table8414194101324273239434853567142128[[#This Row],[LỢI NHUẬN RÒNG]]</f>
        <v>6382428.9455366964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577691.5</v>
      </c>
      <c r="F286" s="21">
        <v>327476.31517889875</v>
      </c>
      <c r="G286" s="21">
        <f>Table8414194101324273239434853567142128[[#This Row],[VỐN CP]]+Table8414194101324273239434853567142128[[#This Row],[LỢI NHUẬN RÒNG]]</f>
        <v>2127476.3151788986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1733074.5</v>
      </c>
      <c r="F287" s="21">
        <v>982428.94553669612</v>
      </c>
      <c r="G287" s="21">
        <f>Table8414194101324273239434853567142128[[#This Row],[VỐN CP]]+Table8414194101324273239434853567142128[[#This Row],[LỢI NHUẬN RÒNG]]</f>
        <v>6382428.9455366964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1155383</v>
      </c>
      <c r="F288" s="21">
        <v>654952.63035779749</v>
      </c>
      <c r="G288" s="21">
        <f>Table8414194101324273239434853567142128[[#This Row],[VỐN CP]]+Table8414194101324273239434853567142128[[#This Row],[LỢI NHUẬN RÒNG]]</f>
        <v>4254952.6303577973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2118658.4</v>
      </c>
      <c r="F289" s="21">
        <v>1440115.9647708163</v>
      </c>
      <c r="G289" s="21">
        <f>Table8414194101324273239434853567142128[[#This Row],[VỐN CP]]+Table8414194101324273239434853567142128[[#This Row],[LỢI NHUẬN RÒNG]]</f>
        <v>6640115.9647708163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1059329.2</v>
      </c>
      <c r="F290" s="21">
        <v>720057.98238540813</v>
      </c>
      <c r="G290" s="21">
        <f>Table8414194101324273239434853567142128[[#This Row],[VỐN CP]]+Table8414194101324273239434853567142128[[#This Row],[LỢI NHUẬN RÒNG]]</f>
        <v>3320057.9823854081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1059329.2</v>
      </c>
      <c r="F291" s="21">
        <v>720057.98238540813</v>
      </c>
      <c r="G291" s="21">
        <f>Table8414194101324273239434853567142128[[#This Row],[VỐN CP]]+Table8414194101324273239434853567142128[[#This Row],[LỢI NHUẬN RÒNG]]</f>
        <v>3320057.9823854081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2118658.4</v>
      </c>
      <c r="F292" s="21">
        <v>1440115.9647708163</v>
      </c>
      <c r="G292" s="21">
        <f>Table8414194101324273239434853567142128[[#This Row],[VỐN CP]]+Table8414194101324273239434853567142128[[#This Row],[LỢI NHUẬN RÒNG]]</f>
        <v>6640115.9647708163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529664.6</v>
      </c>
      <c r="F293" s="21">
        <v>360028.99119270407</v>
      </c>
      <c r="G293" s="21">
        <f>Table8414194101324273239434853567142128[[#This Row],[VỐN CP]]+Table8414194101324273239434853567142128[[#This Row],[LỢI NHUẬN RÒNG]]</f>
        <v>1660028.9911927041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529664.6</v>
      </c>
      <c r="F294" s="21">
        <v>360028.99119270407</v>
      </c>
      <c r="G294" s="21">
        <f>Table8414194101324273239434853567142128[[#This Row],[VỐN CP]]+Table8414194101324273239434853567142128[[#This Row],[LỢI NHUẬN RÒNG]]</f>
        <v>1660028.9911927041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529664.6</v>
      </c>
      <c r="F295" s="21">
        <v>360028.99119270407</v>
      </c>
      <c r="G295" s="21">
        <f>Table8414194101324273239434853567142128[[#This Row],[VỐN CP]]+Table8414194101324273239434853567142128[[#This Row],[LỢI NHUẬN RÒNG]]</f>
        <v>1660028.9911927041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1588993.8</v>
      </c>
      <c r="F296" s="21">
        <v>1080086.9735781122</v>
      </c>
      <c r="G296" s="21">
        <f>Table8414194101324273239434853567142128[[#This Row],[VỐN CP]]+Table8414194101324273239434853567142128[[#This Row],[LỢI NHUẬN RÒNG]]</f>
        <v>4980086.9735781122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1059329.2</v>
      </c>
      <c r="F297" s="21">
        <v>720057.98238540813</v>
      </c>
      <c r="G297" s="21">
        <f>Table8414194101324273239434853567142128[[#This Row],[VỐN CP]]+Table8414194101324273239434853567142128[[#This Row],[LỢI NHUẬN RÒNG]]</f>
        <v>3320057.9823854081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8452642.6000000015</v>
      </c>
      <c r="F298" s="21">
        <v>5768040.9722527023</v>
      </c>
      <c r="G298" s="21">
        <f>Table8414194101324273239434853567142128[[#This Row],[VỐN CP]]+Table8414194101324273239434853567142128[[#This Row],[LỢI NHUẬN RÒNG]]</f>
        <v>25208040.972252704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4226321.3000000007</v>
      </c>
      <c r="F299" s="21">
        <v>2884020.4861263512</v>
      </c>
      <c r="G299" s="21">
        <f>Table8414194101324273239434853567142128[[#This Row],[VỐN CP]]+Table8414194101324273239434853567142128[[#This Row],[LỢI NHUẬN RÒNG]]</f>
        <v>12604020.486126352</v>
      </c>
      <c r="H299" s="28"/>
      <c r="I299" s="11"/>
      <c r="J299" s="11"/>
    </row>
    <row r="300" spans="1:10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1408773.7666666671</v>
      </c>
      <c r="F300" s="21">
        <v>961340.1620421171</v>
      </c>
      <c r="G300" s="21">
        <f>Table8414194101324273239434853567142128[[#This Row],[VỐN CP]]+Table8414194101324273239434853567142128[[#This Row],[LỢI NHUẬN RÒNG]]</f>
        <v>4201340.1620421167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4226321.3000000007</v>
      </c>
      <c r="F301" s="21">
        <v>2884020.4861263512</v>
      </c>
      <c r="G301" s="21">
        <f>Table8414194101324273239434853567142128[[#This Row],[VỐN CP]]+Table8414194101324273239434853567142128[[#This Row],[LỢI NHUẬN RÒNG]]</f>
        <v>12604020.486126352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1408773.7666666671</v>
      </c>
      <c r="F302" s="21">
        <v>961340.1620421171</v>
      </c>
      <c r="G302" s="21">
        <f>Table8414194101324273239434853567142128[[#This Row],[VỐN CP]]+Table8414194101324273239434853567142128[[#This Row],[LỢI NHUẬN RÒNG]]</f>
        <v>4201340.1620421167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1408773.7666666671</v>
      </c>
      <c r="F303" s="21">
        <v>961340.1620421171</v>
      </c>
      <c r="G303" s="21">
        <f>Table8414194101324273239434853567142128[[#This Row],[VỐN CP]]+Table8414194101324273239434853567142128[[#This Row],[LỢI NHUẬN RÒNG]]</f>
        <v>4201340.1620421167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4226321.3000000007</v>
      </c>
      <c r="F304" s="21">
        <v>2884020.4861263512</v>
      </c>
      <c r="G304" s="21">
        <f>Table8414194101324273239434853567142128[[#This Row],[VỐN CP]]+Table8414194101324273239434853567142128[[#This Row],[LỢI NHUẬN RÒNG]]</f>
        <v>12604020.486126352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2817547.5333333341</v>
      </c>
      <c r="F305" s="21">
        <v>1922680.3240842342</v>
      </c>
      <c r="G305" s="21">
        <f>Table8414194101324273239434853567142128[[#This Row],[VỐN CP]]+Table8414194101324273239434853567142128[[#This Row],[LỢI NHUẬN RÒNG]]</f>
        <v>8402680.3240842335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2093167.8</v>
      </c>
      <c r="F306" s="21">
        <v>229736.05754761398</v>
      </c>
      <c r="G306" s="21">
        <f>Table8414194101324273239434853567142128[[#This Row],[VỐN CP]]+Table8414194101324273239434853567142128[[#This Row],[LỢI NHUẬN RÒNG]]</f>
        <v>12229736.057547614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697722.6</v>
      </c>
      <c r="F307" s="21">
        <v>76578.685849204659</v>
      </c>
      <c r="G307" s="21">
        <f>Table8414194101324273239434853567142128[[#This Row],[VỐN CP]]+Table8414194101324273239434853567142128[[#This Row],[LỢI NHUẬN RÒNG]]</f>
        <v>4076578.6858492047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2790890.4</v>
      </c>
      <c r="F308" s="21">
        <v>306314.74339681864</v>
      </c>
      <c r="G308" s="21">
        <f>Table8414194101324273239434853567142128[[#This Row],[VỐN CP]]+Table8414194101324273239434853567142128[[#This Row],[LỢI NHUẬN RÒNG]]</f>
        <v>16306314.743396819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697722.6</v>
      </c>
      <c r="F309" s="21">
        <v>76578.685849204659</v>
      </c>
      <c r="G309" s="21">
        <f>Table8414194101324273239434853567142128[[#This Row],[VỐN CP]]+Table8414194101324273239434853567142128[[#This Row],[LỢI NHUẬN RÒNG]]</f>
        <v>4076578.6858492047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697722.6</v>
      </c>
      <c r="F310" s="21">
        <v>76578.685849204659</v>
      </c>
      <c r="G310" s="21">
        <f>Table8414194101324273239434853567142128[[#This Row],[VỐN CP]]+Table8414194101324273239434853567142128[[#This Row],[LỢI NHUẬN RÒNG]]</f>
        <v>4076578.6858492047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1395445.2</v>
      </c>
      <c r="F311" s="21">
        <v>153157.37169840932</v>
      </c>
      <c r="G311" s="21">
        <f>Table8414194101324273239434853567142128[[#This Row],[VỐN CP]]+Table8414194101324273239434853567142128[[#This Row],[LỢI NHUẬN RÒNG]]</f>
        <v>8153157.3716984093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697722.6</v>
      </c>
      <c r="F312" s="21">
        <v>76578.685849204659</v>
      </c>
      <c r="G312" s="21">
        <f>Table8414194101324273239434853567142128[[#This Row],[VỐN CP]]+Table8414194101324273239434853567142128[[#This Row],[LỢI NHUẬN RÒNG]]</f>
        <v>4076578.6858492047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1395445.2</v>
      </c>
      <c r="F313" s="21">
        <v>153157.37169840932</v>
      </c>
      <c r="G313" s="21">
        <f>Table8414194101324273239434853567142128[[#This Row],[VỐN CP]]+Table8414194101324273239434853567142128[[#This Row],[LỢI NHUẬN RÒNG]]</f>
        <v>8153157.3716984093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697722.6</v>
      </c>
      <c r="F314" s="21">
        <v>76578.685849204659</v>
      </c>
      <c r="G314" s="21">
        <f>Table8414194101324273239434853567142128[[#This Row],[VỐN CP]]+Table8414194101324273239434853567142128[[#This Row],[LỢI NHUẬN RÒNG]]</f>
        <v>4076578.6858492047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2790890.4</v>
      </c>
      <c r="F315" s="21">
        <v>306314.74339681864</v>
      </c>
      <c r="G315" s="21">
        <f>Table8414194101324273239434853567142128[[#This Row],[VỐN CP]]+Table8414194101324273239434853567142128[[#This Row],[LỢI NHUẬN RÒNG]]</f>
        <v>16306314.743396819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2784950.25</v>
      </c>
      <c r="F316" s="21">
        <v>1693145.7856882478</v>
      </c>
      <c r="G316" s="21">
        <f>Table8414194101324273239434853567142128[[#This Row],[VỐN CP]]+Table8414194101324273239434853567142128[[#This Row],[LỢI NHUẬN RÒNG]]</f>
        <v>9688145.7856882475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928316.75</v>
      </c>
      <c r="F317" s="21">
        <v>564381.92856274918</v>
      </c>
      <c r="G317" s="21">
        <f>Table8414194101324273239434853567142128[[#This Row],[VỐN CP]]+Table8414194101324273239434853567142128[[#This Row],[LỢI NHUẬN RÒNG]]</f>
        <v>3229381.9285627492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1856633.5</v>
      </c>
      <c r="F318" s="21">
        <v>1128763.8571254984</v>
      </c>
      <c r="G318" s="21">
        <f>Table8414194101324273239434853567142128[[#This Row],[VỐN CP]]+Table8414194101324273239434853567142128[[#This Row],[LỢI NHUẬN RÒNG]]</f>
        <v>6458763.8571254984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928316.75</v>
      </c>
      <c r="F319" s="21">
        <v>564381.92856274918</v>
      </c>
      <c r="G319" s="21">
        <f>Table8414194101324273239434853567142128[[#This Row],[VỐN CP]]+Table8414194101324273239434853567142128[[#This Row],[LỢI NHUẬN RÒNG]]</f>
        <v>3229381.9285627492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928316.75</v>
      </c>
      <c r="F320" s="21">
        <v>564381.92856274918</v>
      </c>
      <c r="G320" s="21">
        <f>Table8414194101324273239434853567142128[[#This Row],[VỐN CP]]+Table8414194101324273239434853567142128[[#This Row],[LỢI NHUẬN RÒNG]]</f>
        <v>3229381.9285627492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3713267</v>
      </c>
      <c r="F321" s="21">
        <v>2257527.7142509967</v>
      </c>
      <c r="G321" s="21">
        <f>Table8414194101324273239434853567142128[[#This Row],[VỐN CP]]+Table8414194101324273239434853567142128[[#This Row],[LỢI NHUẬN RÒNG]]</f>
        <v>12917527.714250997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928316.75</v>
      </c>
      <c r="F322" s="21">
        <v>564381.92856274918</v>
      </c>
      <c r="G322" s="21">
        <f>Table8414194101324273239434853567142128[[#This Row],[VỐN CP]]+Table8414194101324273239434853567142128[[#This Row],[LỢI NHUẬN RÒNG]]</f>
        <v>3229381.9285627492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928316.75</v>
      </c>
      <c r="F323" s="21">
        <v>564381.92856274918</v>
      </c>
      <c r="G323" s="21">
        <f>Table8414194101324273239434853567142128[[#This Row],[VỐN CP]]+Table8414194101324273239434853567142128[[#This Row],[LỢI NHUẬN RÒNG]]</f>
        <v>3229381.9285627492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928316.75</v>
      </c>
      <c r="F324" s="21">
        <v>564381.92856274918</v>
      </c>
      <c r="G324" s="21">
        <f>Table8414194101324273239434853567142128[[#This Row],[VỐN CP]]+Table8414194101324273239434853567142128[[#This Row],[LỢI NHUẬN RÒNG]]</f>
        <v>3229381.9285627492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928316.75</v>
      </c>
      <c r="F325" s="21">
        <v>564381.92856274918</v>
      </c>
      <c r="G325" s="21">
        <f>Table8414194101324273239434853567142128[[#This Row],[VỐN CP]]+Table8414194101324273239434853567142128[[#This Row],[LỢI NHUẬN RÒNG]]</f>
        <v>3229381.9285627492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928316.75</v>
      </c>
      <c r="F326" s="21">
        <v>564381.92856274918</v>
      </c>
      <c r="G326" s="21">
        <f>Table8414194101324273239434853567142128[[#This Row],[VỐN CP]]+Table8414194101324273239434853567142128[[#This Row],[LỢI NHUẬN RÒNG]]</f>
        <v>3229381.9285627492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1856633.5</v>
      </c>
      <c r="F327" s="21">
        <v>1128763.8571254984</v>
      </c>
      <c r="G327" s="21">
        <f>Table8414194101324273239434853567142128[[#This Row],[VỐN CP]]+Table8414194101324273239434853567142128[[#This Row],[LỢI NHUẬN RÒNG]]</f>
        <v>6458763.8571254984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928316.75</v>
      </c>
      <c r="F328" s="21">
        <v>564381.92856274918</v>
      </c>
      <c r="G328" s="21">
        <f>Table8414194101324273239434853567142128[[#This Row],[VỐN CP]]+Table8414194101324273239434853567142128[[#This Row],[LỢI NHUẬN RÒNG]]</f>
        <v>3229381.9285627492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3460973.6</v>
      </c>
      <c r="F329" s="21">
        <v>2614925.4967354061</v>
      </c>
      <c r="G329" s="21">
        <f>Table8414194101324273239434853567142128[[#This Row],[VỐN CP]]+Table8414194101324273239434853567142128[[#This Row],[LỢI NHUẬN RÒNG]]</f>
        <v>13114925.496735405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3460973.6</v>
      </c>
      <c r="F330" s="21">
        <v>2614925.4967354061</v>
      </c>
      <c r="G330" s="21">
        <f>Table8414194101324273239434853567142128[[#This Row],[VỐN CP]]+Table8414194101324273239434853567142128[[#This Row],[LỢI NHUẬN RÒNG]]</f>
        <v>13114925.496735405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5191460.4000000004</v>
      </c>
      <c r="F331" s="21">
        <v>3922388.2451031087</v>
      </c>
      <c r="G331" s="21">
        <f>Table8414194101324273239434853567142128[[#This Row],[VỐN CP]]+Table8414194101324273239434853567142128[[#This Row],[LỢI NHUẬN RÒNG]]</f>
        <v>19672388.24510311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1730486.8</v>
      </c>
      <c r="F332" s="21">
        <v>1307462.7483677031</v>
      </c>
      <c r="G332" s="21">
        <f>Table8414194101324273239434853567142128[[#This Row],[VỐN CP]]+Table8414194101324273239434853567142128[[#This Row],[LỢI NHUẬN RÒNG]]</f>
        <v>6557462.7483677026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1730486.8</v>
      </c>
      <c r="F333" s="21">
        <v>1307462.7483677031</v>
      </c>
      <c r="G333" s="21">
        <f>Table8414194101324273239434853567142128[[#This Row],[VỐN CP]]+Table8414194101324273239434853567142128[[#This Row],[LỢI NHUẬN RÒNG]]</f>
        <v>6557462.7483677026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3460973.6</v>
      </c>
      <c r="F334" s="21">
        <v>2614925.4967354061</v>
      </c>
      <c r="G334" s="21">
        <f>Table8414194101324273239434853567142128[[#This Row],[VỐN CP]]+Table8414194101324273239434853567142128[[#This Row],[LỢI NHUẬN RÒNG]]</f>
        <v>13114925.496735405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1730486.8</v>
      </c>
      <c r="F335" s="21">
        <v>1307462.7483677031</v>
      </c>
      <c r="G335" s="21">
        <f>Table8414194101324273239434853567142128[[#This Row],[VỐN CP]]+Table8414194101324273239434853567142128[[#This Row],[LỢI NHUẬN RÒNG]]</f>
        <v>6557462.7483677026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6921947.2000000002</v>
      </c>
      <c r="F336" s="21">
        <v>5229850.9934708122</v>
      </c>
      <c r="G336" s="21">
        <f>Table8414194101324273239434853567142128[[#This Row],[VỐN CP]]+Table8414194101324273239434853567142128[[#This Row],[LỢI NHUẬN RÒNG]]</f>
        <v>26229850.99347081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6921947.2000000002</v>
      </c>
      <c r="F337" s="21">
        <v>5229850.9934708122</v>
      </c>
      <c r="G337" s="21">
        <f>Table8414194101324273239434853567142128[[#This Row],[VỐN CP]]+Table8414194101324273239434853567142128[[#This Row],[LỢI NHUẬN RÒNG]]</f>
        <v>26229850.99347081</v>
      </c>
      <c r="H337" s="28"/>
      <c r="I337" s="11"/>
      <c r="J337" s="11"/>
    </row>
    <row r="338" spans="1:10" hidden="1" x14ac:dyDescent="0.3">
      <c r="A338" s="23" t="s">
        <v>76</v>
      </c>
      <c r="B338" s="27" t="s">
        <v>9</v>
      </c>
      <c r="C338" s="21">
        <v>20</v>
      </c>
      <c r="D338" s="21">
        <v>5333333.333333334</v>
      </c>
      <c r="E338" s="21">
        <v>1757770.4666666663</v>
      </c>
      <c r="F338" s="21">
        <v>928385.90858685377</v>
      </c>
      <c r="G338" s="21">
        <f>Table8414194101324273239434853567142128[[#This Row],[VỐN CP]]+Table8414194101324273239434853567142128[[#This Row],[LỢI NHUẬN RÒNG]]</f>
        <v>6261719.2419201881</v>
      </c>
      <c r="H338" s="28"/>
      <c r="I338" s="11"/>
      <c r="J338" s="11"/>
    </row>
    <row r="339" spans="1:10" hidden="1" x14ac:dyDescent="0.3">
      <c r="A339" s="23" t="s">
        <v>76</v>
      </c>
      <c r="B339" s="27" t="s">
        <v>19</v>
      </c>
      <c r="C339" s="21">
        <v>10</v>
      </c>
      <c r="D339" s="21">
        <v>2666666.666666667</v>
      </c>
      <c r="E339" s="21">
        <v>878885.23333333316</v>
      </c>
      <c r="F339" s="21">
        <v>464192.95429342688</v>
      </c>
      <c r="G339" s="21">
        <f>Table8414194101324273239434853567142128[[#This Row],[VỐN CP]]+Table8414194101324273239434853567142128[[#This Row],[LỢI NHUẬN RÒNG]]</f>
        <v>3130859.620960094</v>
      </c>
      <c r="H339" s="28"/>
      <c r="I339" s="11"/>
      <c r="J339" s="11"/>
    </row>
    <row r="340" spans="1:10" hidden="1" x14ac:dyDescent="0.3">
      <c r="A340" s="23" t="s">
        <v>76</v>
      </c>
      <c r="B340" s="27" t="s">
        <v>37</v>
      </c>
      <c r="C340" s="21">
        <v>10</v>
      </c>
      <c r="D340" s="21">
        <v>2666666.666666667</v>
      </c>
      <c r="E340" s="21">
        <v>878885.23333333316</v>
      </c>
      <c r="F340" s="21">
        <v>464192.95429342688</v>
      </c>
      <c r="G340" s="21">
        <f>Table8414194101324273239434853567142128[[#This Row],[VỐN CP]]+Table8414194101324273239434853567142128[[#This Row],[LỢI NHUẬN RÒNG]]</f>
        <v>3130859.620960094</v>
      </c>
      <c r="H340" s="28"/>
      <c r="I340" s="11"/>
      <c r="J340" s="11"/>
    </row>
    <row r="341" spans="1:10" hidden="1" x14ac:dyDescent="0.3">
      <c r="A341" s="23" t="s">
        <v>76</v>
      </c>
      <c r="B341" s="27" t="s">
        <v>31</v>
      </c>
      <c r="C341" s="21">
        <v>5</v>
      </c>
      <c r="D341" s="21">
        <v>1333333.3333333335</v>
      </c>
      <c r="E341" s="21">
        <v>439442.61666666658</v>
      </c>
      <c r="F341" s="21">
        <v>232096.47714671344</v>
      </c>
      <c r="G341" s="21">
        <f>Table8414194101324273239434853567142128[[#This Row],[VỐN CP]]+Table8414194101324273239434853567142128[[#This Row],[LỢI NHUẬN RÒNG]]</f>
        <v>1565429.810480047</v>
      </c>
      <c r="H341" s="28"/>
      <c r="I341" s="11"/>
      <c r="J341" s="11"/>
    </row>
    <row r="342" spans="1:10" hidden="1" x14ac:dyDescent="0.3">
      <c r="A342" s="23" t="s">
        <v>76</v>
      </c>
      <c r="B342" s="27" t="s">
        <v>21</v>
      </c>
      <c r="C342" s="21">
        <v>15</v>
      </c>
      <c r="D342" s="21">
        <v>4000000.0000000005</v>
      </c>
      <c r="E342" s="21">
        <v>1318327.8499999999</v>
      </c>
      <c r="F342" s="21">
        <v>696289.43144014035</v>
      </c>
      <c r="G342" s="21">
        <f>Table8414194101324273239434853567142128[[#This Row],[VỐN CP]]+Table8414194101324273239434853567142128[[#This Row],[LỢI NHUẬN RÒNG]]</f>
        <v>4696289.4314401411</v>
      </c>
      <c r="H342" s="28"/>
      <c r="I342" s="11"/>
      <c r="J342" s="11"/>
    </row>
    <row r="343" spans="1:10" hidden="1" x14ac:dyDescent="0.3">
      <c r="A343" s="23" t="s">
        <v>76</v>
      </c>
      <c r="B343" s="27" t="s">
        <v>10</v>
      </c>
      <c r="C343" s="21">
        <v>5</v>
      </c>
      <c r="D343" s="21">
        <v>1333333.3333333335</v>
      </c>
      <c r="E343" s="21">
        <v>439442.61666666658</v>
      </c>
      <c r="F343" s="21">
        <v>232096.47714671344</v>
      </c>
      <c r="G343" s="21">
        <f>Table8414194101324273239434853567142128[[#This Row],[VỐN CP]]+Table8414194101324273239434853567142128[[#This Row],[LỢI NHUẬN RÒNG]]</f>
        <v>1565429.810480047</v>
      </c>
      <c r="H343" s="28"/>
      <c r="I343" s="11"/>
      <c r="J343" s="11"/>
    </row>
    <row r="344" spans="1:10" hidden="1" x14ac:dyDescent="0.3">
      <c r="A344" s="23" t="s">
        <v>76</v>
      </c>
      <c r="B344" s="27" t="s">
        <v>13</v>
      </c>
      <c r="C344" s="21">
        <v>5</v>
      </c>
      <c r="D344" s="21">
        <v>1333333.3333333335</v>
      </c>
      <c r="E344" s="21">
        <v>439442.61666666658</v>
      </c>
      <c r="F344" s="21">
        <v>232096.47714671344</v>
      </c>
      <c r="G344" s="21">
        <f>Table8414194101324273239434853567142128[[#This Row],[VỐN CP]]+Table8414194101324273239434853567142128[[#This Row],[LỢI NHUẬN RÒNG]]</f>
        <v>1565429.810480047</v>
      </c>
      <c r="H344" s="28"/>
      <c r="I344" s="11"/>
      <c r="J344" s="11"/>
    </row>
    <row r="345" spans="1:10" hidden="1" x14ac:dyDescent="0.3">
      <c r="A345" s="23" t="s">
        <v>76</v>
      </c>
      <c r="B345" s="27" t="s">
        <v>29</v>
      </c>
      <c r="C345" s="21">
        <v>5</v>
      </c>
      <c r="D345" s="21">
        <v>1333333.3333333335</v>
      </c>
      <c r="E345" s="21">
        <v>439442.61666666658</v>
      </c>
      <c r="F345" s="21">
        <v>232096.47714671344</v>
      </c>
      <c r="G345" s="21">
        <f>Table8414194101324273239434853567142128[[#This Row],[VỐN CP]]+Table8414194101324273239434853567142128[[#This Row],[LỢI NHUẬN RÒNG]]</f>
        <v>1565429.810480047</v>
      </c>
      <c r="H345" s="28"/>
      <c r="I345" s="11"/>
      <c r="J345" s="11"/>
    </row>
    <row r="346" spans="1:10" hidden="1" x14ac:dyDescent="0.3">
      <c r="A346" s="23" t="s">
        <v>76</v>
      </c>
      <c r="B346" s="27" t="s">
        <v>35</v>
      </c>
      <c r="C346" s="21">
        <v>5</v>
      </c>
      <c r="D346" s="21">
        <v>1333333.3333333335</v>
      </c>
      <c r="E346" s="21">
        <v>439442.61666666658</v>
      </c>
      <c r="F346" s="21">
        <v>232096.47714671344</v>
      </c>
      <c r="G346" s="21">
        <f>Table8414194101324273239434853567142128[[#This Row],[VỐN CP]]+Table8414194101324273239434853567142128[[#This Row],[LỢI NHUẬN RÒNG]]</f>
        <v>1565429.810480047</v>
      </c>
      <c r="H346" s="28"/>
      <c r="I346" s="11"/>
      <c r="J346" s="11"/>
    </row>
    <row r="347" spans="1:10" hidden="1" x14ac:dyDescent="0.3">
      <c r="A347" s="23" t="s">
        <v>76</v>
      </c>
      <c r="B347" s="27" t="s">
        <v>43</v>
      </c>
      <c r="C347" s="21">
        <v>10</v>
      </c>
      <c r="D347" s="21">
        <v>2666666.666666667</v>
      </c>
      <c r="E347" s="21">
        <v>878885.23333333316</v>
      </c>
      <c r="F347" s="21">
        <v>464192.95429342688</v>
      </c>
      <c r="G347" s="21">
        <f>Table8414194101324273239434853567142128[[#This Row],[VỐN CP]]+Table8414194101324273239434853567142128[[#This Row],[LỢI NHUẬN RÒNG]]</f>
        <v>3130859.620960094</v>
      </c>
      <c r="H347" s="28"/>
      <c r="I347" s="11"/>
      <c r="J347" s="11"/>
    </row>
    <row r="348" spans="1:10" hidden="1" x14ac:dyDescent="0.3">
      <c r="A348" s="23" t="s">
        <v>76</v>
      </c>
      <c r="B348" s="27" t="s">
        <v>25</v>
      </c>
      <c r="C348" s="21">
        <v>10</v>
      </c>
      <c r="D348" s="21">
        <v>2666666.666666667</v>
      </c>
      <c r="E348" s="21">
        <v>878885.23333333316</v>
      </c>
      <c r="F348" s="21">
        <v>464192.95429342688</v>
      </c>
      <c r="G348" s="21">
        <f>Table8414194101324273239434853567142128[[#This Row],[VỐN CP]]+Table8414194101324273239434853567142128[[#This Row],[LỢI NHUẬN RÒNG]]</f>
        <v>3130859.620960094</v>
      </c>
      <c r="H348" s="28"/>
      <c r="I348" s="11"/>
      <c r="J348" s="11"/>
    </row>
    <row r="349" spans="1:10" hidden="1" x14ac:dyDescent="0.3">
      <c r="A349" s="23" t="s">
        <v>77</v>
      </c>
      <c r="B349" s="27" t="s">
        <v>9</v>
      </c>
      <c r="C349" s="21">
        <v>15</v>
      </c>
      <c r="D349" s="21">
        <v>3300000</v>
      </c>
      <c r="E349" s="21">
        <v>1684665.45</v>
      </c>
      <c r="F349" s="21">
        <v>1123436.5163697826</v>
      </c>
      <c r="G349" s="21">
        <f>Table8414194101324273239434853567142128[[#This Row],[VỐN CP]]+Table8414194101324273239434853567142128[[#This Row],[LỢI NHUẬN RÒNG]]</f>
        <v>4423436.5163697824</v>
      </c>
      <c r="H349" s="28"/>
      <c r="I349" s="11"/>
      <c r="J349" s="11"/>
    </row>
    <row r="350" spans="1:10" hidden="1" x14ac:dyDescent="0.3">
      <c r="A350" s="23" t="s">
        <v>77</v>
      </c>
      <c r="B350" s="27" t="s">
        <v>19</v>
      </c>
      <c r="C350" s="21">
        <v>10</v>
      </c>
      <c r="D350" s="21">
        <v>2200000</v>
      </c>
      <c r="E350" s="21">
        <v>1123110.3</v>
      </c>
      <c r="F350" s="21">
        <v>748957.6775798552</v>
      </c>
      <c r="G350" s="21">
        <f>Table8414194101324273239434853567142128[[#This Row],[VỐN CP]]+Table8414194101324273239434853567142128[[#This Row],[LỢI NHUẬN RÒNG]]</f>
        <v>2948957.6775798551</v>
      </c>
      <c r="H350" s="28"/>
      <c r="I350" s="11"/>
      <c r="J350" s="11"/>
    </row>
    <row r="351" spans="1:10" hidden="1" x14ac:dyDescent="0.3">
      <c r="A351" s="23" t="s">
        <v>77</v>
      </c>
      <c r="B351" s="27" t="s">
        <v>37</v>
      </c>
      <c r="C351" s="21">
        <v>15</v>
      </c>
      <c r="D351" s="21">
        <v>3300000</v>
      </c>
      <c r="E351" s="21">
        <v>1684665.45</v>
      </c>
      <c r="F351" s="21">
        <v>1123436.5163697826</v>
      </c>
      <c r="G351" s="21">
        <f>Table8414194101324273239434853567142128[[#This Row],[VỐN CP]]+Table8414194101324273239434853567142128[[#This Row],[LỢI NHUẬN RÒNG]]</f>
        <v>4423436.5163697824</v>
      </c>
      <c r="H351" s="28"/>
      <c r="I351" s="11"/>
      <c r="J351" s="11"/>
    </row>
    <row r="352" spans="1:10" x14ac:dyDescent="0.3">
      <c r="A352" s="23" t="s">
        <v>77</v>
      </c>
      <c r="B352" s="27" t="s">
        <v>33</v>
      </c>
      <c r="C352" s="21">
        <v>5</v>
      </c>
      <c r="D352" s="21">
        <v>1100000</v>
      </c>
      <c r="E352" s="21">
        <v>561555.15</v>
      </c>
      <c r="F352" s="21">
        <v>374478.8387899276</v>
      </c>
      <c r="G352" s="21">
        <f>Table8414194101324273239434853567142128[[#This Row],[VỐN CP]]+Table8414194101324273239434853567142128[[#This Row],[LỢI NHUẬN RÒNG]]</f>
        <v>1474478.8387899275</v>
      </c>
      <c r="H352" s="28"/>
      <c r="I352" s="11"/>
      <c r="J352" s="11"/>
    </row>
    <row r="353" spans="1:10" hidden="1" x14ac:dyDescent="0.3">
      <c r="A353" s="23" t="s">
        <v>77</v>
      </c>
      <c r="B353" s="27" t="s">
        <v>31</v>
      </c>
      <c r="C353" s="21">
        <v>5</v>
      </c>
      <c r="D353" s="21">
        <v>1100000</v>
      </c>
      <c r="E353" s="21">
        <v>561555.15</v>
      </c>
      <c r="F353" s="21">
        <v>374478.8387899276</v>
      </c>
      <c r="G353" s="21">
        <f>Table8414194101324273239434853567142128[[#This Row],[VỐN CP]]+Table8414194101324273239434853567142128[[#This Row],[LỢI NHUẬN RÒNG]]</f>
        <v>1474478.8387899275</v>
      </c>
      <c r="H353" s="28"/>
      <c r="I353" s="11"/>
      <c r="J353" s="11"/>
    </row>
    <row r="354" spans="1:10" hidden="1" x14ac:dyDescent="0.3">
      <c r="A354" s="23" t="s">
        <v>77</v>
      </c>
      <c r="B354" s="27" t="s">
        <v>15</v>
      </c>
      <c r="C354" s="21">
        <v>5</v>
      </c>
      <c r="D354" s="21">
        <v>1100000</v>
      </c>
      <c r="E354" s="21">
        <v>561555.15</v>
      </c>
      <c r="F354" s="21">
        <v>374478.8387899276</v>
      </c>
      <c r="G354" s="21">
        <f>Table8414194101324273239434853567142128[[#This Row],[VỐN CP]]+Table8414194101324273239434853567142128[[#This Row],[LỢI NHUẬN RÒNG]]</f>
        <v>1474478.8387899275</v>
      </c>
      <c r="H354" s="28"/>
      <c r="I354" s="11"/>
      <c r="J354" s="11"/>
    </row>
    <row r="355" spans="1:10" hidden="1" x14ac:dyDescent="0.3">
      <c r="A355" s="23" t="s">
        <v>77</v>
      </c>
      <c r="B355" s="27" t="s">
        <v>21</v>
      </c>
      <c r="C355" s="21">
        <v>20</v>
      </c>
      <c r="D355" s="21">
        <v>4400000</v>
      </c>
      <c r="E355" s="21">
        <v>2246220.6</v>
      </c>
      <c r="F355" s="21">
        <v>1497915.3551597104</v>
      </c>
      <c r="G355" s="21">
        <f>Table8414194101324273239434853567142128[[#This Row],[VỐN CP]]+Table8414194101324273239434853567142128[[#This Row],[LỢI NHUẬN RÒNG]]</f>
        <v>5897915.3551597102</v>
      </c>
      <c r="H355" s="28"/>
      <c r="I355" s="11"/>
      <c r="J355" s="11"/>
    </row>
    <row r="356" spans="1:10" hidden="1" x14ac:dyDescent="0.3">
      <c r="A356" s="23" t="s">
        <v>77</v>
      </c>
      <c r="B356" s="27" t="s">
        <v>43</v>
      </c>
      <c r="C356" s="21">
        <v>10</v>
      </c>
      <c r="D356" s="21">
        <v>2200000</v>
      </c>
      <c r="E356" s="21">
        <v>1123110.3</v>
      </c>
      <c r="F356" s="21">
        <v>748957.6775798552</v>
      </c>
      <c r="G356" s="21">
        <f>Table8414194101324273239434853567142128[[#This Row],[VỐN CP]]+Table8414194101324273239434853567142128[[#This Row],[LỢI NHUẬN RÒNG]]</f>
        <v>2948957.6775798551</v>
      </c>
      <c r="H356" s="28"/>
      <c r="I356" s="11"/>
      <c r="J356" s="11"/>
    </row>
    <row r="357" spans="1:10" hidden="1" x14ac:dyDescent="0.3">
      <c r="A357" s="23" t="s">
        <v>77</v>
      </c>
      <c r="B357" s="27" t="s">
        <v>45</v>
      </c>
      <c r="C357" s="21">
        <v>5</v>
      </c>
      <c r="D357" s="21">
        <v>1100000</v>
      </c>
      <c r="E357" s="21">
        <v>561555.15</v>
      </c>
      <c r="F357" s="21">
        <v>374478.8387899276</v>
      </c>
      <c r="G357" s="21">
        <f>Table8414194101324273239434853567142128[[#This Row],[VỐN CP]]+Table8414194101324273239434853567142128[[#This Row],[LỢI NHUẬN RÒNG]]</f>
        <v>1474478.8387899275</v>
      </c>
      <c r="H357" s="28"/>
      <c r="I357" s="11"/>
      <c r="J357" s="11"/>
    </row>
    <row r="358" spans="1:10" hidden="1" x14ac:dyDescent="0.3">
      <c r="A358" s="23" t="s">
        <v>77</v>
      </c>
      <c r="B358" s="27" t="s">
        <v>25</v>
      </c>
      <c r="C358" s="21">
        <v>10</v>
      </c>
      <c r="D358" s="21">
        <v>2200000</v>
      </c>
      <c r="E358" s="21">
        <v>1123110.3</v>
      </c>
      <c r="F358" s="21">
        <v>748957.6775798552</v>
      </c>
      <c r="G358" s="21">
        <f>Table8414194101324273239434853567142128[[#This Row],[VỐN CP]]+Table8414194101324273239434853567142128[[#This Row],[LỢI NHUẬN RÒNG]]</f>
        <v>2948957.6775798551</v>
      </c>
      <c r="H358" s="28"/>
      <c r="I358" s="11"/>
      <c r="J358" s="11"/>
    </row>
    <row r="359" spans="1:10" hidden="1" x14ac:dyDescent="0.3">
      <c r="A359" s="23" t="s">
        <v>78</v>
      </c>
      <c r="B359" s="27" t="s">
        <v>9</v>
      </c>
      <c r="C359" s="21">
        <v>15</v>
      </c>
      <c r="D359" s="21">
        <v>3900000</v>
      </c>
      <c r="E359" s="21">
        <v>992456.0499999997</v>
      </c>
      <c r="F359" s="21">
        <v>400429.59496384824</v>
      </c>
      <c r="G359" s="21">
        <f>Table8414194101324273239434853567142128[[#This Row],[VỐN CP]]+Table8414194101324273239434853567142128[[#This Row],[LỢI NHUẬN RÒNG]]</f>
        <v>4300429.5949638486</v>
      </c>
      <c r="H359" s="28"/>
      <c r="I359" s="11"/>
      <c r="J359" s="11"/>
    </row>
    <row r="360" spans="1:10" hidden="1" x14ac:dyDescent="0.3">
      <c r="A360" s="23" t="s">
        <v>78</v>
      </c>
      <c r="B360" s="27" t="s">
        <v>19</v>
      </c>
      <c r="C360" s="21">
        <v>5</v>
      </c>
      <c r="D360" s="21">
        <v>1300000</v>
      </c>
      <c r="E360" s="21">
        <v>330818.68333333323</v>
      </c>
      <c r="F360" s="21">
        <v>133476.53165461606</v>
      </c>
      <c r="G360" s="21">
        <f>Table8414194101324273239434853567142128[[#This Row],[VỐN CP]]+Table8414194101324273239434853567142128[[#This Row],[LỢI NHUẬN RÒNG]]</f>
        <v>1433476.5316546161</v>
      </c>
      <c r="H360" s="28"/>
      <c r="I360" s="11"/>
      <c r="J360" s="11"/>
    </row>
    <row r="361" spans="1:10" hidden="1" x14ac:dyDescent="0.3">
      <c r="A361" s="23" t="s">
        <v>78</v>
      </c>
      <c r="B361" s="27" t="s">
        <v>37</v>
      </c>
      <c r="C361" s="21">
        <v>15</v>
      </c>
      <c r="D361" s="21">
        <v>3900000</v>
      </c>
      <c r="E361" s="21">
        <v>992456.0499999997</v>
      </c>
      <c r="F361" s="21">
        <v>400429.59496384824</v>
      </c>
      <c r="G361" s="21">
        <f>Table8414194101324273239434853567142128[[#This Row],[VỐN CP]]+Table8414194101324273239434853567142128[[#This Row],[LỢI NHUẬN RÒNG]]</f>
        <v>4300429.5949638486</v>
      </c>
      <c r="H361" s="28"/>
      <c r="I361" s="11"/>
      <c r="J361" s="11"/>
    </row>
    <row r="362" spans="1:10" hidden="1" x14ac:dyDescent="0.3">
      <c r="A362" s="23" t="s">
        <v>78</v>
      </c>
      <c r="B362" s="27" t="s">
        <v>31</v>
      </c>
      <c r="C362" s="21">
        <v>10</v>
      </c>
      <c r="D362" s="21">
        <v>2600000</v>
      </c>
      <c r="E362" s="21">
        <v>661637.36666666646</v>
      </c>
      <c r="F362" s="21">
        <v>266953.06330923212</v>
      </c>
      <c r="G362" s="21">
        <f>Table8414194101324273239434853567142128[[#This Row],[VỐN CP]]+Table8414194101324273239434853567142128[[#This Row],[LỢI NHUẬN RÒNG]]</f>
        <v>2866953.0633092322</v>
      </c>
      <c r="H362" s="28"/>
      <c r="I362" s="11"/>
      <c r="J362" s="11"/>
    </row>
    <row r="363" spans="1:10" hidden="1" x14ac:dyDescent="0.3">
      <c r="A363" s="23" t="s">
        <v>78</v>
      </c>
      <c r="B363" s="27" t="s">
        <v>15</v>
      </c>
      <c r="C363" s="21">
        <v>5</v>
      </c>
      <c r="D363" s="21">
        <v>1300000</v>
      </c>
      <c r="E363" s="21">
        <v>330818.68333333323</v>
      </c>
      <c r="F363" s="21">
        <v>133476.53165461606</v>
      </c>
      <c r="G363" s="21">
        <f>Table8414194101324273239434853567142128[[#This Row],[VỐN CP]]+Table8414194101324273239434853567142128[[#This Row],[LỢI NHUẬN RÒNG]]</f>
        <v>1433476.5316546161</v>
      </c>
      <c r="H363" s="28"/>
      <c r="I363" s="11"/>
      <c r="J363" s="11"/>
    </row>
    <row r="364" spans="1:10" hidden="1" x14ac:dyDescent="0.3">
      <c r="A364" s="23" t="s">
        <v>78</v>
      </c>
      <c r="B364" s="27" t="s">
        <v>21</v>
      </c>
      <c r="C364" s="21">
        <v>20</v>
      </c>
      <c r="D364" s="21">
        <v>5200000</v>
      </c>
      <c r="E364" s="21">
        <v>1323274.7333333329</v>
      </c>
      <c r="F364" s="21">
        <v>533906.12661846424</v>
      </c>
      <c r="G364" s="21">
        <f>Table8414194101324273239434853567142128[[#This Row],[VỐN CP]]+Table8414194101324273239434853567142128[[#This Row],[LỢI NHUẬN RÒNG]]</f>
        <v>5733906.1266184645</v>
      </c>
      <c r="H364" s="28"/>
      <c r="I364" s="11"/>
      <c r="J364" s="11"/>
    </row>
    <row r="365" spans="1:10" hidden="1" x14ac:dyDescent="0.3">
      <c r="A365" s="23" t="s">
        <v>78</v>
      </c>
      <c r="B365" s="27" t="s">
        <v>13</v>
      </c>
      <c r="C365" s="21">
        <v>5</v>
      </c>
      <c r="D365" s="21">
        <v>1300000</v>
      </c>
      <c r="E365" s="21">
        <v>330818.68333333323</v>
      </c>
      <c r="F365" s="21">
        <v>133476.53165461606</v>
      </c>
      <c r="G365" s="21">
        <f>Table8414194101324273239434853567142128[[#This Row],[VỐN CP]]+Table8414194101324273239434853567142128[[#This Row],[LỢI NHUẬN RÒNG]]</f>
        <v>1433476.5316546161</v>
      </c>
      <c r="H365" s="28"/>
      <c r="I365" s="11"/>
      <c r="J365" s="11"/>
    </row>
    <row r="366" spans="1:10" hidden="1" x14ac:dyDescent="0.3">
      <c r="A366" s="23" t="s">
        <v>78</v>
      </c>
      <c r="B366" s="27" t="s">
        <v>29</v>
      </c>
      <c r="C366" s="21">
        <v>5</v>
      </c>
      <c r="D366" s="21">
        <v>1300000</v>
      </c>
      <c r="E366" s="21">
        <v>330818.68333333323</v>
      </c>
      <c r="F366" s="21">
        <v>133476.53165461606</v>
      </c>
      <c r="G366" s="21">
        <f>Table8414194101324273239434853567142128[[#This Row],[VỐN CP]]+Table8414194101324273239434853567142128[[#This Row],[LỢI NHUẬN RÒNG]]</f>
        <v>1433476.5316546161</v>
      </c>
      <c r="H366" s="28"/>
      <c r="I366" s="11"/>
      <c r="J366" s="11"/>
    </row>
    <row r="367" spans="1:10" hidden="1" x14ac:dyDescent="0.3">
      <c r="A367" s="23" t="s">
        <v>78</v>
      </c>
      <c r="B367" s="27" t="s">
        <v>43</v>
      </c>
      <c r="C367" s="21">
        <v>5</v>
      </c>
      <c r="D367" s="21">
        <v>1300000</v>
      </c>
      <c r="E367" s="21">
        <v>330818.68333333323</v>
      </c>
      <c r="F367" s="21">
        <v>133476.53165461606</v>
      </c>
      <c r="G367" s="21">
        <f>Table8414194101324273239434853567142128[[#This Row],[VỐN CP]]+Table8414194101324273239434853567142128[[#This Row],[LỢI NHUẬN RÒNG]]</f>
        <v>1433476.5316546161</v>
      </c>
      <c r="H367" s="28"/>
      <c r="I367" s="11"/>
      <c r="J367" s="11"/>
    </row>
    <row r="368" spans="1:10" hidden="1" x14ac:dyDescent="0.3">
      <c r="A368" s="23" t="s">
        <v>78</v>
      </c>
      <c r="B368" s="27" t="s">
        <v>44</v>
      </c>
      <c r="C368" s="21">
        <v>5</v>
      </c>
      <c r="D368" s="21">
        <v>1300000</v>
      </c>
      <c r="E368" s="21">
        <v>330818.68333333323</v>
      </c>
      <c r="F368" s="21">
        <v>133476.53165461606</v>
      </c>
      <c r="G368" s="21">
        <f>Table8414194101324273239434853567142128[[#This Row],[VỐN CP]]+Table8414194101324273239434853567142128[[#This Row],[LỢI NHUẬN RÒNG]]</f>
        <v>1433476.5316546161</v>
      </c>
      <c r="H368" s="28"/>
      <c r="I368" s="11"/>
      <c r="J368" s="11"/>
    </row>
    <row r="369" spans="1:10" hidden="1" x14ac:dyDescent="0.3">
      <c r="A369" s="23" t="s">
        <v>78</v>
      </c>
      <c r="B369" s="27" t="s">
        <v>25</v>
      </c>
      <c r="C369" s="21">
        <v>10</v>
      </c>
      <c r="D369" s="21">
        <v>2600000</v>
      </c>
      <c r="E369" s="21">
        <v>661637.36666666646</v>
      </c>
      <c r="F369" s="21">
        <v>266953.06330923212</v>
      </c>
      <c r="G369" s="21">
        <f>Table8414194101324273239434853567142128[[#This Row],[VỐN CP]]+Table8414194101324273239434853567142128[[#This Row],[LỢI NHUẬN RÒNG]]</f>
        <v>2866953.0633092322</v>
      </c>
      <c r="H369" s="28"/>
      <c r="I369" s="11"/>
      <c r="J369" s="11"/>
    </row>
    <row r="370" spans="1:10" hidden="1" x14ac:dyDescent="0.3">
      <c r="A370" s="23" t="s">
        <v>79</v>
      </c>
      <c r="B370" s="27" t="s">
        <v>9</v>
      </c>
      <c r="C370" s="21">
        <v>30</v>
      </c>
      <c r="D370" s="21">
        <v>18000000</v>
      </c>
      <c r="E370" s="21">
        <v>2589412.7999999998</v>
      </c>
      <c r="F370" s="21">
        <v>-421297.80634034873</v>
      </c>
      <c r="G370" s="21">
        <f>Table8414194101324273239434853567142128[[#This Row],[VỐN CP]]+Table8414194101324273239434853567142128[[#This Row],[LỢI NHUẬN RÒNG]]</f>
        <v>17578702.193659652</v>
      </c>
      <c r="H370" s="28"/>
      <c r="I370" s="11"/>
      <c r="J370" s="11"/>
    </row>
    <row r="371" spans="1:10" hidden="1" x14ac:dyDescent="0.3">
      <c r="A371" s="23" t="s">
        <v>79</v>
      </c>
      <c r="B371" s="27" t="s">
        <v>37</v>
      </c>
      <c r="C371" s="21">
        <v>30</v>
      </c>
      <c r="D371" s="21">
        <v>18000000</v>
      </c>
      <c r="E371" s="21">
        <v>2589412.7999999998</v>
      </c>
      <c r="F371" s="21">
        <v>-421297.80634034873</v>
      </c>
      <c r="G371" s="21">
        <f>Table8414194101324273239434853567142128[[#This Row],[VỐN CP]]+Table8414194101324273239434853567142128[[#This Row],[LỢI NHUẬN RÒNG]]</f>
        <v>17578702.193659652</v>
      </c>
      <c r="H371" s="28"/>
      <c r="I371" s="11"/>
      <c r="J371" s="11"/>
    </row>
    <row r="372" spans="1:10" hidden="1" x14ac:dyDescent="0.3">
      <c r="A372" s="23" t="s">
        <v>79</v>
      </c>
      <c r="B372" s="27" t="s">
        <v>21</v>
      </c>
      <c r="C372" s="21">
        <v>30</v>
      </c>
      <c r="D372" s="21">
        <v>18000000</v>
      </c>
      <c r="E372" s="21">
        <v>2589412.7999999998</v>
      </c>
      <c r="F372" s="21">
        <v>-421297.80634034873</v>
      </c>
      <c r="G372" s="21">
        <f>Table8414194101324273239434853567142128[[#This Row],[VỐN CP]]+Table8414194101324273239434853567142128[[#This Row],[LỢI NHUẬN RÒNG]]</f>
        <v>17578702.193659652</v>
      </c>
      <c r="H372" s="28"/>
      <c r="I372" s="11"/>
      <c r="J372" s="11"/>
    </row>
    <row r="373" spans="1:10" hidden="1" x14ac:dyDescent="0.3">
      <c r="A373" s="23" t="s">
        <v>79</v>
      </c>
      <c r="B373" s="27" t="s">
        <v>10</v>
      </c>
      <c r="C373" s="21">
        <v>10</v>
      </c>
      <c r="D373" s="21">
        <v>6000000</v>
      </c>
      <c r="E373" s="21">
        <v>863137.6</v>
      </c>
      <c r="F373" s="21">
        <v>-140432.60211344957</v>
      </c>
      <c r="G373" s="21">
        <f>Table8414194101324273239434853567142128[[#This Row],[VỐN CP]]+Table8414194101324273239434853567142128[[#This Row],[LỢI NHUẬN RÒNG]]</f>
        <v>5859567.3978865501</v>
      </c>
      <c r="H373" s="28"/>
      <c r="I373" s="11"/>
      <c r="J373" s="11"/>
    </row>
    <row r="374" spans="1:10" hidden="1" x14ac:dyDescent="0.3">
      <c r="A374" s="23" t="s">
        <v>80</v>
      </c>
      <c r="B374" s="27" t="s">
        <v>9</v>
      </c>
      <c r="C374" s="21">
        <v>30</v>
      </c>
      <c r="D374" s="21">
        <v>15000000</v>
      </c>
      <c r="E374" s="21">
        <v>6513384.2999999998</v>
      </c>
      <c r="F374" s="21">
        <v>4942056.6887724372</v>
      </c>
      <c r="G374" s="21">
        <f>Table8414194101324273239434853567142128[[#This Row],[VỐN CP]]+Table8414194101324273239434853567142128[[#This Row],[LỢI NHUẬN RÒNG]]</f>
        <v>19942056.688772436</v>
      </c>
      <c r="H374" s="28"/>
      <c r="I374" s="11"/>
      <c r="J374" s="11"/>
    </row>
    <row r="375" spans="1:10" hidden="1" x14ac:dyDescent="0.3">
      <c r="A375" s="23" t="s">
        <v>80</v>
      </c>
      <c r="B375" s="27" t="s">
        <v>37</v>
      </c>
      <c r="C375" s="21">
        <v>40</v>
      </c>
      <c r="D375" s="21">
        <v>20000000</v>
      </c>
      <c r="E375" s="21">
        <v>8684512.4000000004</v>
      </c>
      <c r="F375" s="21">
        <v>6589408.9183632489</v>
      </c>
      <c r="G375" s="21">
        <f>Table8414194101324273239434853567142128[[#This Row],[VỐN CP]]+Table8414194101324273239434853567142128[[#This Row],[LỢI NHUẬN RÒNG]]</f>
        <v>26589408.918363251</v>
      </c>
      <c r="H375" s="28"/>
      <c r="I375" s="11"/>
      <c r="J375" s="11"/>
    </row>
    <row r="376" spans="1:10" hidden="1" x14ac:dyDescent="0.3">
      <c r="A376" s="23" t="s">
        <v>80</v>
      </c>
      <c r="B376" s="27" t="s">
        <v>21</v>
      </c>
      <c r="C376" s="21">
        <v>20</v>
      </c>
      <c r="D376" s="21">
        <v>10000000</v>
      </c>
      <c r="E376" s="21">
        <v>4342256.2</v>
      </c>
      <c r="F376" s="21">
        <v>3294704.4591816245</v>
      </c>
      <c r="G376" s="21">
        <f>Table8414194101324273239434853567142128[[#This Row],[VỐN CP]]+Table8414194101324273239434853567142128[[#This Row],[LỢI NHUẬN RÒNG]]</f>
        <v>13294704.459181625</v>
      </c>
      <c r="H376" s="28"/>
      <c r="I376" s="11"/>
      <c r="J376" s="11"/>
    </row>
    <row r="377" spans="1:10" hidden="1" x14ac:dyDescent="0.3">
      <c r="A377" s="23" t="s">
        <v>80</v>
      </c>
      <c r="B377" s="27" t="s">
        <v>10</v>
      </c>
      <c r="C377" s="21">
        <v>10</v>
      </c>
      <c r="D377" s="21">
        <v>5000000</v>
      </c>
      <c r="E377" s="21">
        <v>2171128.1</v>
      </c>
      <c r="F377" s="21">
        <v>1647352.2295908122</v>
      </c>
      <c r="G377" s="21">
        <f>Table8414194101324273239434853567142128[[#This Row],[VỐN CP]]+Table8414194101324273239434853567142128[[#This Row],[LỢI NHUẬN RÒNG]]</f>
        <v>6647352.2295908127</v>
      </c>
      <c r="H377" s="28"/>
      <c r="I377" s="11"/>
      <c r="J377" s="11"/>
    </row>
    <row r="378" spans="1:10" hidden="1" x14ac:dyDescent="0.3">
      <c r="A378" s="23" t="s">
        <v>81</v>
      </c>
      <c r="B378" s="27" t="s">
        <v>9</v>
      </c>
      <c r="C378" s="21">
        <v>15</v>
      </c>
      <c r="D378" s="21">
        <v>4800000</v>
      </c>
      <c r="E378" s="21">
        <v>762982.05</v>
      </c>
      <c r="F378" s="21">
        <v>262677.23515486566</v>
      </c>
      <c r="G378" s="21">
        <f>Table8414194101324273239434853567142128[[#This Row],[VỐN CP]]+Table8414194101324273239434853567142128[[#This Row],[LỢI NHUẬN RÒNG]]</f>
        <v>5062677.2351548653</v>
      </c>
      <c r="H378" s="28"/>
      <c r="I378" s="11"/>
      <c r="J378" s="11"/>
    </row>
    <row r="379" spans="1:10" hidden="1" x14ac:dyDescent="0.3">
      <c r="A379" s="23" t="s">
        <v>81</v>
      </c>
      <c r="B379" s="27" t="s">
        <v>19</v>
      </c>
      <c r="C379" s="21">
        <v>5</v>
      </c>
      <c r="D379" s="21">
        <v>1600000</v>
      </c>
      <c r="E379" s="21">
        <v>254327.35</v>
      </c>
      <c r="F379" s="21">
        <v>87559.078384955224</v>
      </c>
      <c r="G379" s="21">
        <f>Table8414194101324273239434853567142128[[#This Row],[VỐN CP]]+Table8414194101324273239434853567142128[[#This Row],[LỢI NHUẬN RÒNG]]</f>
        <v>1687559.0783849552</v>
      </c>
      <c r="H379" s="28"/>
      <c r="I379" s="11"/>
      <c r="J379" s="11"/>
    </row>
    <row r="380" spans="1:10" hidden="1" x14ac:dyDescent="0.3">
      <c r="A380" s="23" t="s">
        <v>81</v>
      </c>
      <c r="B380" s="27" t="s">
        <v>37</v>
      </c>
      <c r="C380" s="21">
        <v>15</v>
      </c>
      <c r="D380" s="21">
        <v>4800000</v>
      </c>
      <c r="E380" s="21">
        <v>762982.05</v>
      </c>
      <c r="F380" s="21">
        <v>262677.23515486566</v>
      </c>
      <c r="G380" s="21">
        <f>Table8414194101324273239434853567142128[[#This Row],[VỐN CP]]+Table8414194101324273239434853567142128[[#This Row],[LỢI NHUẬN RÒNG]]</f>
        <v>5062677.2351548653</v>
      </c>
      <c r="H380" s="28"/>
      <c r="I380" s="11"/>
      <c r="J380" s="11"/>
    </row>
    <row r="381" spans="1:10" hidden="1" x14ac:dyDescent="0.3">
      <c r="A381" s="23" t="s">
        <v>81</v>
      </c>
      <c r="B381" s="27" t="s">
        <v>31</v>
      </c>
      <c r="C381" s="21">
        <v>5</v>
      </c>
      <c r="D381" s="21">
        <v>1600000</v>
      </c>
      <c r="E381" s="21">
        <v>254327.35</v>
      </c>
      <c r="F381" s="21">
        <v>87559.078384955224</v>
      </c>
      <c r="G381" s="21">
        <f>Table8414194101324273239434853567142128[[#This Row],[VỐN CP]]+Table8414194101324273239434853567142128[[#This Row],[LỢI NHUẬN RÒNG]]</f>
        <v>1687559.0783849552</v>
      </c>
      <c r="H381" s="28"/>
      <c r="I381" s="11"/>
      <c r="J381" s="11"/>
    </row>
    <row r="382" spans="1:10" hidden="1" x14ac:dyDescent="0.3">
      <c r="A382" s="23" t="s">
        <v>81</v>
      </c>
      <c r="B382" s="27" t="s">
        <v>15</v>
      </c>
      <c r="C382" s="21">
        <v>5</v>
      </c>
      <c r="D382" s="21">
        <v>1600000</v>
      </c>
      <c r="E382" s="21">
        <v>254327.35</v>
      </c>
      <c r="F382" s="21">
        <v>87559.078384955224</v>
      </c>
      <c r="G382" s="21">
        <f>Table8414194101324273239434853567142128[[#This Row],[VỐN CP]]+Table8414194101324273239434853567142128[[#This Row],[LỢI NHUẬN RÒNG]]</f>
        <v>1687559.0783849552</v>
      </c>
      <c r="H382" s="28"/>
      <c r="I382" s="11"/>
      <c r="J382" s="11"/>
    </row>
    <row r="383" spans="1:10" hidden="1" x14ac:dyDescent="0.3">
      <c r="A383" s="23" t="s">
        <v>81</v>
      </c>
      <c r="B383" s="27" t="s">
        <v>21</v>
      </c>
      <c r="C383" s="21">
        <v>15</v>
      </c>
      <c r="D383" s="21">
        <v>4800000</v>
      </c>
      <c r="E383" s="21">
        <v>762982.05</v>
      </c>
      <c r="F383" s="21">
        <v>262677.23515486566</v>
      </c>
      <c r="G383" s="21">
        <f>Table8414194101324273239434853567142128[[#This Row],[VỐN CP]]+Table8414194101324273239434853567142128[[#This Row],[LỢI NHUẬN RÒNG]]</f>
        <v>5062677.2351548653</v>
      </c>
      <c r="H383" s="28"/>
      <c r="I383" s="11"/>
      <c r="J383" s="11"/>
    </row>
    <row r="384" spans="1:10" hidden="1" x14ac:dyDescent="0.3">
      <c r="A384" s="23" t="s">
        <v>81</v>
      </c>
      <c r="B384" s="27" t="s">
        <v>10</v>
      </c>
      <c r="C384" s="21">
        <v>5</v>
      </c>
      <c r="D384" s="21">
        <v>1600000</v>
      </c>
      <c r="E384" s="21">
        <v>254327.35</v>
      </c>
      <c r="F384" s="21">
        <v>87559.078384955224</v>
      </c>
      <c r="G384" s="21">
        <f>Table8414194101324273239434853567142128[[#This Row],[VỐN CP]]+Table8414194101324273239434853567142128[[#This Row],[LỢI NHUẬN RÒNG]]</f>
        <v>1687559.0783849552</v>
      </c>
      <c r="H384" s="28"/>
      <c r="I384" s="11"/>
      <c r="J384" s="11"/>
    </row>
    <row r="385" spans="1:10" hidden="1" x14ac:dyDescent="0.3">
      <c r="A385" s="23" t="s">
        <v>81</v>
      </c>
      <c r="B385" s="27" t="s">
        <v>13</v>
      </c>
      <c r="C385" s="21">
        <v>10</v>
      </c>
      <c r="D385" s="21">
        <v>3200000</v>
      </c>
      <c r="E385" s="21">
        <v>508654.7</v>
      </c>
      <c r="F385" s="21">
        <v>175118.15676991045</v>
      </c>
      <c r="G385" s="21">
        <f>Table8414194101324273239434853567142128[[#This Row],[VỐN CP]]+Table8414194101324273239434853567142128[[#This Row],[LỢI NHUẬN RÒNG]]</f>
        <v>3375118.1567699104</v>
      </c>
      <c r="H385" s="28"/>
      <c r="I385" s="11"/>
      <c r="J385" s="11"/>
    </row>
    <row r="386" spans="1:10" hidden="1" x14ac:dyDescent="0.3">
      <c r="A386" s="23" t="s">
        <v>81</v>
      </c>
      <c r="B386" s="27" t="s">
        <v>35</v>
      </c>
      <c r="C386" s="21">
        <v>5</v>
      </c>
      <c r="D386" s="21">
        <v>1600000</v>
      </c>
      <c r="E386" s="21">
        <v>254327.35</v>
      </c>
      <c r="F386" s="21">
        <v>87559.078384955224</v>
      </c>
      <c r="G386" s="21">
        <f>Table8414194101324273239434853567142128[[#This Row],[VỐN CP]]+Table8414194101324273239434853567142128[[#This Row],[LỢI NHUẬN RÒNG]]</f>
        <v>1687559.0783849552</v>
      </c>
      <c r="H386" s="28"/>
      <c r="I386" s="11"/>
      <c r="J386" s="11"/>
    </row>
    <row r="387" spans="1:10" hidden="1" x14ac:dyDescent="0.3">
      <c r="A387" s="23" t="s">
        <v>81</v>
      </c>
      <c r="B387" s="27" t="s">
        <v>43</v>
      </c>
      <c r="C387" s="21">
        <v>10</v>
      </c>
      <c r="D387" s="21">
        <v>3200000</v>
      </c>
      <c r="E387" s="21">
        <v>508654.7</v>
      </c>
      <c r="F387" s="21">
        <v>175118.15676991045</v>
      </c>
      <c r="G387" s="21">
        <f>Table8414194101324273239434853567142128[[#This Row],[VỐN CP]]+Table8414194101324273239434853567142128[[#This Row],[LỢI NHUẬN RÒNG]]</f>
        <v>3375118.1567699104</v>
      </c>
      <c r="H387" s="28"/>
      <c r="I387" s="11"/>
      <c r="J387" s="11"/>
    </row>
    <row r="388" spans="1:10" hidden="1" x14ac:dyDescent="0.3">
      <c r="A388" s="23" t="s">
        <v>81</v>
      </c>
      <c r="B388" s="27" t="s">
        <v>25</v>
      </c>
      <c r="C388" s="21">
        <v>10</v>
      </c>
      <c r="D388" s="21">
        <v>3200000</v>
      </c>
      <c r="E388" s="21">
        <v>508654.7</v>
      </c>
      <c r="F388" s="21">
        <v>175118.15676991045</v>
      </c>
      <c r="G388" s="21">
        <f>Table8414194101324273239434853567142128[[#This Row],[VỐN CP]]+Table8414194101324273239434853567142128[[#This Row],[LỢI NHUẬN RÒNG]]</f>
        <v>3375118.1567699104</v>
      </c>
      <c r="H388" s="28"/>
      <c r="I388" s="11"/>
      <c r="J388" s="11"/>
    </row>
    <row r="389" spans="1:10" hidden="1" x14ac:dyDescent="0.3">
      <c r="A389" s="23" t="s">
        <v>82</v>
      </c>
      <c r="B389" s="27" t="s">
        <v>9</v>
      </c>
      <c r="C389" s="21">
        <v>25</v>
      </c>
      <c r="D389" s="21">
        <v>4000000</v>
      </c>
      <c r="E389" s="21">
        <v>4535286</v>
      </c>
      <c r="F389" s="21">
        <v>3544318.9485794427</v>
      </c>
      <c r="G389" s="21">
        <f>Table8414194101324273239434853567142128[[#This Row],[VỐN CP]]+Table8414194101324273239434853567142128[[#This Row],[LỢI NHUẬN RÒNG]]</f>
        <v>7544318.9485794427</v>
      </c>
      <c r="H389" s="28"/>
      <c r="I389" s="11"/>
      <c r="J389" s="11"/>
    </row>
    <row r="390" spans="1:10" hidden="1" x14ac:dyDescent="0.3">
      <c r="A390" s="23" t="s">
        <v>82</v>
      </c>
      <c r="B390" s="27" t="s">
        <v>19</v>
      </c>
      <c r="C390" s="21">
        <v>20</v>
      </c>
      <c r="D390" s="21">
        <v>3200000</v>
      </c>
      <c r="E390" s="21">
        <v>3628228.8</v>
      </c>
      <c r="F390" s="21">
        <v>2835455.1588635538</v>
      </c>
      <c r="G390" s="21">
        <f>Table8414194101324273239434853567142128[[#This Row],[VỐN CP]]+Table8414194101324273239434853567142128[[#This Row],[LỢI NHUẬN RÒNG]]</f>
        <v>6035455.1588635538</v>
      </c>
      <c r="H390" s="28"/>
      <c r="I390" s="11"/>
      <c r="J390" s="11"/>
    </row>
    <row r="391" spans="1:10" hidden="1" x14ac:dyDescent="0.3">
      <c r="A391" s="23" t="s">
        <v>82</v>
      </c>
      <c r="B391" s="27" t="s">
        <v>37</v>
      </c>
      <c r="C391" s="21">
        <v>25</v>
      </c>
      <c r="D391" s="21">
        <v>4000000</v>
      </c>
      <c r="E391" s="21">
        <v>4535286</v>
      </c>
      <c r="F391" s="21">
        <v>3544318.9485794427</v>
      </c>
      <c r="G391" s="21">
        <f>Table8414194101324273239434853567142128[[#This Row],[VỐN CP]]+Table8414194101324273239434853567142128[[#This Row],[LỢI NHUẬN RÒNG]]</f>
        <v>7544318.9485794427</v>
      </c>
      <c r="H391" s="28"/>
      <c r="I391" s="11"/>
      <c r="J391" s="11"/>
    </row>
    <row r="392" spans="1:10" hidden="1" x14ac:dyDescent="0.3">
      <c r="A392" s="23" t="s">
        <v>82</v>
      </c>
      <c r="B392" s="27" t="s">
        <v>21</v>
      </c>
      <c r="C392" s="21">
        <v>25</v>
      </c>
      <c r="D392" s="21">
        <v>4000000</v>
      </c>
      <c r="E392" s="21">
        <v>4535286</v>
      </c>
      <c r="F392" s="21">
        <v>3544318.9485794427</v>
      </c>
      <c r="G392" s="21">
        <f>Table8414194101324273239434853567142128[[#This Row],[VỐN CP]]+Table8414194101324273239434853567142128[[#This Row],[LỢI NHUẬN RÒNG]]</f>
        <v>7544318.9485794427</v>
      </c>
      <c r="H392" s="28"/>
      <c r="I392" s="11"/>
      <c r="J392" s="11"/>
    </row>
    <row r="393" spans="1:10" hidden="1" x14ac:dyDescent="0.3">
      <c r="A393" s="23" t="s">
        <v>82</v>
      </c>
      <c r="B393" s="27" t="s">
        <v>10</v>
      </c>
      <c r="C393" s="21">
        <v>5</v>
      </c>
      <c r="D393" s="21">
        <v>800000</v>
      </c>
      <c r="E393" s="21">
        <v>907057.2</v>
      </c>
      <c r="F393" s="21">
        <v>708863.78971588844</v>
      </c>
      <c r="G393" s="21">
        <f>Table8414194101324273239434853567142128[[#This Row],[VỐN CP]]+Table8414194101324273239434853567142128[[#This Row],[LỢI NHUẬN RÒNG]]</f>
        <v>1508863.7897158884</v>
      </c>
      <c r="H393" s="28"/>
      <c r="I393" s="11"/>
      <c r="J393" s="11"/>
    </row>
    <row r="394" spans="1:10" hidden="1" x14ac:dyDescent="0.3">
      <c r="A394" s="23" t="s">
        <v>83</v>
      </c>
      <c r="B394" s="27" t="s">
        <v>9</v>
      </c>
      <c r="C394" s="21">
        <v>20</v>
      </c>
      <c r="D394" s="21">
        <v>8200000</v>
      </c>
      <c r="E394" s="21">
        <v>1568018.4</v>
      </c>
      <c r="F394" s="21">
        <v>889714.62481868709</v>
      </c>
      <c r="G394" s="21">
        <f>Table8414194101324273239434853567142128[[#This Row],[VỐN CP]]+Table8414194101324273239434853567142128[[#This Row],[LỢI NHUẬN RÒNG]]</f>
        <v>9089714.6248186864</v>
      </c>
      <c r="H394" s="28"/>
      <c r="I394" s="11"/>
      <c r="J394" s="11"/>
    </row>
    <row r="395" spans="1:10" hidden="1" x14ac:dyDescent="0.3">
      <c r="A395" s="23" t="s">
        <v>83</v>
      </c>
      <c r="B395" s="27" t="s">
        <v>19</v>
      </c>
      <c r="C395" s="21">
        <v>5</v>
      </c>
      <c r="D395" s="21">
        <v>2050000</v>
      </c>
      <c r="E395" s="21">
        <v>392004.6</v>
      </c>
      <c r="F395" s="21">
        <v>222428.65620467177</v>
      </c>
      <c r="G395" s="21">
        <f>Table8414194101324273239434853567142128[[#This Row],[VỐN CP]]+Table8414194101324273239434853567142128[[#This Row],[LỢI NHUẬN RÒNG]]</f>
        <v>2272428.6562046716</v>
      </c>
      <c r="H395" s="28"/>
      <c r="I395" s="11"/>
      <c r="J395" s="11"/>
    </row>
    <row r="396" spans="1:10" hidden="1" x14ac:dyDescent="0.3">
      <c r="A396" s="23" t="s">
        <v>83</v>
      </c>
      <c r="B396" s="27" t="s">
        <v>37</v>
      </c>
      <c r="C396" s="21">
        <v>10</v>
      </c>
      <c r="D396" s="21">
        <v>4100000</v>
      </c>
      <c r="E396" s="21">
        <v>784009.2</v>
      </c>
      <c r="F396" s="21">
        <v>444857.31240934355</v>
      </c>
      <c r="G396" s="21">
        <f>Table8414194101324273239434853567142128[[#This Row],[VỐN CP]]+Table8414194101324273239434853567142128[[#This Row],[LỢI NHUẬN RÒNG]]</f>
        <v>4544857.3124093432</v>
      </c>
      <c r="H396" s="28"/>
      <c r="I396" s="11"/>
      <c r="J396" s="11"/>
    </row>
    <row r="397" spans="1:10" hidden="1" x14ac:dyDescent="0.3">
      <c r="A397" s="23" t="s">
        <v>83</v>
      </c>
      <c r="B397" s="27" t="s">
        <v>31</v>
      </c>
      <c r="C397" s="21">
        <v>20</v>
      </c>
      <c r="D397" s="21">
        <v>8200000</v>
      </c>
      <c r="E397" s="21">
        <v>1568018.4</v>
      </c>
      <c r="F397" s="21">
        <v>889714.62481868709</v>
      </c>
      <c r="G397" s="21">
        <f>Table8414194101324273239434853567142128[[#This Row],[VỐN CP]]+Table8414194101324273239434853567142128[[#This Row],[LỢI NHUẬN RÒNG]]</f>
        <v>9089714.6248186864</v>
      </c>
      <c r="H397" s="28"/>
      <c r="I397" s="11"/>
      <c r="J397" s="11"/>
    </row>
    <row r="398" spans="1:10" hidden="1" x14ac:dyDescent="0.3">
      <c r="A398" s="23" t="s">
        <v>83</v>
      </c>
      <c r="B398" s="27" t="s">
        <v>21</v>
      </c>
      <c r="C398" s="21">
        <v>20</v>
      </c>
      <c r="D398" s="21">
        <v>8200000</v>
      </c>
      <c r="E398" s="21">
        <v>1568018.4</v>
      </c>
      <c r="F398" s="21">
        <v>889714.62481868709</v>
      </c>
      <c r="G398" s="21">
        <f>Table8414194101324273239434853567142128[[#This Row],[VỐN CP]]+Table8414194101324273239434853567142128[[#This Row],[LỢI NHUẬN RÒNG]]</f>
        <v>9089714.6248186864</v>
      </c>
      <c r="H398" s="28"/>
      <c r="I398" s="11"/>
      <c r="J398" s="11"/>
    </row>
    <row r="399" spans="1:10" hidden="1" x14ac:dyDescent="0.3">
      <c r="A399" s="23" t="s">
        <v>83</v>
      </c>
      <c r="B399" s="27" t="s">
        <v>35</v>
      </c>
      <c r="C399" s="21">
        <v>5</v>
      </c>
      <c r="D399" s="21">
        <v>2050000</v>
      </c>
      <c r="E399" s="21">
        <v>392004.6</v>
      </c>
      <c r="F399" s="21">
        <v>222428.65620467177</v>
      </c>
      <c r="G399" s="21">
        <f>Table8414194101324273239434853567142128[[#This Row],[VỐN CP]]+Table8414194101324273239434853567142128[[#This Row],[LỢI NHUẬN RÒNG]]</f>
        <v>2272428.6562046716</v>
      </c>
      <c r="H399" s="28"/>
      <c r="I399" s="11"/>
      <c r="J399" s="11"/>
    </row>
    <row r="400" spans="1:10" hidden="1" x14ac:dyDescent="0.3">
      <c r="A400" s="23" t="s">
        <v>83</v>
      </c>
      <c r="B400" s="27" t="s">
        <v>43</v>
      </c>
      <c r="C400" s="21">
        <v>10</v>
      </c>
      <c r="D400" s="21">
        <v>4100000</v>
      </c>
      <c r="E400" s="21">
        <v>784009.2</v>
      </c>
      <c r="F400" s="21">
        <v>444857.31240934355</v>
      </c>
      <c r="G400" s="21">
        <f>Table8414194101324273239434853567142128[[#This Row],[VỐN CP]]+Table8414194101324273239434853567142128[[#This Row],[LỢI NHUẬN RÒNG]]</f>
        <v>4544857.3124093432</v>
      </c>
      <c r="H400" s="28"/>
      <c r="I400" s="11"/>
      <c r="J400" s="11"/>
    </row>
    <row r="401" spans="1:11" hidden="1" x14ac:dyDescent="0.3">
      <c r="A401" s="23" t="s">
        <v>83</v>
      </c>
      <c r="B401" s="27" t="s">
        <v>25</v>
      </c>
      <c r="C401" s="21">
        <v>10</v>
      </c>
      <c r="D401" s="21">
        <v>4100000</v>
      </c>
      <c r="E401" s="21">
        <v>784009.2</v>
      </c>
      <c r="F401" s="21">
        <v>444857.31240934355</v>
      </c>
      <c r="G401" s="21">
        <f>Table8414194101324273239434853567142128[[#This Row],[VỐN CP]]+Table8414194101324273239434853567142128[[#This Row],[LỢI NHUẬN RÒNG]]</f>
        <v>4544857.3124093432</v>
      </c>
      <c r="H401" s="28"/>
      <c r="I401" s="11"/>
      <c r="J401" s="11"/>
    </row>
    <row r="402" spans="1:11" hidden="1" x14ac:dyDescent="0.3">
      <c r="A402" s="23" t="s">
        <v>84</v>
      </c>
      <c r="B402" s="27" t="s">
        <v>9</v>
      </c>
      <c r="C402" s="21">
        <v>20</v>
      </c>
      <c r="D402" s="21">
        <v>19000000</v>
      </c>
      <c r="E402" s="21">
        <v>5684566.4000000004</v>
      </c>
      <c r="F402" s="21">
        <v>2738472.3755433736</v>
      </c>
      <c r="G402" s="21">
        <f>Table8414194101324273239434853567142128[[#This Row],[VỐN CP]]+Table8414194101324273239434853567142128[[#This Row],[LỢI NHUẬN RÒNG]]</f>
        <v>21738472.375543375</v>
      </c>
      <c r="H402" s="28"/>
      <c r="I402" s="11"/>
      <c r="J402" s="11"/>
    </row>
    <row r="403" spans="1:11" hidden="1" x14ac:dyDescent="0.3">
      <c r="A403" s="23" t="s">
        <v>84</v>
      </c>
      <c r="B403" s="27" t="s">
        <v>19</v>
      </c>
      <c r="C403" s="21">
        <v>10</v>
      </c>
      <c r="D403" s="21">
        <v>9500000</v>
      </c>
      <c r="E403" s="21">
        <v>2842283.2</v>
      </c>
      <c r="F403" s="21">
        <v>1369236.1877716868</v>
      </c>
      <c r="G403" s="21">
        <f>Table8414194101324273239434853567142128[[#This Row],[VỐN CP]]+Table8414194101324273239434853567142128[[#This Row],[LỢI NHUẬN RÒNG]]</f>
        <v>10869236.187771687</v>
      </c>
      <c r="H403" s="28"/>
      <c r="I403" s="11"/>
      <c r="J403" s="11"/>
    </row>
    <row r="404" spans="1:11" hidden="1" x14ac:dyDescent="0.3">
      <c r="A404" s="23" t="s">
        <v>84</v>
      </c>
      <c r="B404" s="27" t="s">
        <v>37</v>
      </c>
      <c r="C404" s="21">
        <v>10</v>
      </c>
      <c r="D404" s="21">
        <v>9500000</v>
      </c>
      <c r="E404" s="21">
        <v>2842283.2</v>
      </c>
      <c r="F404" s="21">
        <v>1369236.1877716868</v>
      </c>
      <c r="G404" s="21">
        <f>Table8414194101324273239434853567142128[[#This Row],[VỐN CP]]+Table8414194101324273239434853567142128[[#This Row],[LỢI NHUẬN RÒNG]]</f>
        <v>10869236.187771687</v>
      </c>
      <c r="H404" s="28"/>
      <c r="I404" s="11"/>
      <c r="J404" s="11"/>
    </row>
    <row r="405" spans="1:11" hidden="1" x14ac:dyDescent="0.3">
      <c r="A405" s="23" t="s">
        <v>84</v>
      </c>
      <c r="B405" s="27" t="s">
        <v>31</v>
      </c>
      <c r="C405" s="21">
        <v>20</v>
      </c>
      <c r="D405" s="21">
        <v>19000000</v>
      </c>
      <c r="E405" s="21">
        <v>5684566.4000000004</v>
      </c>
      <c r="F405" s="21">
        <v>2738472.3755433736</v>
      </c>
      <c r="G405" s="21">
        <f>Table8414194101324273239434853567142128[[#This Row],[VỐN CP]]+Table8414194101324273239434853567142128[[#This Row],[LỢI NHUẬN RÒNG]]</f>
        <v>21738472.375543375</v>
      </c>
      <c r="H405" s="28"/>
      <c r="I405" s="11"/>
      <c r="J405" s="11"/>
    </row>
    <row r="406" spans="1:11" hidden="1" x14ac:dyDescent="0.3">
      <c r="A406" s="23" t="s">
        <v>84</v>
      </c>
      <c r="B406" s="27" t="s">
        <v>21</v>
      </c>
      <c r="C406" s="21">
        <v>20</v>
      </c>
      <c r="D406" s="21">
        <v>19000000</v>
      </c>
      <c r="E406" s="21">
        <v>5684566.4000000004</v>
      </c>
      <c r="F406" s="21">
        <v>2738472.3755433736</v>
      </c>
      <c r="G406" s="21">
        <f>Table8414194101324273239434853567142128[[#This Row],[VỐN CP]]+Table8414194101324273239434853567142128[[#This Row],[LỢI NHUẬN RÒNG]]</f>
        <v>21738472.375543375</v>
      </c>
      <c r="H406" s="28"/>
      <c r="I406" s="11"/>
      <c r="J406" s="11"/>
    </row>
    <row r="407" spans="1:11" hidden="1" x14ac:dyDescent="0.3">
      <c r="A407" s="23" t="s">
        <v>84</v>
      </c>
      <c r="B407" s="27" t="s">
        <v>29</v>
      </c>
      <c r="C407" s="21">
        <v>5</v>
      </c>
      <c r="D407" s="21">
        <v>4750000</v>
      </c>
      <c r="E407" s="21">
        <v>1421141.6</v>
      </c>
      <c r="F407" s="21">
        <v>684618.09388584341</v>
      </c>
      <c r="G407" s="21">
        <f>Table8414194101324273239434853567142128[[#This Row],[VỐN CP]]+Table8414194101324273239434853567142128[[#This Row],[LỢI NHUẬN RÒNG]]</f>
        <v>5434618.0938858436</v>
      </c>
      <c r="H407" s="28"/>
      <c r="I407" s="11"/>
      <c r="J407" s="11"/>
    </row>
    <row r="408" spans="1:11" hidden="1" x14ac:dyDescent="0.3">
      <c r="A408" s="23" t="s">
        <v>84</v>
      </c>
      <c r="B408" s="27" t="s">
        <v>43</v>
      </c>
      <c r="C408" s="21">
        <v>10</v>
      </c>
      <c r="D408" s="21">
        <v>9500000</v>
      </c>
      <c r="E408" s="21">
        <v>2842283.2</v>
      </c>
      <c r="F408" s="21">
        <v>1369236.1877716868</v>
      </c>
      <c r="G408" s="21">
        <f>Table8414194101324273239434853567142128[[#This Row],[VỐN CP]]+Table8414194101324273239434853567142128[[#This Row],[LỢI NHUẬN RÒNG]]</f>
        <v>10869236.187771687</v>
      </c>
      <c r="H408" s="28"/>
      <c r="I408" s="11"/>
      <c r="J408" s="11"/>
    </row>
    <row r="409" spans="1:11" hidden="1" x14ac:dyDescent="0.3">
      <c r="A409" s="23" t="s">
        <v>84</v>
      </c>
      <c r="B409" s="27" t="s">
        <v>25</v>
      </c>
      <c r="C409" s="21">
        <v>5</v>
      </c>
      <c r="D409" s="21">
        <v>4750000</v>
      </c>
      <c r="E409" s="21">
        <v>1421141.6</v>
      </c>
      <c r="F409" s="21">
        <v>684618.09388584341</v>
      </c>
      <c r="G409" s="21">
        <f>Table8414194101324273239434853567142128[[#This Row],[VỐN CP]]+Table8414194101324273239434853567142128[[#This Row],[LỢI NHUẬN RÒNG]]</f>
        <v>5434618.0938858436</v>
      </c>
      <c r="H409" s="28"/>
      <c r="I409" s="11"/>
      <c r="J409" s="11"/>
    </row>
    <row r="410" spans="1:11" x14ac:dyDescent="0.3">
      <c r="A410" s="23"/>
      <c r="B410" s="21"/>
      <c r="C410" s="21"/>
      <c r="D410" s="21">
        <f>SUBTOTAL(109,Table8414194101324273239434853567142128[VỐN CP])</f>
        <v>61608333.333333336</v>
      </c>
      <c r="E410" s="21">
        <f>SUBTOTAL(109,Table8414194101324273239434853567142128[LỢI NHUẬN GỘP])</f>
        <v>23938840.049999993</v>
      </c>
      <c r="F410" s="21">
        <f>SUBTOTAL(109,Table8414194101324273239434853567142128[LỢI NHUẬN RÒNG])</f>
        <v>14399323.94475366</v>
      </c>
      <c r="G410" s="21">
        <f>SUBTOTAL(109,Table8414194101324273239434853567142128[TỔNG NHẬN])</f>
        <v>76007657.27808696</v>
      </c>
      <c r="H410" s="28"/>
    </row>
    <row r="412" spans="1:11" x14ac:dyDescent="0.3">
      <c r="H412" s="11"/>
    </row>
    <row r="414" spans="1:11" x14ac:dyDescent="0.3">
      <c r="G414" s="11" t="s">
        <v>85</v>
      </c>
    </row>
    <row r="416" spans="1:11" x14ac:dyDescent="0.3">
      <c r="G416" s="11">
        <v>8</v>
      </c>
      <c r="K416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0911-6711-4D82-B795-5B0424B78AFC}">
  <sheetPr codeName="Sheet18"/>
  <dimension ref="A1:O427"/>
  <sheetViews>
    <sheetView workbookViewId="0">
      <selection activeCell="F6" sqref="F6:F61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153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1754299.5</v>
      </c>
      <c r="F3" s="18">
        <v>1223951.879359147</v>
      </c>
      <c r="G3" s="12">
        <f>D3+Table841419410132427323943485356711182530[[#This Row],[LỢI NHUẬN RÒNG]]</f>
        <v>6023951.8793591466</v>
      </c>
      <c r="K3" s="13" t="s">
        <v>10</v>
      </c>
      <c r="L3" s="14">
        <f>SUMIF(Table841419410132427323943485356711182530[CỔ ĐÔNG],K3,Table841419410132427323943485356711182530[VỐN CP])</f>
        <v>13900000</v>
      </c>
      <c r="M3" s="14">
        <f>SUMIF(Table841419410132427323943485356711182530[CỔ ĐÔNG],K3,Table841419410132427323943485356711182530[LỢI NHUẬN GỘP])</f>
        <v>5623537.9000000004</v>
      </c>
      <c r="N3" s="14">
        <f>SUMIF(Table841419410132427323943485356711182530[CỔ ĐÔNG],K3,Table841419410132427323943485356711182530[LỢI NHUẬN RÒNG])</f>
        <v>3922363.9989005998</v>
      </c>
      <c r="O3" s="15">
        <f>SUMIF(Table841419410132427323943485356711182530[CỔ ĐÔNG],K3,Table841419410132427323943485356711182530[TỔNG NHẬN])</f>
        <v>17822363.9989006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3508599</v>
      </c>
      <c r="F4" s="18">
        <v>2447903.7587182941</v>
      </c>
      <c r="G4" s="12">
        <f>D4+Table841419410132427323943485356711182530[[#This Row],[LỢI NHUẬN RÒNG]]</f>
        <v>12047903.758718293</v>
      </c>
      <c r="K4" s="13" t="s">
        <v>9</v>
      </c>
      <c r="L4" s="14">
        <f>SUMIF(Table841419410132427323943485356711182530[CỔ ĐÔNG],K4,Table841419410132427323943485356711182530[VỐN CP])</f>
        <v>54250000</v>
      </c>
      <c r="M4" s="14">
        <f>SUMIF(Table841419410132427323943485356711182530[CỔ ĐÔNG],K4,Table841419410132427323943485356711182530[LỢI NHUẬN GỘP])</f>
        <v>20396694.349999998</v>
      </c>
      <c r="N4" s="14">
        <f>SUMIF(Table841419410132427323943485356711182530[CỔ ĐÔNG],K4,Table841419410132427323943485356711182530[LỢI NHUẬN RÒNG])</f>
        <v>12981989.060988339</v>
      </c>
      <c r="O4" s="15">
        <f>SUMIF(Table841419410132427323943485356711182530[CỔ ĐÔNG],Table951520511142528334044495457812192631[[#This Row],[CỔ ĐÔNG]],Table841419410132427323943485356711182530[TỔNG NHẬN])</f>
        <v>67231989.060988337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2631449.25</v>
      </c>
      <c r="F5" s="18">
        <v>1835927.8190387203</v>
      </c>
      <c r="G5" s="12">
        <f>D5+Table841419410132427323943485356711182530[[#This Row],[LỢI NHUẬN RÒNG]]</f>
        <v>9035927.8190387208</v>
      </c>
      <c r="K5" s="13" t="s">
        <v>13</v>
      </c>
      <c r="L5" s="14">
        <f>SUMIF(Table841419410132427323943485356711182530[CỔ ĐÔNG],K5,Table841419410132427323943485356711182530[VỐN CP])</f>
        <v>0</v>
      </c>
      <c r="M5" s="14">
        <f>SUMIF(Table841419410132427323943485356711182530[CỔ ĐÔNG],K5,Table841419410132427323943485356711182530[LỢI NHUẬN GỘP])</f>
        <v>0</v>
      </c>
      <c r="N5" s="14">
        <f>SUMIF(Table841419410132427323943485356711182530[CỔ ĐÔNG],K5,Table841419410132427323943485356711182530[LỢI NHUẬN RÒNG])</f>
        <v>0</v>
      </c>
      <c r="O5" s="15">
        <f>SUMIF(Table841419410132427323943485356711182530[CỔ ĐÔNG],Table951520511142528334044495457812192631[[#This Row],[CỔ ĐÔNG]],Table841419410132427323943485356711182530[TỔNG NHẬN])</f>
        <v>0</v>
      </c>
    </row>
    <row r="6" spans="1:15" ht="15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877149.75</v>
      </c>
      <c r="F6" s="18">
        <v>611975.93967957352</v>
      </c>
      <c r="G6" s="12">
        <f>D6+Table841419410132427323943485356711182530[[#This Row],[LỢI NHUẬN RÒNG]]</f>
        <v>3011975.9396795733</v>
      </c>
      <c r="K6" s="13" t="s">
        <v>15</v>
      </c>
      <c r="L6" s="14">
        <f>SUMIF(Table841419410132427323943485356711182530[CỔ ĐÔNG],K6,Table841419410132427323943485356711182530[VỐN CP])</f>
        <v>0</v>
      </c>
      <c r="M6" s="14">
        <f>SUMIF(Table841419410132427323943485356711182530[CỔ ĐÔNG],K6,Table841419410132427323943485356711182530[LỢI NHUẬN GỘP])</f>
        <v>0</v>
      </c>
      <c r="N6" s="14">
        <f>SUMIF(Table841419410132427323943485356711182530[CỔ ĐÔNG],K6,Table841419410132427323943485356711182530[LỢI NHUẬN RÒNG])</f>
        <v>0</v>
      </c>
      <c r="O6" s="15">
        <f>SUMIF(Table841419410132427323943485356711182530[CỔ ĐÔNG],K6,Table841419410132427323943485356711182530[TỔNG NHẬN])</f>
        <v>0</v>
      </c>
    </row>
    <row r="7" spans="1:15" ht="15" hidden="1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2631449.25</v>
      </c>
      <c r="F7" s="18">
        <v>1835927.8190387203</v>
      </c>
      <c r="G7" s="12">
        <f>D7+Table841419410132427323943485356711182530[[#This Row],[LỢI NHUẬN RÒNG]]</f>
        <v>9035927.8190387208</v>
      </c>
      <c r="I7" s="11"/>
      <c r="K7" s="13" t="s">
        <v>17</v>
      </c>
      <c r="L7" s="14">
        <f>SUMIF(Table841419410132427323943485356711182530[CỔ ĐÔNG],K7,Table841419410132427323943485356711182530[VỐN CP])</f>
        <v>0</v>
      </c>
      <c r="M7" s="14">
        <f>SUMIF(Table841419410132427323943485356711182530[CỔ ĐÔNG],K7,Table841419410132427323943485356711182530[LỢI NHUẬN GỘP])</f>
        <v>0</v>
      </c>
      <c r="N7" s="14">
        <f>SUMIF(Table841419410132427323943485356711182530[CỔ ĐÔNG],K7,Table841419410132427323943485356711182530[LỢI NHUẬN RÒNG])</f>
        <v>0</v>
      </c>
      <c r="O7" s="15">
        <f>SUMIF(Table841419410132427323943485356711182530[CỔ ĐÔNG],Table951520511142528334044495457812192631[[#This Row],[CỔ ĐÔNG]],Table841419410132427323943485356711182530[TỔNG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1754299.5</v>
      </c>
      <c r="F8" s="18">
        <v>1223951.879359147</v>
      </c>
      <c r="G8" s="12">
        <f>D8+Table841419410132427323943485356711182530[[#This Row],[LỢI NHUẬN RÒNG]]</f>
        <v>6023951.8793591466</v>
      </c>
      <c r="K8" s="13" t="s">
        <v>19</v>
      </c>
      <c r="L8" s="14">
        <f>SUMIF(Table841419410132427323943485356711182530[CỔ ĐÔNG],K8,Table841419410132427323943485356711182530[VỐN CP])</f>
        <v>78250000</v>
      </c>
      <c r="M8" s="14">
        <f>SUMIF(Table841419410132427323943485356711182530[CỔ ĐÔNG],K8,Table841419410132427323943485356711182530[LỢI NHUẬN GỘP])</f>
        <v>30063336</v>
      </c>
      <c r="N8" s="14">
        <f>SUMIF(Table841419410132427323943485356711182530[CỔ ĐÔNG],K8,Table841419410132427323943485356711182530[LỢI NHUẬN RÒNG])</f>
        <v>19576444.952075224</v>
      </c>
      <c r="O8" s="15">
        <f>SUMIF(Table841419410132427323943485356711182530[CỔ ĐÔNG],Table951520511142528334044495457812192631[[#This Row],[CỔ ĐÔNG]],Table841419410132427323943485356711182530[TỔNG NHẬN])</f>
        <v>97826444.952075228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877149.75</v>
      </c>
      <c r="F9" s="18">
        <v>611975.93967957352</v>
      </c>
      <c r="G9" s="12">
        <f>D9+Table841419410132427323943485356711182530[[#This Row],[LỢI NHUẬN RÒNG]]</f>
        <v>3011975.9396795733</v>
      </c>
      <c r="K9" s="13" t="s">
        <v>21</v>
      </c>
      <c r="L9" s="14">
        <f>SUMIF(Table841419410132427323943485356711182530[CỔ ĐÔNG],K9,Table841419410132427323943485356711182530[VỐN CP])</f>
        <v>46000000</v>
      </c>
      <c r="M9" s="14">
        <f>SUMIF(Table841419410132427323943485356711182530[CỔ ĐÔNG],K9,Table841419410132427323943485356711182530[LỢI NHUẬN GỘP])</f>
        <v>18112312.899999999</v>
      </c>
      <c r="N9" s="14">
        <f>SUMIF(Table841419410132427323943485356711182530[CỔ ĐÔNG],K9,Table841419410132427323943485356711182530[LỢI NHUẬN RÒNG])</f>
        <v>12019978.259401705</v>
      </c>
      <c r="O9" s="15">
        <f>SUMIF(Table841419410132427323943485356711182530[CỔ ĐÔNG],Table951520511142528334044495457812192631[[#This Row],[CỔ ĐÔNG]],Table841419410132427323943485356711182530[TỔNG NHẬN])</f>
        <v>58019978.259401701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1754299.5</v>
      </c>
      <c r="F10" s="18">
        <v>1223951.879359147</v>
      </c>
      <c r="G10" s="12">
        <f>D10+Table841419410132427323943485356711182530[[#This Row],[LỢI NHUẬN RÒNG]]</f>
        <v>6023951.8793591466</v>
      </c>
      <c r="I10" s="11"/>
      <c r="K10" s="13" t="s">
        <v>23</v>
      </c>
      <c r="L10" s="14">
        <f>SUMIF(Table841419410132427323943485356711182530[CỔ ĐÔNG],K10,Table841419410132427323943485356711182530[VỐN CP])</f>
        <v>0</v>
      </c>
      <c r="M10" s="14">
        <f>SUMIF(Table841419410132427323943485356711182530[CỔ ĐÔNG],K10,Table841419410132427323943485356711182530[LỢI NHUẬN GỘP])</f>
        <v>0</v>
      </c>
      <c r="N10" s="14">
        <f>SUMIF(Table841419410132427323943485356711182530[CỔ ĐÔNG],K10,Table841419410132427323943485356711182530[LỢI NHUẬN RÒNG])</f>
        <v>0</v>
      </c>
      <c r="O10" s="15">
        <f>SUMIF(Table841419410132427323943485356711182530[CỔ ĐÔNG],Table951520511142528334044495457812192631[[#This Row],[CỔ ĐÔNG]],Table841419410132427323943485356711182530[TỔNG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1754299.5</v>
      </c>
      <c r="F11" s="18">
        <v>1223951.879359147</v>
      </c>
      <c r="G11" s="12">
        <f>D11+Table841419410132427323943485356711182530[[#This Row],[LỢI NHUẬN RÒNG]]</f>
        <v>6023951.8793591466</v>
      </c>
      <c r="K11" s="13" t="s">
        <v>25</v>
      </c>
      <c r="L11" s="14">
        <f>SUMIF(Table841419410132427323943485356711182530[CỔ ĐÔNG],K11,Table841419410132427323943485356711182530[VỐN CP])</f>
        <v>30900000</v>
      </c>
      <c r="M11" s="14">
        <f>SUMIF(Table841419410132427323943485356711182530[CỔ ĐÔNG],K11,Table841419410132427323943485356711182530[LỢI NHUẬN GỘP])</f>
        <v>12847972.449999999</v>
      </c>
      <c r="N11" s="14">
        <f>SUMIF(Table841419410132427323943485356711182530[CỔ ĐÔNG],K11,Table841419410132427323943485356711182530[LỢI NHUẬN RÒNG])</f>
        <v>9179543.5647007003</v>
      </c>
      <c r="O11" s="15">
        <f>SUMIF(Table841419410132427323943485356711182530[CỔ ĐÔNG],Table951520511142528334044495457812192631[[#This Row],[CỔ ĐÔNG]],Table841419410132427323943485356711182530[TỔNG NHẬN])</f>
        <v>40079543.564700693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D12" s="11">
        <v>2550000</v>
      </c>
      <c r="E12" s="11">
        <v>1557349.5</v>
      </c>
      <c r="F12" s="11">
        <v>1254994.9965385147</v>
      </c>
      <c r="G12" s="12">
        <f>D12+Table841419410132427323943485356711182530[[#This Row],[LỢI NHUẬN RÒNG]]</f>
        <v>3804994.9965385147</v>
      </c>
      <c r="K12" s="13" t="s">
        <v>27</v>
      </c>
      <c r="L12" s="14">
        <f>SUMIF(Table841419410132427323943485356711182530[CỔ ĐÔNG],K12,Table841419410132427323943485356711182530[VỐN CP])</f>
        <v>10800000</v>
      </c>
      <c r="M12" s="14">
        <f>SUMIF(Table841419410132427323943485356711182530[CỔ ĐÔNG],K12,Table841419410132427323943485356711182530[LỢI NHUẬN GỘP])</f>
        <v>3841730.95</v>
      </c>
      <c r="N12" s="14">
        <f>SUMIF(Table841419410132427323943485356711182530[CỔ ĐÔNG],K12,Table841419410132427323943485356711182530[LỢI NHUẬN RÒNG])</f>
        <v>2217005.7981251488</v>
      </c>
      <c r="O12" s="15">
        <f>SUMIF(Table841419410132427323943485356711182530[CỔ ĐÔNG],Table951520511142528334044495457812192631[[#This Row],[CỔ ĐÔNG]],Table841419410132427323943485356711182530[TỔNG NHẬN])</f>
        <v>13017005.798125148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D13" s="11">
        <v>2550000</v>
      </c>
      <c r="E13" s="11">
        <v>1557349.5</v>
      </c>
      <c r="F13" s="11">
        <v>1254994.9965385147</v>
      </c>
      <c r="G13" s="12">
        <f>D13+Table841419410132427323943485356711182530[[#This Row],[LỢI NHUẬN RÒNG]]</f>
        <v>3804994.9965385147</v>
      </c>
      <c r="K13" s="13" t="s">
        <v>29</v>
      </c>
      <c r="L13" s="14">
        <f>SUMIF(Table841419410132427323943485356711182530[CỔ ĐÔNG],K13,Table841419410132427323943485356711182530[VỐN CP])</f>
        <v>24125000</v>
      </c>
      <c r="M13" s="14">
        <f>SUMIF(Table841419410132427323943485356711182530[CỔ ĐÔNG],K13,Table841419410132427323943485356711182530[LỢI NHUẬN GỘP])</f>
        <v>9576901.75</v>
      </c>
      <c r="N13" s="14">
        <f>SUMIF(Table841419410132427323943485356711182530[CỔ ĐÔNG],K13,Table841419410132427323943485356711182530[LỢI NHUẬN RÒNG])</f>
        <v>6353031.7290366665</v>
      </c>
      <c r="O13" s="15">
        <f>SUMIF(Table841419410132427323943485356711182530[CỔ ĐÔNG],Table951520511142528334044495457812192631[[#This Row],[CỔ ĐÔNG]],Table841419410132427323943485356711182530[TỔNG NHẬN])</f>
        <v>30478031.729036666</v>
      </c>
    </row>
    <row r="14" spans="1:15" ht="15" customHeight="1" x14ac:dyDescent="0.3">
      <c r="A14" s="10" t="s">
        <v>138</v>
      </c>
      <c r="B14" s="11" t="s">
        <v>33</v>
      </c>
      <c r="C14" s="11">
        <v>5</v>
      </c>
      <c r="D14" s="11">
        <v>850000</v>
      </c>
      <c r="E14" s="11">
        <v>519116.5</v>
      </c>
      <c r="F14" s="11">
        <v>418331.66551283823</v>
      </c>
      <c r="G14" s="12">
        <f>D14+Table841419410132427323943485356711182530[[#This Row],[LỢI NHUẬN RÒNG]]</f>
        <v>1268331.6655128382</v>
      </c>
      <c r="K14" s="13" t="s">
        <v>31</v>
      </c>
      <c r="L14" s="14">
        <f>SUMIF(Table841419410132427323943485356711182530[CỔ ĐÔNG],K14,Table841419410132427323943485356711182530[VỐN CP])</f>
        <v>66125000</v>
      </c>
      <c r="M14" s="14">
        <f>SUMIF(Table841419410132427323943485356711182530[CỔ ĐÔNG],K14,Table841419410132427323943485356711182530[LỢI NHUẬN GỘP])</f>
        <v>25367986.099999998</v>
      </c>
      <c r="N14" s="14">
        <f>SUMIF(Table841419410132427323943485356711182530[CỔ ĐÔNG],K14,Table841419410132427323943485356711182530[LỢI NHUẬN RÒNG])</f>
        <v>16319769.013282968</v>
      </c>
      <c r="O14" s="15">
        <f>SUMIF(Table841419410132427323943485356711182530[CỔ ĐÔNG],Table951520511142528334044495457812192631[[#This Row],[CỔ ĐÔNG]],Table841419410132427323943485356711182530[TỔNG NHẬN])</f>
        <v>82444769.01328297</v>
      </c>
    </row>
    <row r="15" spans="1:15" ht="15" hidden="1" customHeight="1" x14ac:dyDescent="0.3">
      <c r="A15" s="10" t="s">
        <v>138</v>
      </c>
      <c r="B15" s="11" t="s">
        <v>31</v>
      </c>
      <c r="C15" s="11">
        <v>15</v>
      </c>
      <c r="D15" s="11">
        <v>2550000</v>
      </c>
      <c r="E15" s="11">
        <v>1557349.5</v>
      </c>
      <c r="F15" s="11">
        <v>1254994.9965385147</v>
      </c>
      <c r="G15" s="12">
        <f>D15+Table841419410132427323943485356711182530[[#This Row],[LỢI NHUẬN RÒNG]]</f>
        <v>3804994.9965385147</v>
      </c>
      <c r="K15" s="13" t="s">
        <v>33</v>
      </c>
      <c r="L15" s="14">
        <f>SUMIF(Table841419410132427323943485356711182530[CỔ ĐÔNG],K15,Table841419410132427323943485356711182530[VỐN CP])</f>
        <v>22575000</v>
      </c>
      <c r="M15" s="14">
        <f>SUMIF(Table841419410132427323943485356711182530[CỔ ĐÔNG],K15,Table841419410132427323943485356711182530[LỢI NHUẬN GỘP])</f>
        <v>8796598.1999999993</v>
      </c>
      <c r="N15" s="14">
        <f>SUMIF(Table841419410132427323943485356711182530[CỔ ĐÔNG],K15,Table841419410132427323943485356711182530[LỢI NHUẬN RÒNG])</f>
        <v>5800823.2969444338</v>
      </c>
      <c r="O15" s="15">
        <f>SUMIF(Table841419410132427323943485356711182530[CỔ ĐÔNG],Table951520511142528334044495457812192631[[#This Row],[CỔ ĐÔNG]],Table841419410132427323943485356711182530[TỔNG NHẬN])</f>
        <v>28375823.296944432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D16" s="11">
        <v>2550000</v>
      </c>
      <c r="E16" s="11">
        <v>1557349.5</v>
      </c>
      <c r="F16" s="11">
        <v>1254994.9965385147</v>
      </c>
      <c r="G16" s="12">
        <f>D16+Table841419410132427323943485356711182530[[#This Row],[LỢI NHUẬN RÒNG]]</f>
        <v>3804994.9965385147</v>
      </c>
      <c r="K16" s="13" t="s">
        <v>35</v>
      </c>
      <c r="L16" s="14">
        <f>SUMIF(Table841419410132427323943485356711182530[CỔ ĐÔNG],K16,Table841419410132427323943485356711182530[VỐN CP])</f>
        <v>0</v>
      </c>
      <c r="M16" s="14">
        <f>SUMIF(Table841419410132427323943485356711182530[CỔ ĐÔNG],K16,Table841419410132427323943485356711182530[LỢI NHUẬN GỘP])</f>
        <v>0</v>
      </c>
      <c r="N16" s="14">
        <f>SUMIF(Table841419410132427323943485356711182530[CỔ ĐÔNG],K16,Table841419410132427323943485356711182530[LỢI NHUẬN RÒNG])</f>
        <v>0</v>
      </c>
      <c r="O16" s="15">
        <f>SUMIF(Table841419410132427323943485356711182530[CỔ ĐÔNG],Table951520511142528334044495457812192631[[#This Row],[CỔ ĐÔNG]],Table841419410132427323943485356711182530[TỔNG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D17" s="11">
        <v>1700000</v>
      </c>
      <c r="E17" s="11">
        <v>1038233</v>
      </c>
      <c r="F17" s="11">
        <v>836663.33102567645</v>
      </c>
      <c r="G17" s="12">
        <f>D17+Table841419410132427323943485356711182530[[#This Row],[LỢI NHUẬN RÒNG]]</f>
        <v>2536663.3310256763</v>
      </c>
      <c r="K17" s="16" t="s">
        <v>37</v>
      </c>
      <c r="L17" s="17">
        <f>SUMIF(Table841419410132427323943485356711182530[CỔ ĐÔNG],K17,Table841419410132427323943485356711182530[VỐN CP])</f>
        <v>53400000</v>
      </c>
      <c r="M17" s="17">
        <f>SUMIF(Table841419410132427323943485356711182530[CỔ ĐÔNG],K17,Table841419410132427323943485356711182530[LỢI NHUẬN GỘP])</f>
        <v>21316729.350000001</v>
      </c>
      <c r="N17" s="17">
        <f>SUMIF(Table841419410132427323943485356711182530[CỔ ĐÔNG],K17,Table841419410132427323943485356711182530[LỢI NHUẬN RÒNG])</f>
        <v>14348765.356753014</v>
      </c>
      <c r="O17" s="15">
        <f>SUMIF(Table841419410132427323943485356711182530[CỔ ĐÔNG],Table951520511142528334044495457812192631[[#This Row],[CỔ ĐÔNG]],Table841419410132427323943485356711182530[TỔNG NHẬN])</f>
        <v>67748765.356753021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D18" s="11">
        <v>1700000</v>
      </c>
      <c r="E18" s="11">
        <v>1038233</v>
      </c>
      <c r="F18" s="11">
        <v>836663.33102567645</v>
      </c>
      <c r="G18" s="12">
        <f>D18+Table841419410132427323943485356711182530[[#This Row],[LỢI NHUẬN RÒNG]]</f>
        <v>2536663.3310256763</v>
      </c>
      <c r="K18" s="13" t="s">
        <v>39</v>
      </c>
      <c r="L18" s="17">
        <f>SUMIF(Table841419410132427323943485356711182530[CỔ ĐÔNG],K18,Table841419410132427323943485356711182530[VỐN CP])</f>
        <v>0</v>
      </c>
      <c r="M18" s="17">
        <f>SUMIF(Table841419410132427323943485356711182530[CỔ ĐÔNG],K18,Table841419410132427323943485356711182530[LỢI NHUẬN GỘP])</f>
        <v>0</v>
      </c>
      <c r="N18" s="17">
        <f>SUMIF(Table841419410132427323943485356711182530[CỔ ĐÔNG],K18,Table841419410132427323943485356711182530[LỢI NHUẬN RÒNG])</f>
        <v>0</v>
      </c>
      <c r="O18" s="15">
        <f>SUMIF(Table841419410132427323943485356711182530[CỔ ĐÔNG],Table951520511142528334044495457812192631[[#This Row],[CỔ ĐÔNG]],Table841419410132427323943485356711182530[TỔNG NHẬN])</f>
        <v>0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D19" s="11">
        <v>2550000</v>
      </c>
      <c r="E19" s="11">
        <v>1557349.5</v>
      </c>
      <c r="F19" s="11">
        <v>1254994.9965385147</v>
      </c>
      <c r="G19" s="12">
        <f>D19+Table841419410132427323943485356711182530[[#This Row],[LỢI NHUẬN RÒNG]]</f>
        <v>3804994.9965385147</v>
      </c>
      <c r="I19" s="11"/>
      <c r="K19" s="13" t="s">
        <v>41</v>
      </c>
      <c r="L19" s="17">
        <f>SUMIF(Table841419410132427323943485356711182530[CỔ ĐÔNG],K19,Table841419410132427323943485356711182530[VỐN CP])</f>
        <v>0</v>
      </c>
      <c r="M19" s="17">
        <f>SUMIF(Table841419410132427323943485356711182530[CỔ ĐÔNG],K19,Table841419410132427323943485356711182530[LỢI NHUẬN GỘP])</f>
        <v>0</v>
      </c>
      <c r="N19" s="17">
        <f>SUMIF(Table841419410132427323943485356711182530[CỔ ĐÔNG],K19,Table841419410132427323943485356711182530[LỢI NHUẬN RÒNG])</f>
        <v>0</v>
      </c>
      <c r="O19" s="15">
        <f>SUMIF(Table841419410132427323943485356711182530[CỔ ĐÔNG],Table951520511142528334044495457812192631[[#This Row],[CỔ ĐÔNG]],Table841419410132427323943485356711182530[TỔNG NHẬN])</f>
        <v>0</v>
      </c>
    </row>
    <row r="20" spans="1:15" ht="15" hidden="1" customHeight="1" x14ac:dyDescent="0.3">
      <c r="A20" s="10" t="s">
        <v>140</v>
      </c>
      <c r="B20" s="11" t="s">
        <v>9</v>
      </c>
      <c r="C20" s="11">
        <v>10</v>
      </c>
      <c r="D20" s="11">
        <v>6200000</v>
      </c>
      <c r="E20" s="11">
        <v>2276673.6</v>
      </c>
      <c r="F20" s="11">
        <v>1491705.4125179364</v>
      </c>
      <c r="G20" s="12">
        <f>Table841419410132427323943485356711182530[[#This Row],[VỐN CP]]+Table841419410132427323943485356711182530[[#This Row],[LỢI NHUẬN RÒNG]]</f>
        <v>7691705.4125179369</v>
      </c>
      <c r="K20" s="13" t="s">
        <v>42</v>
      </c>
      <c r="L20" s="17">
        <f>SUMIF(Table841419410132427323943485356711182530[CỔ ĐÔNG],K20,Table841419410132427323943485356711182530[VỐN CP])</f>
        <v>0</v>
      </c>
      <c r="M20" s="17">
        <f>SUMIF(Table841419410132427323943485356711182530[CỔ ĐÔNG],K20,Table841419410132427323943485356711182530[LỢI NHUẬN GỘP])</f>
        <v>0</v>
      </c>
      <c r="N20" s="17">
        <f>SUMIF(Table841419410132427323943485356711182530[CỔ ĐÔNG],K20,Table841419410132427323943485356711182530[LỢI NHUẬN RÒNG])</f>
        <v>0</v>
      </c>
      <c r="O20" s="15">
        <f>SUMIF(Table841419410132427323943485356711182530[CỔ ĐÔNG],Table951520511142528334044495457812192631[[#This Row],[CỔ ĐÔNG]],Table841419410132427323943485356711182530[TỔNG NHẬN])</f>
        <v>0</v>
      </c>
    </row>
    <row r="21" spans="1:15" ht="15" hidden="1" customHeight="1" x14ac:dyDescent="0.3">
      <c r="A21" s="10" t="s">
        <v>140</v>
      </c>
      <c r="B21" s="11" t="s">
        <v>19</v>
      </c>
      <c r="C21" s="11">
        <v>10</v>
      </c>
      <c r="D21" s="11">
        <v>6200000</v>
      </c>
      <c r="E21" s="11">
        <v>2276673.6</v>
      </c>
      <c r="F21" s="11">
        <v>1491705.4125179364</v>
      </c>
      <c r="G21" s="12">
        <f>Table841419410132427323943485356711182530[[#This Row],[VỐN CP]]+Table841419410132427323943485356711182530[[#This Row],[LỢI NHUẬN RÒNG]]</f>
        <v>7691705.4125179369</v>
      </c>
      <c r="K21" s="13" t="s">
        <v>43</v>
      </c>
      <c r="L21" s="17">
        <f>SUMIF(Table841419410132427323943485356711182530[CỔ ĐÔNG],K21,Table841419410132427323943485356711182530[VỐN CP])</f>
        <v>51175000</v>
      </c>
      <c r="M21" s="17">
        <f>SUMIF(Table841419410132427323943485356711182530[CỔ ĐÔNG],K21,Table841419410132427323943485356711182530[LỢI NHUẬN GỘP])</f>
        <v>19988164.050000001</v>
      </c>
      <c r="N21" s="17">
        <f>SUMIF(Table841419410132427323943485356711182530[CỔ ĐÔNG],K21,Table841419410132427323943485356711182530[LỢI NHUẬN RÒNG])</f>
        <v>13296750.908679873</v>
      </c>
      <c r="O21" s="15">
        <f>SUMIF(Table841419410132427323943485356711182530[CỔ ĐÔNG],Table951520511142528334044495457812192631[[#This Row],[CỔ ĐÔNG]],Table841419410132427323943485356711182530[TỔNG NHẬN])</f>
        <v>64471750.908679873</v>
      </c>
    </row>
    <row r="22" spans="1:15" ht="15" hidden="1" customHeight="1" x14ac:dyDescent="0.3">
      <c r="A22" s="10" t="s">
        <v>140</v>
      </c>
      <c r="B22" s="11" t="s">
        <v>37</v>
      </c>
      <c r="C22" s="18">
        <v>10</v>
      </c>
      <c r="D22" s="18">
        <v>6200000</v>
      </c>
      <c r="E22" s="18">
        <v>2276673.6</v>
      </c>
      <c r="F22" s="18">
        <v>1491705.4125179364</v>
      </c>
      <c r="G22" s="12">
        <f>Table841419410132427323943485356711182530[[#This Row],[VỐN CP]]+Table841419410132427323943485356711182530[[#This Row],[LỢI NHUẬN RÒNG]]</f>
        <v>7691705.4125179369</v>
      </c>
      <c r="K22" s="13" t="s">
        <v>44</v>
      </c>
      <c r="L22" s="17">
        <f>SUMIF(Table841419410132427323943485356711182530[CỔ ĐÔNG],K22,Table841419410132427323943485356711182530[VỐN CP])</f>
        <v>0</v>
      </c>
      <c r="M22" s="17">
        <f>SUMIF(Table841419410132427323943485356711182530[CỔ ĐÔNG],K22,Table841419410132427323943485356711182530[LỢI NHUẬN GỘP])</f>
        <v>0</v>
      </c>
      <c r="N22" s="17">
        <f>SUMIF(Table841419410132427323943485356711182530[CỔ ĐÔNG],K22,Table841419410132427323943485356711182530[LỢI NHUẬN RÒNG])</f>
        <v>0</v>
      </c>
      <c r="O22" s="15">
        <f>SUMIF(Table841419410132427323943485356711182530[CỔ ĐÔNG],Table951520511142528334044495457812192631[[#This Row],[CỔ ĐÔNG]],Table841419410132427323943485356711182530[TỔNG NHẬN])</f>
        <v>0</v>
      </c>
    </row>
    <row r="23" spans="1:15" ht="15" customHeight="1" x14ac:dyDescent="0.3">
      <c r="A23" s="10" t="s">
        <v>140</v>
      </c>
      <c r="B23" s="11" t="s">
        <v>33</v>
      </c>
      <c r="C23" s="11">
        <v>5</v>
      </c>
      <c r="D23" s="11">
        <v>3100000</v>
      </c>
      <c r="E23" s="11">
        <v>1138336.8</v>
      </c>
      <c r="F23" s="11">
        <v>745852.70625896822</v>
      </c>
      <c r="G23" s="12">
        <f>Table841419410132427323943485356711182530[[#This Row],[VỐN CP]]+Table841419410132427323943485356711182530[[#This Row],[LỢI NHUẬN RÒNG]]</f>
        <v>3845852.7062589685</v>
      </c>
      <c r="K23" s="13" t="s">
        <v>45</v>
      </c>
      <c r="L23" s="17">
        <f>SUMIF(Table841419410132427323943485356711182530[CỔ ĐÔNG],K23,Table841419410132427323943485356711182530[VỐN CP])</f>
        <v>0</v>
      </c>
      <c r="M23" s="17">
        <f>SUMIF(Table841419410132427323943485356711182530[CỔ ĐÔNG],K23,Table841419410132427323943485356711182530[LỢI NHUẬN GỘP])</f>
        <v>0</v>
      </c>
      <c r="N23" s="17">
        <f>SUMIF(Table841419410132427323943485356711182530[CỔ ĐÔNG],K23,Table841419410132427323943485356711182530[LỢI NHUẬN RÒNG])</f>
        <v>0</v>
      </c>
      <c r="O23" s="15">
        <f>SUMIF(Table841419410132427323943485356711182530[CỔ ĐÔNG],Table951520511142528334044495457812192631[[#This Row],[CỔ ĐÔNG]],Table841419410132427323943485356711182530[TỔNG NHẬN])</f>
        <v>0</v>
      </c>
    </row>
    <row r="24" spans="1:15" ht="15" hidden="1" customHeight="1" x14ac:dyDescent="0.3">
      <c r="A24" s="10" t="s">
        <v>140</v>
      </c>
      <c r="B24" s="11" t="s">
        <v>31</v>
      </c>
      <c r="C24" s="11">
        <v>20</v>
      </c>
      <c r="D24" s="11">
        <v>12400000</v>
      </c>
      <c r="E24" s="11">
        <v>4553347.2</v>
      </c>
      <c r="F24" s="11">
        <v>2983410.8250358729</v>
      </c>
      <c r="G24" s="12">
        <f>Table841419410132427323943485356711182530[[#This Row],[VỐN CP]]+Table841419410132427323943485356711182530[[#This Row],[LỢI NHUẬN RÒNG]]</f>
        <v>15383410.825035874</v>
      </c>
      <c r="K24" s="13" t="s">
        <v>46</v>
      </c>
      <c r="L24" s="17">
        <f>SUMIF(Table841419410132427323943485356711182530[CỔ ĐÔNG],K24,Table841419410132427323943485356711182530[VỐN CP])</f>
        <v>0</v>
      </c>
      <c r="M24" s="17">
        <f>SUMIF(Table841419410132427323943485356711182530[CỔ ĐÔNG],K24,Table841419410132427323943485356711182530[LỢI NHUẬN GỘP])</f>
        <v>0</v>
      </c>
      <c r="N24" s="17">
        <f>SUMIF(Table841419410132427323943485356711182530[CỔ ĐÔNG],K24,Table841419410132427323943485356711182530[LỢI NHUẬN RÒNG])</f>
        <v>0</v>
      </c>
      <c r="O24" s="15">
        <f>SUMIF(Table841419410132427323943485356711182530[CỔ ĐÔNG],Table951520511142528334044495457812192631[[#This Row],[CỔ ĐÔNG]],Table841419410132427323943485356711182530[TỔNG NHẬN])</f>
        <v>0</v>
      </c>
    </row>
    <row r="25" spans="1:15" ht="15" hidden="1" customHeight="1" x14ac:dyDescent="0.3">
      <c r="A25" s="10" t="s">
        <v>140</v>
      </c>
      <c r="B25" s="11" t="s">
        <v>21</v>
      </c>
      <c r="C25" s="11">
        <v>10</v>
      </c>
      <c r="D25" s="11">
        <v>6200000</v>
      </c>
      <c r="E25" s="11">
        <v>2276673.6</v>
      </c>
      <c r="F25" s="11">
        <v>1491705.4125179364</v>
      </c>
      <c r="G25" s="12">
        <f>Table841419410132427323943485356711182530[[#This Row],[VỐN CP]]+Table841419410132427323943485356711182530[[#This Row],[LỢI NHUẬN RÒNG]]</f>
        <v>7691705.4125179369</v>
      </c>
      <c r="K25" s="13" t="s">
        <v>47</v>
      </c>
      <c r="L25" s="14">
        <f>SUM(L2:L24)</f>
        <v>451500000</v>
      </c>
      <c r="M25" s="14">
        <f>SUM(M2:M24)</f>
        <v>175931964</v>
      </c>
      <c r="N25" s="14">
        <f>SUM(N2:N24)</f>
        <v>116016465.93888867</v>
      </c>
      <c r="O25" s="14">
        <f>SUM(O2:O24)</f>
        <v>567516465.93888867</v>
      </c>
    </row>
    <row r="26" spans="1:15" ht="15" hidden="1" customHeight="1" x14ac:dyDescent="0.3">
      <c r="A26" s="10" t="s">
        <v>140</v>
      </c>
      <c r="B26" s="11" t="s">
        <v>29</v>
      </c>
      <c r="C26" s="11">
        <v>10</v>
      </c>
      <c r="D26" s="11">
        <v>6200000</v>
      </c>
      <c r="E26" s="11">
        <v>2276673.6</v>
      </c>
      <c r="F26" s="11">
        <v>1491705.4125179364</v>
      </c>
      <c r="G26" s="12">
        <f>Table841419410132427323943485356711182530[[#This Row],[VỐN CP]]+Table841419410132427323943485356711182530[[#This Row],[LỢI NHUẬN RÒNG]]</f>
        <v>7691705.4125179369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140</v>
      </c>
      <c r="B27" s="11" t="s">
        <v>43</v>
      </c>
      <c r="C27" s="11">
        <v>15</v>
      </c>
      <c r="D27" s="11">
        <v>9300000</v>
      </c>
      <c r="E27" s="11">
        <v>3415010.4</v>
      </c>
      <c r="F27" s="11">
        <v>2237558.1187769049</v>
      </c>
      <c r="G27" s="12">
        <f>Table841419410132427323943485356711182530[[#This Row],[VỐN CP]]+Table841419410132427323943485356711182530[[#This Row],[LỢI NHUẬN RÒNG]]</f>
        <v>11537558.118776904</v>
      </c>
    </row>
    <row r="28" spans="1:15" ht="15" hidden="1" customHeight="1" x14ac:dyDescent="0.3">
      <c r="A28" s="10" t="s">
        <v>140</v>
      </c>
      <c r="B28" s="11" t="s">
        <v>25</v>
      </c>
      <c r="C28" s="11">
        <v>10</v>
      </c>
      <c r="D28" s="11">
        <v>6200000</v>
      </c>
      <c r="E28" s="11">
        <v>2276673.6</v>
      </c>
      <c r="F28" s="11">
        <v>1491705.4125179364</v>
      </c>
      <c r="G28" s="12">
        <f>Table841419410132427323943485356711182530[[#This Row],[VỐN CP]]+Table841419410132427323943485356711182530[[#This Row],[LỢI NHUẬN RÒNG]]</f>
        <v>7691705.4125179369</v>
      </c>
      <c r="K28" s="11"/>
    </row>
    <row r="29" spans="1:15" ht="15" hidden="1" customHeight="1" x14ac:dyDescent="0.3">
      <c r="A29" s="10" t="s">
        <v>141</v>
      </c>
      <c r="B29" s="11" t="s">
        <v>9</v>
      </c>
      <c r="C29" s="11">
        <v>10</v>
      </c>
      <c r="D29" s="11">
        <v>5850000</v>
      </c>
      <c r="E29" s="11">
        <v>2513261.7000000002</v>
      </c>
      <c r="F29" s="11">
        <v>1898503.2170640752</v>
      </c>
      <c r="G29" s="12">
        <f>Table841419410132427323943485356711182530[[#This Row],[VỐN CP]]+Table841419410132427323943485356711182530[[#This Row],[LỢI NHUẬN RÒNG]]</f>
        <v>7748503.2170640752</v>
      </c>
    </row>
    <row r="30" spans="1:15" ht="15" hidden="1" customHeight="1" x14ac:dyDescent="0.3">
      <c r="A30" s="10" t="s">
        <v>141</v>
      </c>
      <c r="B30" s="11" t="s">
        <v>19</v>
      </c>
      <c r="C30" s="11">
        <v>20</v>
      </c>
      <c r="D30" s="11">
        <v>11700000</v>
      </c>
      <c r="E30" s="11">
        <v>5026523.4000000004</v>
      </c>
      <c r="F30" s="11">
        <v>3797006.4341281503</v>
      </c>
      <c r="G30" s="12">
        <f>Table841419410132427323943485356711182530[[#This Row],[VỐN CP]]+Table841419410132427323943485356711182530[[#This Row],[LỢI NHUẬN RÒNG]]</f>
        <v>15497006.43412815</v>
      </c>
      <c r="M30" s="11"/>
    </row>
    <row r="31" spans="1:15" ht="15" hidden="1" customHeight="1" x14ac:dyDescent="0.3">
      <c r="A31" s="10" t="s">
        <v>141</v>
      </c>
      <c r="B31" s="11" t="s">
        <v>37</v>
      </c>
      <c r="C31" s="11">
        <v>10</v>
      </c>
      <c r="D31" s="11">
        <v>5850000</v>
      </c>
      <c r="E31" s="11">
        <v>2513261.7000000002</v>
      </c>
      <c r="F31" s="11">
        <v>1898503.2170640752</v>
      </c>
      <c r="G31" s="12">
        <f>Table841419410132427323943485356711182530[[#This Row],[VỐN CP]]+Table841419410132427323943485356711182530[[#This Row],[LỢI NHUẬN RÒNG]]</f>
        <v>7748503.2170640752</v>
      </c>
    </row>
    <row r="32" spans="1:15" ht="15" customHeight="1" x14ac:dyDescent="0.3">
      <c r="A32" s="10" t="s">
        <v>141</v>
      </c>
      <c r="B32" s="11" t="s">
        <v>33</v>
      </c>
      <c r="C32" s="11">
        <v>5</v>
      </c>
      <c r="D32" s="11">
        <v>2925000</v>
      </c>
      <c r="E32" s="11">
        <v>1256630.8500000001</v>
      </c>
      <c r="F32" s="11">
        <v>949251.60853203759</v>
      </c>
      <c r="G32" s="12">
        <f>Table841419410132427323943485356711182530[[#This Row],[VỐN CP]]+Table841419410132427323943485356711182530[[#This Row],[LỢI NHUẬN RÒNG]]</f>
        <v>3874251.6085320376</v>
      </c>
    </row>
    <row r="33" spans="1:12" ht="15" hidden="1" customHeight="1" x14ac:dyDescent="0.3">
      <c r="A33" s="10" t="s">
        <v>141</v>
      </c>
      <c r="B33" s="11" t="s">
        <v>31</v>
      </c>
      <c r="C33" s="11">
        <v>15</v>
      </c>
      <c r="D33" s="11">
        <v>8775000</v>
      </c>
      <c r="E33" s="11">
        <v>3769892.55</v>
      </c>
      <c r="F33" s="11">
        <v>2847754.8255961128</v>
      </c>
      <c r="G33" s="12">
        <f>Table841419410132427323943485356711182530[[#This Row],[VỐN CP]]+Table841419410132427323943485356711182530[[#This Row],[LỢI NHUẬN RÒNG]]</f>
        <v>11622754.825596113</v>
      </c>
    </row>
    <row r="34" spans="1:12" ht="15" hidden="1" customHeight="1" x14ac:dyDescent="0.3">
      <c r="A34" s="10" t="s">
        <v>141</v>
      </c>
      <c r="B34" s="11" t="s">
        <v>21</v>
      </c>
      <c r="C34" s="11">
        <v>10</v>
      </c>
      <c r="D34" s="11">
        <v>5850000</v>
      </c>
      <c r="E34" s="11">
        <v>2513261.7000000002</v>
      </c>
      <c r="F34" s="11">
        <v>1898503.2170640752</v>
      </c>
      <c r="G34" s="12">
        <f>Table841419410132427323943485356711182530[[#This Row],[VỐN CP]]+Table841419410132427323943485356711182530[[#This Row],[LỢI NHUẬN RÒNG]]</f>
        <v>7748503.2170640752</v>
      </c>
    </row>
    <row r="35" spans="1:12" ht="15" hidden="1" customHeight="1" x14ac:dyDescent="0.3">
      <c r="A35" s="10" t="s">
        <v>141</v>
      </c>
      <c r="B35" s="11" t="s">
        <v>29</v>
      </c>
      <c r="C35" s="11">
        <v>5</v>
      </c>
      <c r="D35" s="11">
        <v>2925000</v>
      </c>
      <c r="E35" s="11">
        <v>1256630.8500000001</v>
      </c>
      <c r="F35" s="11">
        <v>949251.60853203759</v>
      </c>
      <c r="G35" s="12">
        <f>Table841419410132427323943485356711182530[[#This Row],[VỐN CP]]+Table841419410132427323943485356711182530[[#This Row],[LỢI NHUẬN RÒNG]]</f>
        <v>3874251.6085320376</v>
      </c>
    </row>
    <row r="36" spans="1:12" ht="15" hidden="1" customHeight="1" x14ac:dyDescent="0.3">
      <c r="A36" s="10" t="s">
        <v>141</v>
      </c>
      <c r="B36" s="11" t="s">
        <v>43</v>
      </c>
      <c r="C36" s="11">
        <v>15</v>
      </c>
      <c r="D36" s="11">
        <v>8775000</v>
      </c>
      <c r="E36" s="11">
        <v>3769892.55</v>
      </c>
      <c r="F36" s="11">
        <v>2847754.8255961128</v>
      </c>
      <c r="G36" s="12">
        <f>Table841419410132427323943485356711182530[[#This Row],[VỐN CP]]+Table841419410132427323943485356711182530[[#This Row],[LỢI NHUẬN RÒNG]]</f>
        <v>11622754.825596113</v>
      </c>
    </row>
    <row r="37" spans="1:12" ht="15" hidden="1" customHeight="1" x14ac:dyDescent="0.3">
      <c r="A37" s="10" t="s">
        <v>141</v>
      </c>
      <c r="B37" s="11" t="s">
        <v>25</v>
      </c>
      <c r="C37" s="11">
        <v>10</v>
      </c>
      <c r="D37" s="11">
        <v>5850000</v>
      </c>
      <c r="E37" s="11">
        <v>2513261.7000000002</v>
      </c>
      <c r="F37" s="11">
        <v>1898503.2170640752</v>
      </c>
      <c r="G37" s="12">
        <f>Table841419410132427323943485356711182530[[#This Row],[VỐN CP]]+Table841419410132427323943485356711182530[[#This Row],[LỢI NHUẬN RÒNG]]</f>
        <v>7748503.2170640752</v>
      </c>
      <c r="L37" s="11"/>
    </row>
    <row r="38" spans="1:12" ht="15" hidden="1" customHeight="1" x14ac:dyDescent="0.3">
      <c r="A38" s="10" t="s">
        <v>146</v>
      </c>
      <c r="B38" s="11" t="s">
        <v>9</v>
      </c>
      <c r="C38" s="11">
        <v>15</v>
      </c>
      <c r="D38" s="11">
        <v>19500000</v>
      </c>
      <c r="E38" s="11">
        <v>7257364.3499999996</v>
      </c>
      <c r="F38" s="11">
        <v>4780730.7046478745</v>
      </c>
      <c r="G38" s="12">
        <f>Table841419410132427323943485356711182530[[#This Row],[VỐN CP]]+Table841419410132427323943485356711182530[[#This Row],[LỢI NHUẬN RÒNG]]</f>
        <v>24280730.704647876</v>
      </c>
    </row>
    <row r="39" spans="1:12" ht="15" hidden="1" customHeight="1" x14ac:dyDescent="0.3">
      <c r="A39" s="10" t="s">
        <v>146</v>
      </c>
      <c r="B39" s="11" t="s">
        <v>19</v>
      </c>
      <c r="C39" s="11">
        <v>20</v>
      </c>
      <c r="D39" s="11">
        <v>26000000</v>
      </c>
      <c r="E39" s="11">
        <v>9676485.8000000007</v>
      </c>
      <c r="F39" s="11">
        <v>6374307.6061971663</v>
      </c>
      <c r="G39" s="12">
        <f>Table841419410132427323943485356711182530[[#This Row],[VỐN CP]]+Table841419410132427323943485356711182530[[#This Row],[LỢI NHUẬN RÒNG]]</f>
        <v>32374307.606197167</v>
      </c>
    </row>
    <row r="40" spans="1:12" ht="15" hidden="1" customHeight="1" x14ac:dyDescent="0.3">
      <c r="A40" s="10" t="s">
        <v>146</v>
      </c>
      <c r="B40" s="11" t="s">
        <v>27</v>
      </c>
      <c r="C40" s="11">
        <v>5</v>
      </c>
      <c r="D40" s="11">
        <v>6500000</v>
      </c>
      <c r="E40" s="11">
        <v>2419121.4500000002</v>
      </c>
      <c r="F40" s="11">
        <v>1593576.9015492916</v>
      </c>
      <c r="G40" s="12">
        <f>Table841419410132427323943485356711182530[[#This Row],[VỐN CP]]+Table841419410132427323943485356711182530[[#This Row],[LỢI NHUẬN RÒNG]]</f>
        <v>8093576.9015492918</v>
      </c>
    </row>
    <row r="41" spans="1:12" ht="15" hidden="1" customHeight="1" x14ac:dyDescent="0.3">
      <c r="A41" s="10" t="s">
        <v>146</v>
      </c>
      <c r="B41" s="11" t="s">
        <v>37</v>
      </c>
      <c r="C41" s="11">
        <v>10</v>
      </c>
      <c r="D41" s="11">
        <v>13000000</v>
      </c>
      <c r="E41" s="11">
        <v>4838242.9000000004</v>
      </c>
      <c r="F41" s="11">
        <v>3187153.8030985831</v>
      </c>
      <c r="G41" s="12">
        <f>Table841419410132427323943485356711182530[[#This Row],[VỐN CP]]+Table841419410132427323943485356711182530[[#This Row],[LỢI NHUẬN RÒNG]]</f>
        <v>16187153.803098584</v>
      </c>
    </row>
    <row r="42" spans="1:12" ht="15" customHeight="1" x14ac:dyDescent="0.3">
      <c r="A42" s="10" t="s">
        <v>146</v>
      </c>
      <c r="B42" s="11" t="s">
        <v>33</v>
      </c>
      <c r="C42" s="11">
        <v>5</v>
      </c>
      <c r="D42" s="11">
        <v>6500000</v>
      </c>
      <c r="E42" s="11">
        <v>2419121.4500000002</v>
      </c>
      <c r="F42" s="11">
        <v>1593576.9015492916</v>
      </c>
      <c r="G42" s="12">
        <f>Table841419410132427323943485356711182530[[#This Row],[VỐN CP]]+Table841419410132427323943485356711182530[[#This Row],[LỢI NHUẬN RÒNG]]</f>
        <v>8093576.9015492918</v>
      </c>
    </row>
    <row r="43" spans="1:12" ht="15" hidden="1" customHeight="1" x14ac:dyDescent="0.3">
      <c r="A43" s="10" t="s">
        <v>146</v>
      </c>
      <c r="B43" s="11" t="s">
        <v>31</v>
      </c>
      <c r="C43" s="11">
        <v>10</v>
      </c>
      <c r="D43" s="11">
        <v>13000000</v>
      </c>
      <c r="E43" s="11">
        <v>4838242.9000000004</v>
      </c>
      <c r="F43" s="11">
        <v>3187153.8030985831</v>
      </c>
      <c r="G43" s="12">
        <f>Table841419410132427323943485356711182530[[#This Row],[VỐN CP]]+Table841419410132427323943485356711182530[[#This Row],[LỢI NHUẬN RÒNG]]</f>
        <v>16187153.803098584</v>
      </c>
    </row>
    <row r="44" spans="1:12" ht="15" hidden="1" customHeight="1" x14ac:dyDescent="0.3">
      <c r="A44" s="10" t="s">
        <v>146</v>
      </c>
      <c r="B44" s="11" t="s">
        <v>21</v>
      </c>
      <c r="C44" s="11">
        <v>10</v>
      </c>
      <c r="D44" s="11">
        <v>13000000</v>
      </c>
      <c r="E44" s="11">
        <v>4838242.9000000004</v>
      </c>
      <c r="F44" s="11">
        <v>3187153.8030985831</v>
      </c>
      <c r="G44" s="12">
        <f>Table841419410132427323943485356711182530[[#This Row],[VỐN CP]]+Table841419410132427323943485356711182530[[#This Row],[LỢI NHUẬN RÒNG]]</f>
        <v>16187153.803098584</v>
      </c>
    </row>
    <row r="45" spans="1:12" ht="15" hidden="1" customHeight="1" x14ac:dyDescent="0.3">
      <c r="A45" s="10" t="s">
        <v>146</v>
      </c>
      <c r="B45" s="11" t="s">
        <v>10</v>
      </c>
      <c r="C45" s="11">
        <v>5</v>
      </c>
      <c r="D45" s="11">
        <v>6500000</v>
      </c>
      <c r="E45" s="11">
        <v>2419121.4500000002</v>
      </c>
      <c r="F45" s="11">
        <v>1593576.9015492916</v>
      </c>
      <c r="G45" s="12">
        <f>Table841419410132427323943485356711182530[[#This Row],[VỐN CP]]+Table841419410132427323943485356711182530[[#This Row],[LỢI NHUẬN RÒNG]]</f>
        <v>8093576.9015492918</v>
      </c>
    </row>
    <row r="46" spans="1:12" ht="15" hidden="1" customHeight="1" x14ac:dyDescent="0.3">
      <c r="A46" s="10" t="s">
        <v>146</v>
      </c>
      <c r="B46" s="11" t="s">
        <v>29</v>
      </c>
      <c r="C46" s="11">
        <v>5</v>
      </c>
      <c r="D46" s="11">
        <v>6500000</v>
      </c>
      <c r="E46" s="11">
        <v>2419121.4500000002</v>
      </c>
      <c r="F46" s="11">
        <v>1593576.9015492916</v>
      </c>
      <c r="G46" s="12">
        <f>Table841419410132427323943485356711182530[[#This Row],[VỐN CP]]+Table841419410132427323943485356711182530[[#This Row],[LỢI NHUẬN RÒNG]]</f>
        <v>8093576.9015492918</v>
      </c>
    </row>
    <row r="47" spans="1:12" ht="15" hidden="1" customHeight="1" x14ac:dyDescent="0.3">
      <c r="A47" s="10" t="s">
        <v>146</v>
      </c>
      <c r="B47" s="11" t="s">
        <v>43</v>
      </c>
      <c r="C47" s="11">
        <v>10</v>
      </c>
      <c r="D47" s="11">
        <v>13000000</v>
      </c>
      <c r="E47" s="11">
        <v>4838242.9000000004</v>
      </c>
      <c r="F47" s="11">
        <v>3187153.8030985831</v>
      </c>
      <c r="G47" s="12">
        <f>Table841419410132427323943485356711182530[[#This Row],[VỐN CP]]+Table841419410132427323943485356711182530[[#This Row],[LỢI NHUẬN RÒNG]]</f>
        <v>16187153.803098584</v>
      </c>
    </row>
    <row r="48" spans="1:12" ht="15" hidden="1" customHeight="1" x14ac:dyDescent="0.3">
      <c r="A48" s="10" t="s">
        <v>146</v>
      </c>
      <c r="B48" s="11" t="s">
        <v>25</v>
      </c>
      <c r="C48" s="11">
        <v>5</v>
      </c>
      <c r="D48" s="11">
        <v>6500000</v>
      </c>
      <c r="E48" s="11">
        <v>2419121.4500000002</v>
      </c>
      <c r="F48" s="11">
        <v>1593576.9015492916</v>
      </c>
      <c r="G48" s="12">
        <f>Table841419410132427323943485356711182530[[#This Row],[VỐN CP]]+Table841419410132427323943485356711182530[[#This Row],[LỢI NHUẬN RÒNG]]</f>
        <v>8093576.9015492918</v>
      </c>
    </row>
    <row r="49" spans="1:7" ht="15" hidden="1" customHeight="1" x14ac:dyDescent="0.3">
      <c r="A49" s="10" t="s">
        <v>147</v>
      </c>
      <c r="B49" s="11" t="s">
        <v>9</v>
      </c>
      <c r="C49" s="11">
        <v>15</v>
      </c>
      <c r="D49" s="11">
        <v>12900000</v>
      </c>
      <c r="E49" s="11">
        <v>4267828.5</v>
      </c>
      <c r="F49" s="11">
        <v>1870286.6897275711</v>
      </c>
      <c r="G49" s="12">
        <f>Table841419410132427323943485356711182530[[#This Row],[VỐN CP]]+Table841419410132427323943485356711182530[[#This Row],[LỢI NHUẬN RÒNG]]</f>
        <v>14770286.689727571</v>
      </c>
    </row>
    <row r="50" spans="1:7" ht="15" hidden="1" customHeight="1" x14ac:dyDescent="0.3">
      <c r="A50" s="10" t="s">
        <v>147</v>
      </c>
      <c r="B50" s="11" t="s">
        <v>19</v>
      </c>
      <c r="C50" s="11">
        <v>20</v>
      </c>
      <c r="D50" s="11">
        <v>17200000</v>
      </c>
      <c r="E50" s="11">
        <v>5690438</v>
      </c>
      <c r="F50" s="11">
        <v>2493715.5863034278</v>
      </c>
      <c r="G50" s="12">
        <f>Table841419410132427323943485356711182530[[#This Row],[VỐN CP]]+Table841419410132427323943485356711182530[[#This Row],[LỢI NHUẬN RÒNG]]</f>
        <v>19693715.586303428</v>
      </c>
    </row>
    <row r="51" spans="1:7" ht="15" hidden="1" customHeight="1" x14ac:dyDescent="0.3">
      <c r="A51" s="10" t="s">
        <v>147</v>
      </c>
      <c r="B51" s="11" t="s">
        <v>27</v>
      </c>
      <c r="C51" s="11">
        <v>5</v>
      </c>
      <c r="D51" s="11">
        <v>4300000</v>
      </c>
      <c r="E51" s="11">
        <v>1422609.5</v>
      </c>
      <c r="F51" s="11">
        <v>623428.89657585695</v>
      </c>
      <c r="G51" s="12">
        <f>Table841419410132427323943485356711182530[[#This Row],[VỐN CP]]+Table841419410132427323943485356711182530[[#This Row],[LỢI NHUẬN RÒNG]]</f>
        <v>4923428.896575857</v>
      </c>
    </row>
    <row r="52" spans="1:7" ht="15" hidden="1" customHeight="1" x14ac:dyDescent="0.3">
      <c r="A52" s="10" t="s">
        <v>147</v>
      </c>
      <c r="B52" s="11" t="s">
        <v>37</v>
      </c>
      <c r="C52" s="11">
        <v>10</v>
      </c>
      <c r="D52" s="11">
        <v>8600000</v>
      </c>
      <c r="E52" s="11">
        <v>2845219</v>
      </c>
      <c r="F52" s="11">
        <v>1246857.7931517139</v>
      </c>
      <c r="G52" s="12">
        <f>Table841419410132427323943485356711182530[[#This Row],[VỐN CP]]+Table841419410132427323943485356711182530[[#This Row],[LỢI NHUẬN RÒNG]]</f>
        <v>9846857.7931517139</v>
      </c>
    </row>
    <row r="53" spans="1:7" ht="12" customHeight="1" x14ac:dyDescent="0.3">
      <c r="A53" s="10" t="s">
        <v>147</v>
      </c>
      <c r="B53" s="11" t="s">
        <v>33</v>
      </c>
      <c r="C53" s="11">
        <v>5</v>
      </c>
      <c r="D53" s="11">
        <v>4300000</v>
      </c>
      <c r="E53" s="11">
        <v>1422609.5</v>
      </c>
      <c r="F53" s="11">
        <v>623428.89657585695</v>
      </c>
      <c r="G53" s="12">
        <f>Table841419410132427323943485356711182530[[#This Row],[VỐN CP]]+Table841419410132427323943485356711182530[[#This Row],[LỢI NHUẬN RÒNG]]</f>
        <v>4923428.896575857</v>
      </c>
    </row>
    <row r="54" spans="1:7" ht="15" hidden="1" customHeight="1" x14ac:dyDescent="0.3">
      <c r="A54" s="10" t="s">
        <v>147</v>
      </c>
      <c r="B54" s="11" t="s">
        <v>31</v>
      </c>
      <c r="C54" s="11">
        <v>20</v>
      </c>
      <c r="D54" s="11">
        <v>17200000</v>
      </c>
      <c r="E54" s="11">
        <v>5690438</v>
      </c>
      <c r="F54" s="11">
        <v>2493715.5863034278</v>
      </c>
      <c r="G54" s="12">
        <f>Table841419410132427323943485356711182530[[#This Row],[VỐN CP]]+Table841419410132427323943485356711182530[[#This Row],[LỢI NHUẬN RÒNG]]</f>
        <v>19693715.586303428</v>
      </c>
    </row>
    <row r="55" spans="1:7" ht="15" hidden="1" customHeight="1" x14ac:dyDescent="0.3">
      <c r="A55" s="10" t="s">
        <v>147</v>
      </c>
      <c r="B55" s="11" t="s">
        <v>21</v>
      </c>
      <c r="C55" s="11">
        <v>10</v>
      </c>
      <c r="D55" s="11">
        <v>8600000</v>
      </c>
      <c r="E55" s="11">
        <v>2845219</v>
      </c>
      <c r="F55" s="11">
        <v>1246857.7931517139</v>
      </c>
      <c r="G55" s="12">
        <f>Table841419410132427323943485356711182530[[#This Row],[VỐN CP]]+Table841419410132427323943485356711182530[[#This Row],[LỢI NHUẬN RÒNG]]</f>
        <v>9846857.7931517139</v>
      </c>
    </row>
    <row r="56" spans="1:7" ht="15" hidden="1" customHeight="1" x14ac:dyDescent="0.3">
      <c r="A56" s="10" t="s">
        <v>147</v>
      </c>
      <c r="B56" s="11" t="s">
        <v>29</v>
      </c>
      <c r="C56" s="18">
        <v>5</v>
      </c>
      <c r="D56" s="18">
        <v>4300000</v>
      </c>
      <c r="E56" s="18">
        <v>1422609.5</v>
      </c>
      <c r="F56" s="18">
        <v>623428.89657585695</v>
      </c>
      <c r="G56" s="12">
        <f>Table841419410132427323943485356711182530[[#This Row],[VỐN CP]]+Table841419410132427323943485356711182530[[#This Row],[LỢI NHUẬN RÒNG]]</f>
        <v>4923428.896575857</v>
      </c>
    </row>
    <row r="57" spans="1:7" ht="15" hidden="1" customHeight="1" x14ac:dyDescent="0.3">
      <c r="A57" s="10" t="s">
        <v>147</v>
      </c>
      <c r="B57" s="11" t="s">
        <v>43</v>
      </c>
      <c r="C57" s="11">
        <v>10</v>
      </c>
      <c r="D57" s="11">
        <v>8600000</v>
      </c>
      <c r="E57" s="11">
        <v>2845219</v>
      </c>
      <c r="F57" s="11">
        <v>1246857.7931517139</v>
      </c>
      <c r="G57" s="12">
        <f>Table841419410132427323943485356711182530[[#This Row],[VỐN CP]]+Table841419410132427323943485356711182530[[#This Row],[LỢI NHUẬN RÒNG]]</f>
        <v>9846857.7931517139</v>
      </c>
    </row>
    <row r="58" spans="1:7" ht="15" hidden="1" customHeight="1" x14ac:dyDescent="0.3">
      <c r="A58" s="10" t="s">
        <v>148</v>
      </c>
      <c r="B58" s="11" t="s">
        <v>9</v>
      </c>
      <c r="C58" s="11">
        <v>10</v>
      </c>
      <c r="D58" s="11">
        <v>5000000</v>
      </c>
      <c r="E58" s="11">
        <v>2327266.7000000002</v>
      </c>
      <c r="F58" s="11">
        <v>1716811.1576717347</v>
      </c>
      <c r="G58" s="12">
        <f>Table841419410132427323943485356711182530[[#This Row],[VỐN CP]]+Table841419410132427323943485356711182530[[#This Row],[LỢI NHUẬN RÒNG]]</f>
        <v>6716811.1576717347</v>
      </c>
    </row>
    <row r="59" spans="1:7" ht="15" hidden="1" customHeight="1" x14ac:dyDescent="0.3">
      <c r="A59" s="10" t="s">
        <v>148</v>
      </c>
      <c r="B59" s="11" t="s">
        <v>19</v>
      </c>
      <c r="C59" s="11">
        <v>10</v>
      </c>
      <c r="D59" s="11">
        <v>5000000</v>
      </c>
      <c r="E59" s="11">
        <v>2327266.7000000002</v>
      </c>
      <c r="F59" s="11">
        <v>1716811.1576717347</v>
      </c>
      <c r="G59" s="12">
        <f>Table841419410132427323943485356711182530[[#This Row],[VỐN CP]]+Table841419410132427323943485356711182530[[#This Row],[LỢI NHUẬN RÒNG]]</f>
        <v>6716811.1576717347</v>
      </c>
    </row>
    <row r="60" spans="1:7" ht="15" hidden="1" customHeight="1" x14ac:dyDescent="0.3">
      <c r="A60" s="10" t="s">
        <v>148</v>
      </c>
      <c r="B60" s="11" t="s">
        <v>37</v>
      </c>
      <c r="C60" s="11">
        <v>20</v>
      </c>
      <c r="D60" s="11">
        <v>10000000</v>
      </c>
      <c r="E60" s="11">
        <v>4654533.4000000004</v>
      </c>
      <c r="F60" s="11">
        <v>3433622.3153434694</v>
      </c>
      <c r="G60" s="12">
        <f>Table841419410132427323943485356711182530[[#This Row],[VỐN CP]]+Table841419410132427323943485356711182530[[#This Row],[LỢI NHUẬN RÒNG]]</f>
        <v>13433622.315343469</v>
      </c>
    </row>
    <row r="61" spans="1:7" ht="15" customHeight="1" x14ac:dyDescent="0.3">
      <c r="A61" s="10" t="s">
        <v>148</v>
      </c>
      <c r="B61" s="11" t="s">
        <v>33</v>
      </c>
      <c r="C61" s="11">
        <v>5</v>
      </c>
      <c r="D61" s="11">
        <v>2500000</v>
      </c>
      <c r="E61" s="11">
        <v>1163633.3500000001</v>
      </c>
      <c r="F61" s="11">
        <v>858405.57883586735</v>
      </c>
      <c r="G61" s="12">
        <f>Table841419410132427323943485356711182530[[#This Row],[VỐN CP]]+Table841419410132427323943485356711182530[[#This Row],[LỢI NHUẬN RÒNG]]</f>
        <v>3358405.5788358673</v>
      </c>
    </row>
    <row r="62" spans="1:7" ht="15" hidden="1" customHeight="1" x14ac:dyDescent="0.3">
      <c r="A62" s="10" t="s">
        <v>148</v>
      </c>
      <c r="B62" s="11" t="s">
        <v>31</v>
      </c>
      <c r="C62" s="11">
        <v>10</v>
      </c>
      <c r="D62" s="11">
        <v>5000000</v>
      </c>
      <c r="E62" s="11">
        <v>2327266.7000000002</v>
      </c>
      <c r="F62" s="11">
        <v>1716811.1576717347</v>
      </c>
      <c r="G62" s="12">
        <f>Table841419410132427323943485356711182530[[#This Row],[VỐN CP]]+Table841419410132427323943485356711182530[[#This Row],[LỢI NHUẬN RÒNG]]</f>
        <v>6716811.1576717347</v>
      </c>
    </row>
    <row r="63" spans="1:7" ht="15" hidden="1" customHeight="1" x14ac:dyDescent="0.3">
      <c r="A63" s="10" t="s">
        <v>148</v>
      </c>
      <c r="B63" s="11" t="s">
        <v>21</v>
      </c>
      <c r="C63" s="11">
        <v>10</v>
      </c>
      <c r="D63" s="11">
        <v>5000000</v>
      </c>
      <c r="E63" s="11">
        <v>2327266.7000000002</v>
      </c>
      <c r="F63" s="11">
        <v>1716811.1576717347</v>
      </c>
      <c r="G63" s="12">
        <f>Table841419410132427323943485356711182530[[#This Row],[VỐN CP]]+Table841419410132427323943485356711182530[[#This Row],[LỢI NHUẬN RÒNG]]</f>
        <v>6716811.1576717347</v>
      </c>
    </row>
    <row r="64" spans="1:7" ht="15" hidden="1" customHeight="1" x14ac:dyDescent="0.3">
      <c r="A64" s="10" t="s">
        <v>148</v>
      </c>
      <c r="B64" s="11" t="s">
        <v>10</v>
      </c>
      <c r="C64" s="11">
        <v>10</v>
      </c>
      <c r="D64" s="11">
        <v>5000000</v>
      </c>
      <c r="E64" s="11">
        <v>2327266.7000000002</v>
      </c>
      <c r="F64" s="11">
        <v>1716811.1576717347</v>
      </c>
      <c r="G64" s="12">
        <f>Table841419410132427323943485356711182530[[#This Row],[VỐN CP]]+Table841419410132427323943485356711182530[[#This Row],[LỢI NHUẬN RÒNG]]</f>
        <v>6716811.1576717347</v>
      </c>
    </row>
    <row r="65" spans="1:7" ht="15" hidden="1" customHeight="1" x14ac:dyDescent="0.3">
      <c r="A65" s="10" t="s">
        <v>148</v>
      </c>
      <c r="B65" s="11" t="s">
        <v>29</v>
      </c>
      <c r="C65" s="11">
        <v>5</v>
      </c>
      <c r="D65" s="11">
        <v>2500000</v>
      </c>
      <c r="E65" s="11">
        <v>1163633.3500000001</v>
      </c>
      <c r="F65" s="11">
        <v>858405.57883586735</v>
      </c>
      <c r="G65" s="12">
        <f>Table841419410132427323943485356711182530[[#This Row],[VỐN CP]]+Table841419410132427323943485356711182530[[#This Row],[LỢI NHUẬN RÒNG]]</f>
        <v>3358405.5788358673</v>
      </c>
    </row>
    <row r="66" spans="1:7" ht="15" hidden="1" customHeight="1" x14ac:dyDescent="0.3">
      <c r="A66" s="10" t="s">
        <v>148</v>
      </c>
      <c r="B66" s="11" t="s">
        <v>43</v>
      </c>
      <c r="C66" s="11">
        <v>10</v>
      </c>
      <c r="D66" s="11">
        <v>5000000</v>
      </c>
      <c r="E66" s="11">
        <v>2327266.7000000002</v>
      </c>
      <c r="F66" s="11">
        <v>1716811.1576717347</v>
      </c>
      <c r="G66" s="12">
        <f>Table841419410132427323943485356711182530[[#This Row],[VỐN CP]]+Table841419410132427323943485356711182530[[#This Row],[LỢI NHUẬN RÒNG]]</f>
        <v>6716811.1576717347</v>
      </c>
    </row>
    <row r="67" spans="1:7" ht="15" hidden="1" customHeight="1" x14ac:dyDescent="0.3">
      <c r="A67" s="10" t="s">
        <v>148</v>
      </c>
      <c r="B67" s="11" t="s">
        <v>25</v>
      </c>
      <c r="C67" s="11">
        <v>10</v>
      </c>
      <c r="D67" s="18">
        <v>5000000</v>
      </c>
      <c r="E67" s="18">
        <v>2327266.7000000002</v>
      </c>
      <c r="F67" s="18">
        <v>1716811.1576717347</v>
      </c>
      <c r="G67" s="12">
        <f>Table841419410132427323943485356711182530[[#This Row],[VỐN CP]]+Table841419410132427323943485356711182530[[#This Row],[LỢI NHUẬN RÒNG]]</f>
        <v>6716811.1576717347</v>
      </c>
    </row>
    <row r="68" spans="1:7" ht="15" hidden="1" customHeight="1" x14ac:dyDescent="0.3">
      <c r="A68" s="10"/>
      <c r="G68" s="12">
        <f>D68+Table841419410132427323943485356711182530[[#This Row],[LỢI NHUẬN RÒNG]]</f>
        <v>0</v>
      </c>
    </row>
    <row r="69" spans="1:7" ht="15" hidden="1" customHeight="1" x14ac:dyDescent="0.3">
      <c r="A69" s="10"/>
      <c r="G69" s="12">
        <f>D69+Table841419410132427323943485356711182530[[#This Row],[LỢI NHUẬN RÒNG]]</f>
        <v>0</v>
      </c>
    </row>
    <row r="70" spans="1:7" ht="15" hidden="1" customHeight="1" x14ac:dyDescent="0.3">
      <c r="A70" s="10"/>
      <c r="G70" s="12">
        <f>D70+Table841419410132427323943485356711182530[[#This Row],[LỢI NHUẬN RÒNG]]</f>
        <v>0</v>
      </c>
    </row>
    <row r="71" spans="1:7" ht="15" hidden="1" customHeight="1" x14ac:dyDescent="0.3">
      <c r="A71" s="10"/>
      <c r="G71" s="12">
        <f>D71+Table841419410132427323943485356711182530[[#This Row],[LỢI NHUẬN RÒNG]]</f>
        <v>0</v>
      </c>
    </row>
    <row r="72" spans="1:7" ht="15" hidden="1" customHeight="1" x14ac:dyDescent="0.3">
      <c r="A72" s="10"/>
      <c r="G72" s="12">
        <f>D72+Table841419410132427323943485356711182530[[#This Row],[LỢI NHUẬN RÒNG]]</f>
        <v>0</v>
      </c>
    </row>
    <row r="73" spans="1:7" ht="15" hidden="1" customHeight="1" x14ac:dyDescent="0.3">
      <c r="A73" s="10"/>
      <c r="G73" s="12">
        <f>D73+Table841419410132427323943485356711182530[[#This Row],[LỢI NHUẬN RÒNG]]</f>
        <v>0</v>
      </c>
    </row>
    <row r="74" spans="1:7" ht="15" hidden="1" customHeight="1" x14ac:dyDescent="0.3">
      <c r="A74" s="10"/>
      <c r="G74" s="12">
        <f>D74+Table841419410132427323943485356711182530[[#This Row],[LỢI NHUẬN RÒNG]]</f>
        <v>0</v>
      </c>
    </row>
    <row r="75" spans="1:7" ht="15" hidden="1" customHeight="1" x14ac:dyDescent="0.3">
      <c r="A75" s="10"/>
      <c r="G75" s="12">
        <f>D75+Table841419410132427323943485356711182530[[#This Row],[LỢI NHUẬN RÒNG]]</f>
        <v>0</v>
      </c>
    </row>
    <row r="76" spans="1:7" ht="15" hidden="1" customHeight="1" x14ac:dyDescent="0.3">
      <c r="A76" s="10"/>
      <c r="G76" s="12">
        <f>D76+Table841419410132427323943485356711182530[[#This Row],[LỢI NHUẬN RÒNG]]</f>
        <v>0</v>
      </c>
    </row>
    <row r="77" spans="1:7" ht="15" hidden="1" customHeight="1" x14ac:dyDescent="0.3">
      <c r="A77" s="10"/>
      <c r="G77" s="12">
        <f>D77+Table841419410132427323943485356711182530[[#This Row],[LỢI NHUẬN RÒNG]]</f>
        <v>0</v>
      </c>
    </row>
    <row r="78" spans="1:7" ht="15" hidden="1" customHeight="1" x14ac:dyDescent="0.3">
      <c r="A78" s="10"/>
      <c r="G78" s="12"/>
    </row>
    <row r="79" spans="1:7" ht="15" hidden="1" customHeight="1" x14ac:dyDescent="0.3">
      <c r="A79" s="10"/>
      <c r="G79" s="12">
        <f>D79+Table841419410132427323943485356711182530[[#This Row],[LỢI NHUẬN RÒNG]]</f>
        <v>0</v>
      </c>
    </row>
    <row r="80" spans="1:7" ht="15" hidden="1" customHeight="1" x14ac:dyDescent="0.3">
      <c r="A80" s="10"/>
      <c r="G80" s="12">
        <f>D80+Table841419410132427323943485356711182530[[#This Row],[LỢI NHUẬN RÒNG]]</f>
        <v>0</v>
      </c>
    </row>
    <row r="81" spans="1:7" ht="15" hidden="1" customHeight="1" x14ac:dyDescent="0.3">
      <c r="A81" s="10"/>
      <c r="G81" s="12">
        <f>D81+Table841419410132427323943485356711182530[[#This Row],[LỢI NHUẬN RÒNG]]</f>
        <v>0</v>
      </c>
    </row>
    <row r="82" spans="1:7" ht="15" hidden="1" customHeight="1" x14ac:dyDescent="0.3">
      <c r="A82" s="10"/>
      <c r="G82" s="12">
        <f>D82+Table841419410132427323943485356711182530[[#This Row],[LỢI NHUẬN RÒNG]]</f>
        <v>0</v>
      </c>
    </row>
    <row r="83" spans="1:7" ht="15" hidden="1" customHeight="1" x14ac:dyDescent="0.3">
      <c r="A83" s="10"/>
      <c r="G83" s="12">
        <f>D83+Table841419410132427323943485356711182530[[#This Row],[LỢI NHUẬN RÒNG]]</f>
        <v>0</v>
      </c>
    </row>
    <row r="84" spans="1:7" ht="15" hidden="1" customHeight="1" x14ac:dyDescent="0.3">
      <c r="A84" s="10"/>
      <c r="G84" s="12">
        <f>D84+Table841419410132427323943485356711182530[[#This Row],[LỢI NHUẬN RÒNG]]</f>
        <v>0</v>
      </c>
    </row>
    <row r="85" spans="1:7" ht="15" hidden="1" customHeight="1" x14ac:dyDescent="0.3">
      <c r="A85" s="10"/>
      <c r="G85" s="12">
        <f>D85+Table841419410132427323943485356711182530[[#This Row],[LỢI NHUẬN RÒNG]]</f>
        <v>0</v>
      </c>
    </row>
    <row r="86" spans="1:7" ht="15" hidden="1" customHeight="1" x14ac:dyDescent="0.3">
      <c r="A86" s="20"/>
      <c r="B86" s="21"/>
      <c r="C86" s="21"/>
      <c r="D86" s="21"/>
      <c r="E86" s="21"/>
      <c r="F86" s="21"/>
      <c r="G86" s="12">
        <f>D86+Table841419410132427323943485356711182530[[#This Row],[LỢI NHUẬN RÒNG]]</f>
        <v>0</v>
      </c>
    </row>
    <row r="87" spans="1:7" ht="15" hidden="1" customHeight="1" x14ac:dyDescent="0.3">
      <c r="A87" s="22"/>
      <c r="B87" s="21"/>
      <c r="C87" s="21"/>
      <c r="D87" s="21"/>
      <c r="E87" s="21"/>
      <c r="F87" s="21"/>
      <c r="G87" s="12">
        <f>D87+Table841419410132427323943485356711182530[[#This Row],[LỢI NHUẬN RÒNG]]</f>
        <v>0</v>
      </c>
    </row>
    <row r="88" spans="1:7" hidden="1" x14ac:dyDescent="0.3">
      <c r="A88" s="23"/>
      <c r="C88" s="21"/>
      <c r="D88" s="21"/>
      <c r="E88" s="21"/>
      <c r="F88" s="21"/>
      <c r="G88" s="12">
        <f>D88+Table841419410132427323943485356711182530[[#This Row],[LỢI NHUẬN RÒNG]]</f>
        <v>0</v>
      </c>
    </row>
    <row r="89" spans="1:7" hidden="1" x14ac:dyDescent="0.3">
      <c r="A89" s="23"/>
      <c r="B89" s="21"/>
      <c r="C89" s="21"/>
      <c r="D89" s="21"/>
      <c r="E89" s="21"/>
      <c r="F89" s="21"/>
      <c r="G89" s="12">
        <f>D89+Table841419410132427323943485356711182530[[#This Row],[LỢI NHUẬN RÒNG]]</f>
        <v>0</v>
      </c>
    </row>
    <row r="90" spans="1:7" hidden="1" x14ac:dyDescent="0.3">
      <c r="A90" s="23"/>
      <c r="B90" s="21"/>
      <c r="C90" s="21"/>
      <c r="D90" s="21"/>
      <c r="E90" s="21"/>
      <c r="F90" s="21"/>
      <c r="G90" s="12">
        <f>D90+Table841419410132427323943485356711182530[[#This Row],[LỢI NHUẬN RÒNG]]</f>
        <v>0</v>
      </c>
    </row>
    <row r="91" spans="1:7" hidden="1" x14ac:dyDescent="0.3">
      <c r="A91" s="23"/>
      <c r="B91" s="24"/>
      <c r="C91" s="21"/>
      <c r="D91" s="21"/>
      <c r="E91" s="21"/>
      <c r="F91" s="21"/>
      <c r="G91" s="12">
        <f>D91+Table841419410132427323943485356711182530[[#This Row],[LỢI NHUẬN RÒNG]]</f>
        <v>0</v>
      </c>
    </row>
    <row r="92" spans="1:7" hidden="1" x14ac:dyDescent="0.3">
      <c r="A92" s="23"/>
      <c r="C92" s="21"/>
      <c r="D92" s="21"/>
      <c r="E92" s="21"/>
      <c r="F92" s="21"/>
      <c r="G92" s="12">
        <f>D92+Table841419410132427323943485356711182530[[#This Row],[LỢI NHUẬN RÒNG]]</f>
        <v>0</v>
      </c>
    </row>
    <row r="93" spans="1:7" hidden="1" x14ac:dyDescent="0.3">
      <c r="A93" s="23"/>
      <c r="B93" s="25"/>
      <c r="C93" s="21"/>
      <c r="D93" s="21"/>
      <c r="E93" s="21"/>
      <c r="F93" s="21"/>
      <c r="G93" s="12">
        <f>D93+Table841419410132427323943485356711182530[[#This Row],[LỢI NHUẬN RÒNG]]</f>
        <v>0</v>
      </c>
    </row>
    <row r="94" spans="1:7" hidden="1" x14ac:dyDescent="0.3">
      <c r="A94" s="23"/>
      <c r="B94" s="21"/>
      <c r="C94" s="21"/>
      <c r="D94" s="21"/>
      <c r="E94" s="21"/>
      <c r="F94" s="21"/>
      <c r="G94" s="12">
        <f>D94+Table841419410132427323943485356711182530[[#This Row],[LỢI NHUẬN RÒNG]]</f>
        <v>0</v>
      </c>
    </row>
    <row r="95" spans="1:7" hidden="1" x14ac:dyDescent="0.3">
      <c r="A95" s="23"/>
      <c r="C95" s="21"/>
      <c r="D95" s="21"/>
      <c r="E95" s="21"/>
      <c r="F95" s="21"/>
      <c r="G95" s="12">
        <f>D95+Table841419410132427323943485356711182530[[#This Row],[LỢI NHUẬN RÒNG]]</f>
        <v>0</v>
      </c>
    </row>
    <row r="96" spans="1:7" hidden="1" x14ac:dyDescent="0.3">
      <c r="A96" s="23"/>
      <c r="B96" s="21"/>
      <c r="C96" s="21"/>
      <c r="D96" s="21"/>
      <c r="E96" s="21"/>
      <c r="F96" s="21"/>
      <c r="G96" s="12">
        <f>D96+Table841419410132427323943485356711182530[[#This Row],[LỢI NHUẬN RÒNG]]</f>
        <v>0</v>
      </c>
    </row>
    <row r="97" spans="1:7" hidden="1" x14ac:dyDescent="0.3">
      <c r="A97" s="23"/>
      <c r="C97" s="21"/>
      <c r="D97" s="21"/>
      <c r="E97" s="21"/>
      <c r="F97" s="21"/>
      <c r="G97" s="12">
        <f>D97+Table841419410132427323943485356711182530[[#This Row],[LỢI NHUẬN RÒNG]]</f>
        <v>0</v>
      </c>
    </row>
    <row r="98" spans="1:7" hidden="1" x14ac:dyDescent="0.3">
      <c r="A98" s="23"/>
      <c r="C98" s="21"/>
      <c r="D98" s="21"/>
      <c r="E98" s="21"/>
      <c r="F98" s="21"/>
      <c r="G98" s="12">
        <f>D98+Table841419410132427323943485356711182530[[#This Row],[LỢI NHUẬN RÒNG]]</f>
        <v>0</v>
      </c>
    </row>
    <row r="99" spans="1:7" hidden="1" x14ac:dyDescent="0.3">
      <c r="A99" s="23"/>
      <c r="C99" s="21"/>
      <c r="D99" s="21"/>
      <c r="E99" s="21"/>
      <c r="F99" s="21"/>
      <c r="G99" s="12">
        <f>D99+Table841419410132427323943485356711182530[[#This Row],[LỢI NHUẬN RÒNG]]</f>
        <v>0</v>
      </c>
    </row>
    <row r="100" spans="1:7" hidden="1" x14ac:dyDescent="0.3">
      <c r="A100" s="23"/>
      <c r="C100" s="21"/>
      <c r="D100" s="21"/>
      <c r="E100" s="21"/>
      <c r="F100" s="21"/>
      <c r="G100" s="12">
        <f>D100+Table841419410132427323943485356711182530[[#This Row],[LỢI NHUẬN RÒNG]]</f>
        <v>0</v>
      </c>
    </row>
    <row r="101" spans="1:7" hidden="1" x14ac:dyDescent="0.3">
      <c r="A101" s="23"/>
      <c r="C101" s="21"/>
      <c r="D101" s="21"/>
      <c r="E101" s="21"/>
      <c r="F101" s="21"/>
      <c r="G101" s="12">
        <f>D101+Table841419410132427323943485356711182530[[#This Row],[LỢI NHUẬN RÒNG]]</f>
        <v>0</v>
      </c>
    </row>
    <row r="102" spans="1:7" hidden="1" x14ac:dyDescent="0.3">
      <c r="A102" s="23"/>
      <c r="B102" s="21"/>
      <c r="C102" s="21"/>
      <c r="D102" s="21"/>
      <c r="E102" s="21"/>
      <c r="F102" s="21"/>
      <c r="G102" s="12">
        <f>D102+Table841419410132427323943485356711182530[[#This Row],[LỢI NHUẬN RÒNG]]</f>
        <v>0</v>
      </c>
    </row>
    <row r="103" spans="1:7" hidden="1" x14ac:dyDescent="0.3">
      <c r="A103" s="23"/>
      <c r="B103" s="21"/>
      <c r="C103" s="21"/>
      <c r="D103" s="21"/>
      <c r="E103" s="21"/>
      <c r="F103" s="21"/>
      <c r="G103" s="12">
        <f>D103+Table841419410132427323943485356711182530[[#This Row],[LỢI NHUẬN RÒNG]]</f>
        <v>0</v>
      </c>
    </row>
    <row r="104" spans="1:7" hidden="1" x14ac:dyDescent="0.3">
      <c r="A104" s="23"/>
      <c r="C104" s="21"/>
      <c r="D104" s="21"/>
      <c r="E104" s="21"/>
      <c r="F104" s="21"/>
      <c r="G104" s="12">
        <f>D104+Table841419410132427323943485356711182530[[#This Row],[LỢI NHUẬN RÒNG]]</f>
        <v>0</v>
      </c>
    </row>
    <row r="105" spans="1:7" hidden="1" x14ac:dyDescent="0.3">
      <c r="A105" s="23"/>
      <c r="B105" s="21"/>
      <c r="C105" s="21"/>
      <c r="D105" s="21"/>
      <c r="E105" s="21"/>
      <c r="F105" s="21"/>
      <c r="G105" s="12">
        <f>D105+Table841419410132427323943485356711182530[[#This Row],[LỢI NHUẬN RÒNG]]</f>
        <v>0</v>
      </c>
    </row>
    <row r="106" spans="1:7" hidden="1" x14ac:dyDescent="0.3">
      <c r="A106" s="23"/>
      <c r="C106" s="21"/>
      <c r="D106" s="21"/>
      <c r="E106" s="21"/>
      <c r="F106" s="21"/>
      <c r="G106" s="12">
        <f>D106+Table841419410132427323943485356711182530[[#This Row],[LỢI NHUẬN RÒNG]]</f>
        <v>0</v>
      </c>
    </row>
    <row r="107" spans="1:7" hidden="1" x14ac:dyDescent="0.3">
      <c r="A107" s="23"/>
      <c r="C107" s="21"/>
      <c r="D107" s="21"/>
      <c r="E107" s="21"/>
      <c r="F107" s="21"/>
      <c r="G107" s="12">
        <f>D107+Table841419410132427323943485356711182530[[#This Row],[LỢI NHUẬN RÒNG]]</f>
        <v>0</v>
      </c>
    </row>
    <row r="108" spans="1:7" hidden="1" x14ac:dyDescent="0.3">
      <c r="A108" s="23"/>
      <c r="C108" s="21"/>
      <c r="D108" s="21"/>
      <c r="E108" s="21"/>
      <c r="F108" s="21"/>
      <c r="G108" s="12">
        <f>D108+Table841419410132427323943485356711182530[[#This Row],[LỢI NHUẬN RÒNG]]</f>
        <v>0</v>
      </c>
    </row>
    <row r="109" spans="1:7" hidden="1" x14ac:dyDescent="0.3">
      <c r="A109" s="23"/>
      <c r="C109" s="21"/>
      <c r="D109" s="21"/>
      <c r="E109" s="21"/>
      <c r="F109" s="21"/>
      <c r="G109" s="12">
        <f>D109+Table841419410132427323943485356711182530[[#This Row],[LỢI NHUẬN RÒNG]]</f>
        <v>0</v>
      </c>
    </row>
    <row r="110" spans="1:7" hidden="1" x14ac:dyDescent="0.3">
      <c r="A110" s="23"/>
      <c r="C110" s="21"/>
      <c r="D110" s="21"/>
      <c r="E110" s="21"/>
      <c r="F110" s="21"/>
      <c r="G110" s="12">
        <f>D110+Table841419410132427323943485356711182530[[#This Row],[LỢI NHUẬN RÒNG]]</f>
        <v>0</v>
      </c>
    </row>
    <row r="111" spans="1:7" hidden="1" x14ac:dyDescent="0.3">
      <c r="A111" s="23"/>
      <c r="B111" s="21"/>
      <c r="C111" s="21"/>
      <c r="D111" s="21"/>
      <c r="E111" s="21"/>
      <c r="F111" s="21"/>
      <c r="G111" s="12">
        <f>D111+Table841419410132427323943485356711182530[[#This Row],[LỢI NHUẬN RÒNG]]</f>
        <v>0</v>
      </c>
    </row>
    <row r="112" spans="1:7" hidden="1" x14ac:dyDescent="0.3">
      <c r="A112" s="23"/>
      <c r="B112" s="21"/>
      <c r="C112" s="21"/>
      <c r="D112" s="21"/>
      <c r="E112" s="21"/>
      <c r="F112" s="21"/>
      <c r="G112" s="12">
        <f>D112+Table841419410132427323943485356711182530[[#This Row],[LỢI NHUẬN RÒNG]]</f>
        <v>0</v>
      </c>
    </row>
    <row r="113" spans="1:7" hidden="1" x14ac:dyDescent="0.3">
      <c r="A113" s="23"/>
      <c r="C113" s="21"/>
      <c r="D113" s="21"/>
      <c r="E113" s="21"/>
      <c r="F113" s="21"/>
      <c r="G113" s="12">
        <f>D113+Table841419410132427323943485356711182530[[#This Row],[LỢI NHUẬN RÒNG]]</f>
        <v>0</v>
      </c>
    </row>
    <row r="114" spans="1:7" hidden="1" x14ac:dyDescent="0.3">
      <c r="A114" s="23"/>
      <c r="B114" s="21"/>
      <c r="C114" s="21"/>
      <c r="D114" s="21"/>
      <c r="E114" s="21"/>
      <c r="F114" s="21"/>
      <c r="G114" s="12">
        <f>D114+Table841419410132427323943485356711182530[[#This Row],[LỢI NHUẬN RÒNG]]</f>
        <v>0</v>
      </c>
    </row>
    <row r="115" spans="1:7" hidden="1" x14ac:dyDescent="0.3">
      <c r="A115" s="23"/>
      <c r="G115" s="12">
        <f>D115+Table841419410132427323943485356711182530[[#This Row],[LỢI NHUẬN RÒNG]]</f>
        <v>0</v>
      </c>
    </row>
    <row r="116" spans="1:7" hidden="1" x14ac:dyDescent="0.3">
      <c r="A116" s="23"/>
      <c r="G116" s="12">
        <f>D116+Table841419410132427323943485356711182530[[#This Row],[LỢI NHUẬN RÒNG]]</f>
        <v>0</v>
      </c>
    </row>
    <row r="117" spans="1:7" hidden="1" x14ac:dyDescent="0.3">
      <c r="A117" s="23"/>
      <c r="G117" s="12">
        <f>D117+Table841419410132427323943485356711182530[[#This Row],[LỢI NHUẬN RÒNG]]</f>
        <v>0</v>
      </c>
    </row>
    <row r="118" spans="1:7" hidden="1" x14ac:dyDescent="0.3">
      <c r="A118" s="23"/>
      <c r="G118" s="12">
        <f>D118+Table841419410132427323943485356711182530[[#This Row],[LỢI NHUẬN RÒNG]]</f>
        <v>0</v>
      </c>
    </row>
    <row r="119" spans="1:7" hidden="1" x14ac:dyDescent="0.3">
      <c r="A119" s="23"/>
      <c r="G119" s="12">
        <f>D119+Table841419410132427323943485356711182530[[#This Row],[LỢI NHUẬN RÒNG]]</f>
        <v>0</v>
      </c>
    </row>
    <row r="120" spans="1:7" hidden="1" x14ac:dyDescent="0.3">
      <c r="A120" s="23"/>
      <c r="B120" s="21"/>
      <c r="C120" s="21"/>
      <c r="D120" s="21"/>
      <c r="E120" s="21"/>
      <c r="F120" s="21"/>
      <c r="G120" s="12">
        <f>D120+Table841419410132427323943485356711182530[[#This Row],[LỢI NHUẬN RÒNG]]</f>
        <v>0</v>
      </c>
    </row>
    <row r="121" spans="1:7" hidden="1" x14ac:dyDescent="0.3">
      <c r="G121" s="12">
        <f>D121+Table841419410132427323943485356711182530[[#This Row],[LỢI NHUẬN RÒNG]]</f>
        <v>0</v>
      </c>
    </row>
    <row r="122" spans="1:7" hidden="1" x14ac:dyDescent="0.3">
      <c r="G122" s="12">
        <f>D122+Table841419410132427323943485356711182530[[#This Row],[LỢI NHUẬN RÒNG]]</f>
        <v>0</v>
      </c>
    </row>
    <row r="123" spans="1:7" hidden="1" x14ac:dyDescent="0.3">
      <c r="G123" s="12">
        <f>D123+Table841419410132427323943485356711182530[[#This Row],[LỢI NHUẬN RÒNG]]</f>
        <v>0</v>
      </c>
    </row>
    <row r="124" spans="1:7" hidden="1" x14ac:dyDescent="0.3">
      <c r="G124" s="12">
        <f>D124+Table841419410132427323943485356711182530[[#This Row],[LỢI NHUẬN RÒNG]]</f>
        <v>0</v>
      </c>
    </row>
    <row r="125" spans="1:7" hidden="1" x14ac:dyDescent="0.3">
      <c r="B125" s="24"/>
      <c r="G125" s="12">
        <f>D125+Table841419410132427323943485356711182530[[#This Row],[LỢI NHUẬN RÒNG]]</f>
        <v>0</v>
      </c>
    </row>
    <row r="126" spans="1:7" hidden="1" x14ac:dyDescent="0.3">
      <c r="G126" s="12">
        <f>D126+Table841419410132427323943485356711182530[[#This Row],[LỢI NHUẬN RÒNG]]</f>
        <v>0</v>
      </c>
    </row>
    <row r="127" spans="1:7" hidden="1" x14ac:dyDescent="0.3">
      <c r="B127" s="21"/>
      <c r="C127" s="21"/>
      <c r="D127" s="21"/>
      <c r="E127" s="21"/>
      <c r="F127" s="21"/>
      <c r="G127" s="12">
        <f>D127+Table841419410132427323943485356711182530[[#This Row],[LỢI NHUẬN RÒNG]]</f>
        <v>0</v>
      </c>
    </row>
    <row r="128" spans="1:7" hidden="1" x14ac:dyDescent="0.3">
      <c r="G128" s="12">
        <f>D128+Table841419410132427323943485356711182530[[#This Row],[LỢI NHUẬN RÒNG]]</f>
        <v>0</v>
      </c>
    </row>
    <row r="129" spans="1:7" hidden="1" x14ac:dyDescent="0.3">
      <c r="G129" s="12">
        <f>D129+Table841419410132427323943485356711182530[[#This Row],[LỢI NHUẬN RÒNG]]</f>
        <v>0</v>
      </c>
    </row>
    <row r="130" spans="1:7" hidden="1" x14ac:dyDescent="0.3">
      <c r="G130" s="12">
        <f>D130+Table841419410132427323943485356711182530[[#This Row],[LỢI NHUẬN RÒNG]]</f>
        <v>0</v>
      </c>
    </row>
    <row r="131" spans="1:7" hidden="1" x14ac:dyDescent="0.3">
      <c r="G131" s="12">
        <f>D131+Table841419410132427323943485356711182530[[#This Row],[LỢI NHUẬN RÒNG]]</f>
        <v>0</v>
      </c>
    </row>
    <row r="132" spans="1:7" hidden="1" x14ac:dyDescent="0.3">
      <c r="B132" s="24"/>
      <c r="G132" s="12">
        <f>D132+Table841419410132427323943485356711182530[[#This Row],[LỢI NHUẬN RÒNG]]</f>
        <v>0</v>
      </c>
    </row>
    <row r="133" spans="1:7" hidden="1" x14ac:dyDescent="0.3">
      <c r="G133" s="12">
        <f>D133+Table841419410132427323943485356711182530[[#This Row],[LỢI NHUẬN RÒNG]]</f>
        <v>0</v>
      </c>
    </row>
    <row r="134" spans="1:7" hidden="1" x14ac:dyDescent="0.3">
      <c r="G134" s="12">
        <f>D134+Table841419410132427323943485356711182530[[#This Row],[LỢI NHUẬN RÒNG]]</f>
        <v>0</v>
      </c>
    </row>
    <row r="135" spans="1:7" hidden="1" x14ac:dyDescent="0.3">
      <c r="G135" s="12">
        <f>D135+Table841419410132427323943485356711182530[[#This Row],[LỢI NHUẬN RÒNG]]</f>
        <v>0</v>
      </c>
    </row>
    <row r="136" spans="1:7" hidden="1" x14ac:dyDescent="0.3">
      <c r="B136" s="21"/>
      <c r="G136" s="12">
        <f>D136+Table841419410132427323943485356711182530[[#This Row],[LỢI NHUẬN RÒNG]]</f>
        <v>0</v>
      </c>
    </row>
    <row r="137" spans="1:7" hidden="1" x14ac:dyDescent="0.3">
      <c r="G137" s="12">
        <f>D137+Table841419410132427323943485356711182530[[#This Row],[LỢI NHUẬN RÒNG]]</f>
        <v>0</v>
      </c>
    </row>
    <row r="138" spans="1:7" hidden="1" x14ac:dyDescent="0.3">
      <c r="G138" s="12">
        <f>D138+Table841419410132427323943485356711182530[[#This Row],[LỢI NHUẬN RÒNG]]</f>
        <v>0</v>
      </c>
    </row>
    <row r="139" spans="1:7" hidden="1" x14ac:dyDescent="0.3">
      <c r="G139" s="12">
        <f>D139+Table841419410132427323943485356711182530[[#This Row],[LỢI NHUẬN RÒNG]]</f>
        <v>0</v>
      </c>
    </row>
    <row r="140" spans="1:7" hidden="1" x14ac:dyDescent="0.3">
      <c r="B140" s="24"/>
      <c r="G140" s="12">
        <f>D140+Table841419410132427323943485356711182530[[#This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D141+Table841419410132427323943485356711182530[[#This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D142+Table841419410132427323943485356711182530[[#This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D143+Table841419410132427323943485356711182530[[#This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D144+Table841419410132427323943485356711182530[[#This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D145+Table841419410132427323943485356711182530[[#This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D146+Table841419410132427323943485356711182530[[#This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D147+Table841419410132427323943485356711182530[[#This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D148+Table841419410132427323943485356711182530[[#This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D149+Table841419410132427323943485356711182530[[#This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D150+Table841419410132427323943485356711182530[[#This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D151+Table841419410132427323943485356711182530[[#This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D152+Table841419410132427323943485356711182530[[#This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D153+Table841419410132427323943485356711182530[[#This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D154+Table841419410132427323943485356711182530[[#This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D155+Table841419410132427323943485356711182530[[#This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D156+Table841419410132427323943485356711182530[[#This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D157+Table841419410132427323943485356711182530[[#This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D158+Table841419410132427323943485356711182530[[#This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D159+Table841419410132427323943485356711182530[[#This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D160+Table841419410132427323943485356711182530[[#This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D161+Table841419410132427323943485356711182530[[#This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D162+Table841419410132427323943485356711182530[[#This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D163+Table841419410132427323943485356711182530[[#This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D164+Table841419410132427323943485356711182530[[#This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D165+Table841419410132427323943485356711182530[[#This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D166+Table841419410132427323943485356711182530[[#This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D167+Table841419410132427323943485356711182530[[#This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D168+Table841419410132427323943485356711182530[[#This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D169+Table841419410132427323943485356711182530[[#This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D170+Table841419410132427323943485356711182530[[#This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D171+Table841419410132427323943485356711182530[[#This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D172+Table841419410132427323943485356711182530[[#This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D173+Table841419410132427323943485356711182530[[#This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D174+Table841419410132427323943485356711182530[[#This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D175+Table841419410132427323943485356711182530[[#This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D176+Table841419410132427323943485356711182530[[#This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D177+Table841419410132427323943485356711182530[[#This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D178+Table841419410132427323943485356711182530[[#This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D179+Table841419410132427323943485356711182530[[#This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D180+Table841419410132427323943485356711182530[[#This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D181+Table841419410132427323943485356711182530[[#This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D182+Table841419410132427323943485356711182530[[#This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D183+Table841419410132427323943485356711182530[[#This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D184+Table841419410132427323943485356711182530[[#This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D185+Table841419410132427323943485356711182530[[#This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D186+Table841419410132427323943485356711182530[[#This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D187+Table841419410132427323943485356711182530[[#This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D188+Table841419410132427323943485356711182530[[#This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D189+Table841419410132427323943485356711182530[[#This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D190+Table841419410132427323943485356711182530[[#This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D191+Table841419410132427323943485356711182530[[#This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D192+Table841419410132427323943485356711182530[[#This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D193+Table841419410132427323943485356711182530[[#This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D194+Table841419410132427323943485356711182530[[#This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D195+Table841419410132427323943485356711182530[[#This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D196+Table841419410132427323943485356711182530[[#This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D197+Table841419410132427323943485356711182530[[#This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D198+Table841419410132427323943485356711182530[[#This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D199+Table841419410132427323943485356711182530[[#This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D200+Table841419410132427323943485356711182530[[#This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D201+Table841419410132427323943485356711182530[[#This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D202+Table841419410132427323943485356711182530[[#This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D203+Table841419410132427323943485356711182530[[#This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D204+Table841419410132427323943485356711182530[[#This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D205+Table841419410132427323943485356711182530[[#This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Table841419410132427323943485356711182530[[#This Row],[VỐN CP]]+Table841419410132427323943485356711182530[[#This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Table841419410132427323943485356711182530[[#This Row],[VỐN CP]]+Table841419410132427323943485356711182530[[#This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Table841419410132427323943485356711182530[[#This Row],[VỐN CP]]+Table841419410132427323943485356711182530[[#This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Table841419410132427323943485356711182530[[#This Row],[VỐN CP]]+Table841419410132427323943485356711182530[[#This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Table841419410132427323943485356711182530[[#This Row],[VỐN CP]]+Table841419410132427323943485356711182530[[#This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Table841419410132427323943485356711182530[[#This Row],[VỐN CP]]+Table841419410132427323943485356711182530[[#This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Table841419410132427323943485356711182530[[#This Row],[VỐN CP]]+Table841419410132427323943485356711182530[[#This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Table841419410132427323943485356711182530[[#This Row],[VỐN CP]]+Table841419410132427323943485356711182530[[#This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Table841419410132427323943485356711182530[[#This Row],[VỐN CP]]+Table841419410132427323943485356711182530[[#This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Table841419410132427323943485356711182530[[#This Row],[VỐN CP]]+Table841419410132427323943485356711182530[[#This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Table841419410132427323943485356711182530[[#This Row],[VỐN CP]]+Table841419410132427323943485356711182530[[#This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Table841419410132427323943485356711182530[[#This Row],[VỐN CP]]+Table841419410132427323943485356711182530[[#This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Table841419410132427323943485356711182530[[#This Row],[VỐN CP]]+Table841419410132427323943485356711182530[[#This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Table841419410132427323943485356711182530[[#This Row],[VỐN CP]]+Table841419410132427323943485356711182530[[#This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Table841419410132427323943485356711182530[[#This Row],[VỐN CP]]+Table841419410132427323943485356711182530[[#This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Table841419410132427323943485356711182530[[#This Row],[VỐN CP]]+Table841419410132427323943485356711182530[[#This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Table841419410132427323943485356711182530[[#This Row],[VỐN CP]]+Table841419410132427323943485356711182530[[#This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Table841419410132427323943485356711182530[[#This Row],[VỐN CP]]+Table841419410132427323943485356711182530[[#This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Table841419410132427323943485356711182530[[#This Row],[VỐN CP]]+Table841419410132427323943485356711182530[[#This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Table841419410132427323943485356711182530[[#This Row],[VỐN CP]]+Table841419410132427323943485356711182530[[#This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Table841419410132427323943485356711182530[[#This Row],[VỐN CP]]+Table841419410132427323943485356711182530[[#This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Table841419410132427323943485356711182530[[#This Row],[VỐN CP]]+Table841419410132427323943485356711182530[[#This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Table841419410132427323943485356711182530[[#This Row],[VỐN CP]]+Table841419410132427323943485356711182530[[#This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Table841419410132427323943485356711182530[[#This Row],[VỐN CP]]+Table841419410132427323943485356711182530[[#This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Table841419410132427323943485356711182530[[#This Row],[VỐN CP]]+Table841419410132427323943485356711182530[[#This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Table841419410132427323943485356711182530[[#This Row],[VỐN CP]]+Table841419410132427323943485356711182530[[#This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Table841419410132427323943485356711182530[[#This Row],[VỐN CP]]+Table841419410132427323943485356711182530[[#This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Table841419410132427323943485356711182530[[#This Row],[VỐN CP]]+Table841419410132427323943485356711182530[[#This Row],[LỢI NHUẬN RÒNG]]</f>
        <v>0</v>
      </c>
      <c r="H233" s="28"/>
    </row>
    <row r="234" spans="1:10" hidden="1" x14ac:dyDescent="0.3">
      <c r="A234" s="23"/>
      <c r="G234" s="21">
        <f>Table841419410132427323943485356711182530[[#This Row],[VỐN CP]]+Table841419410132427323943485356711182530[[#This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Table841419410132427323943485356711182530[[#This Row],[VỐN CP]]+Table841419410132427323943485356711182530[[#This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Table841419410132427323943485356711182530[[#This Row],[VỐN CP]]+Table841419410132427323943485356711182530[[#This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Table841419410132427323943485356711182530[[#This Row],[VỐN CP]]+Table841419410132427323943485356711182530[[#This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Table841419410132427323943485356711182530[[#This Row],[VỐN CP]]+Table841419410132427323943485356711182530[[#This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Table841419410132427323943485356711182530[[#This Row],[VỐN CP]]+Table841419410132427323943485356711182530[[#This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Table841419410132427323943485356711182530[[#This Row],[VỐN CP]]+Table841419410132427323943485356711182530[[#This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Table841419410132427323943485356711182530[[#This Row],[VỐN CP]]+Table841419410132427323943485356711182530[[#This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Table841419410132427323943485356711182530[[#This Row],[VỐN CP]]+Table841419410132427323943485356711182530[[#This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Table841419410132427323943485356711182530[[#This Row],[VỐN CP]]+Table841419410132427323943485356711182530[[#This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Table841419410132427323943485356711182530[[#This Row],[VỐN CP]]+Table841419410132427323943485356711182530[[#This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Table841419410132427323943485356711182530[[#This Row],[VỐN CP]]+Table841419410132427323943485356711182530[[#This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Table841419410132427323943485356711182530[[#This Row],[VỐN CP]]+Table841419410132427323943485356711182530[[#This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Table841419410132427323943485356711182530[[#This Row],[VỐN CP]]+Table841419410132427323943485356711182530[[#This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Table841419410132427323943485356711182530[[#This Row],[VỐN CP]]+Table841419410132427323943485356711182530[[#This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Table841419410132427323943485356711182530[[#This Row],[VỐN CP]]+Table841419410132427323943485356711182530[[#This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Table841419410132427323943485356711182530[[#This Row],[VỐN CP]]+Table841419410132427323943485356711182530[[#This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Table841419410132427323943485356711182530[[#This Row],[VỐN CP]]+Table841419410132427323943485356711182530[[#This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Table841419410132427323943485356711182530[[#This Row],[VỐN CP]]+Table841419410132427323943485356711182530[[#This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Table841419410132427323943485356711182530[[#This Row],[VỐN CP]]+Table841419410132427323943485356711182530[[#This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Table841419410132427323943485356711182530[[#This Row],[VỐN CP]]+Table841419410132427323943485356711182530[[#This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Table841419410132427323943485356711182530[[#This Row],[VỐN CP]]+Table841419410132427323943485356711182530[[#This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Table841419410132427323943485356711182530[[#This Row],[VỐN CP]]+Table841419410132427323943485356711182530[[#This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Table841419410132427323943485356711182530[[#This Row],[VỐN CP]]+Table841419410132427323943485356711182530[[#This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Table841419410132427323943485356711182530[[#This Row],[VỐN CP]]+Table841419410132427323943485356711182530[[#This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Table841419410132427323943485356711182530[[#This Row],[VỐN CP]]+Table841419410132427323943485356711182530[[#This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Table841419410132427323943485356711182530[[#This Row],[VỐN CP]]+Table841419410132427323943485356711182530[[#This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Table841419410132427323943485356711182530[[#This Row],[VỐN CP]]+Table841419410132427323943485356711182530[[#This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Table841419410132427323943485356711182530[[#This Row],[VỐN CP]]+Table841419410132427323943485356711182530[[#This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Table841419410132427323943485356711182530[[#This Row],[VỐN CP]]+Table841419410132427323943485356711182530[[#This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Table841419410132427323943485356711182530[[#This Row],[VỐN CP]]+Table841419410132427323943485356711182530[[#This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Table841419410132427323943485356711182530[[#This Row],[VỐN CP]]+Table841419410132427323943485356711182530[[#This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Table841419410132427323943485356711182530[[#This Row],[VỐN CP]]+Table841419410132427323943485356711182530[[#This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Table841419410132427323943485356711182530[[#This Row],[VỐN CP]]+Table841419410132427323943485356711182530[[#This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Table841419410132427323943485356711182530[[#This Row],[VỐN CP]]+Table841419410132427323943485356711182530[[#This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Table841419410132427323943485356711182530[[#This Row],[VỐN CP]]+Table841419410132427323943485356711182530[[#This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Table841419410132427323943485356711182530[[#This Row],[VỐN CP]]+Table841419410132427323943485356711182530[[#This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Table841419410132427323943485356711182530[[#This Row],[VỐN CP]]+Table841419410132427323943485356711182530[[#This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Table841419410132427323943485356711182530[[#This Row],[VỐN CP]]+Table841419410132427323943485356711182530[[#This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Table841419410132427323943485356711182530[[#This Row],[VỐN CP]]+Table841419410132427323943485356711182530[[#This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Table841419410132427323943485356711182530[[#This Row],[VỐN CP]]+Table841419410132427323943485356711182530[[#This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Table841419410132427323943485356711182530[[#This Row],[VỐN CP]]+Table841419410132427323943485356711182530[[#This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Table841419410132427323943485356711182530[[#This Row],[VỐN CP]]+Table841419410132427323943485356711182530[[#This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Table841419410132427323943485356711182530[[#This Row],[VỐN CP]]+Table841419410132427323943485356711182530[[#This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Table841419410132427323943485356711182530[[#This Row],[VỐN CP]]+Table841419410132427323943485356711182530[[#This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Table841419410132427323943485356711182530[[#This Row],[VỐN CP]]+Table841419410132427323943485356711182530[[#This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Table841419410132427323943485356711182530[[#This Row],[VỐN CP]]+Table841419410132427323943485356711182530[[#This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Table841419410132427323943485356711182530[[#This Row],[VỐN CP]]+Table841419410132427323943485356711182530[[#This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Table841419410132427323943485356711182530[[#This Row],[VỐN CP]]+Table841419410132427323943485356711182530[[#This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Table841419410132427323943485356711182530[[#This Row],[VỐN CP]]+Table841419410132427323943485356711182530[[#This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Table841419410132427323943485356711182530[[#This Row],[VỐN CP]]+Table841419410132427323943485356711182530[[#This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Table841419410132427323943485356711182530[[#This Row],[VỐN CP]]+Table841419410132427323943485356711182530[[#This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Table841419410132427323943485356711182530[[#This Row],[VỐN CP]]+Table841419410132427323943485356711182530[[#This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Table841419410132427323943485356711182530[[#This Row],[VỐN CP]]+Table841419410132427323943485356711182530[[#This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Table841419410132427323943485356711182530[[#This Row],[VỐN CP]]+Table841419410132427323943485356711182530[[#This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Table841419410132427323943485356711182530[[#This Row],[VỐN CP]]+Table841419410132427323943485356711182530[[#This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Table841419410132427323943485356711182530[[#This Row],[VỐN CP]]+Table841419410132427323943485356711182530[[#This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Table841419410132427323943485356711182530[[#This Row],[VỐN CP]]+Table841419410132427323943485356711182530[[#This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Table841419410132427323943485356711182530[[#This Row],[VỐN CP]]+Table841419410132427323943485356711182530[[#This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Table841419410132427323943485356711182530[[#This Row],[VỐN CP]]+Table841419410132427323943485356711182530[[#This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Table841419410132427323943485356711182530[[#This Row],[VỐN CP]]+Table841419410132427323943485356711182530[[#This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Table841419410132427323943485356711182530[[#This Row],[VỐN CP]]+Table841419410132427323943485356711182530[[#This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Table841419410132427323943485356711182530[[#This Row],[VỐN CP]]+Table841419410132427323943485356711182530[[#This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Table841419410132427323943485356711182530[[#This Row],[VỐN CP]]+Table841419410132427323943485356711182530[[#This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Table841419410132427323943485356711182530[[#This Row],[VỐN CP]]+Table841419410132427323943485356711182530[[#This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Table841419410132427323943485356711182530[[#This Row],[VỐN CP]]+Table841419410132427323943485356711182530[[#This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Table841419410132427323943485356711182530[[#This Row],[VỐN CP]]+Table841419410132427323943485356711182530[[#This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Table841419410132427323943485356711182530[[#This Row],[VỐN CP]]+Table841419410132427323943485356711182530[[#This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Table841419410132427323943485356711182530[[#This Row],[VỐN CP]]+Table841419410132427323943485356711182530[[#This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Table841419410132427323943485356711182530[[#This Row],[VỐN CP]]+Table841419410132427323943485356711182530[[#This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Table841419410132427323943485356711182530[[#This Row],[VỐN CP]]+Table841419410132427323943485356711182530[[#This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Table841419410132427323943485356711182530[[#This Row],[VỐN CP]]+Table841419410132427323943485356711182530[[#This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Table841419410132427323943485356711182530[[#This Row],[VỐN CP]]+Table841419410132427323943485356711182530[[#This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Table841419410132427323943485356711182530[[#This Row],[VỐN CP]]+Table841419410132427323943485356711182530[[#This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Table841419410132427323943485356711182530[[#This Row],[VỐN CP]]+Table841419410132427323943485356711182530[[#This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Table841419410132427323943485356711182530[[#This Row],[VỐN CP]]+Table841419410132427323943485356711182530[[#This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Table841419410132427323943485356711182530[[#This Row],[VỐN CP]]+Table841419410132427323943485356711182530[[#This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Table841419410132427323943485356711182530[[#This Row],[VỐN CP]]+Table841419410132427323943485356711182530[[#This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Table841419410132427323943485356711182530[[#This Row],[VỐN CP]]+Table841419410132427323943485356711182530[[#This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Table841419410132427323943485356711182530[[#This Row],[VỐN CP]]+Table841419410132427323943485356711182530[[#This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Table841419410132427323943485356711182530[[#This Row],[VỐN CP]]+Table841419410132427323943485356711182530[[#This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Table841419410132427323943485356711182530[[#This Row],[VỐN CP]]+Table841419410132427323943485356711182530[[#This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Table841419410132427323943485356711182530[[#This Row],[VỐN CP]]+Table841419410132427323943485356711182530[[#This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Table841419410132427323943485356711182530[[#This Row],[VỐN CP]]+Table841419410132427323943485356711182530[[#This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Table841419410132427323943485356711182530[[#This Row],[VỐN CP]]+Table841419410132427323943485356711182530[[#This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Table841419410132427323943485356711182530[[#This Row],[VỐN CP]]+Table841419410132427323943485356711182530[[#This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Table841419410132427323943485356711182530[[#This Row],[VỐN CP]]+Table841419410132427323943485356711182530[[#This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Table841419410132427323943485356711182530[[#This Row],[VỐN CP]]+Table841419410132427323943485356711182530[[#This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Table841419410132427323943485356711182530[[#This Row],[VỐN CP]]+Table841419410132427323943485356711182530[[#This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Table841419410132427323943485356711182530[[#This Row],[VỐN CP]]+Table841419410132427323943485356711182530[[#This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Table841419410132427323943485356711182530[[#This Row],[VỐN CP]]+Table841419410132427323943485356711182530[[#This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Table841419410132427323943485356711182530[[#This Row],[VỐN CP]]+Table841419410132427323943485356711182530[[#This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Table841419410132427323943485356711182530[[#This Row],[VỐN CP]]+Table841419410132427323943485356711182530[[#This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Table841419410132427323943485356711182530[[#This Row],[VỐN CP]]+Table841419410132427323943485356711182530[[#This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Table841419410132427323943485356711182530[[#This Row],[VỐN CP]]+Table841419410132427323943485356711182530[[#This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Table841419410132427323943485356711182530[[#This Row],[VỐN CP]]+Table841419410132427323943485356711182530[[#This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Table841419410132427323943485356711182530[[#This Row],[VỐN CP]]+Table841419410132427323943485356711182530[[#This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Table841419410132427323943485356711182530[[#This Row],[VỐN CP]]+Table841419410132427323943485356711182530[[#This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Table841419410132427323943485356711182530[[#This Row],[VỐN CP]]+Table841419410132427323943485356711182530[[#This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Table841419410132427323943485356711182530[[#This Row],[VỐN CP]]+Table841419410132427323943485356711182530[[#This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Table841419410132427323943485356711182530[[#This Row],[VỐN CP]]+Table841419410132427323943485356711182530[[#This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Table841419410132427323943485356711182530[[#This Row],[VỐN CP]]+Table841419410132427323943485356711182530[[#This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Table841419410132427323943485356711182530[[#This Row],[VỐN CP]]+Table841419410132427323943485356711182530[[#This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Table841419410132427323943485356711182530[[#This Row],[VỐN CP]]+Table841419410132427323943485356711182530[[#This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Table841419410132427323943485356711182530[[#This Row],[VỐN CP]]+Table841419410132427323943485356711182530[[#This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Table841419410132427323943485356711182530[[#This Row],[VỐN CP]]+Table841419410132427323943485356711182530[[#This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Table841419410132427323943485356711182530[[#This Row],[VỐN CP]]+Table841419410132427323943485356711182530[[#This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Table841419410132427323943485356711182530[[#This Row],[VỐN CP]]+Table841419410132427323943485356711182530[[#This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Table841419410132427323943485356711182530[[#This Row],[VỐN CP]]+Table841419410132427323943485356711182530[[#This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Table841419410132427323943485356711182530[[#This Row],[VỐN CP]]+Table841419410132427323943485356711182530[[#This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Table841419410132427323943485356711182530[[#This Row],[VỐN CP]]+Table841419410132427323943485356711182530[[#This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Table841419410132427323943485356711182530[[#This Row],[VỐN CP]]+Table841419410132427323943485356711182530[[#This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Table841419410132427323943485356711182530[[#This Row],[VỐN CP]]+Table841419410132427323943485356711182530[[#This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Table841419410132427323943485356711182530[[#This Row],[VỐN CP]]+Table841419410132427323943485356711182530[[#This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Table841419410132427323943485356711182530[[#This Row],[VỐN CP]]+Table841419410132427323943485356711182530[[#This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Table841419410132427323943485356711182530[[#This Row],[VỐN CP]]+Table841419410132427323943485356711182530[[#This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Table841419410132427323943485356711182530[[#This Row],[VỐN CP]]+Table841419410132427323943485356711182530[[#This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Table841419410132427323943485356711182530[[#This Row],[VỐN CP]]+Table841419410132427323943485356711182530[[#This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Table841419410132427323943485356711182530[[#This Row],[VỐN CP]]+Table841419410132427323943485356711182530[[#This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Table841419410132427323943485356711182530[[#This Row],[VỐN CP]]+Table841419410132427323943485356711182530[[#This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Table841419410132427323943485356711182530[[#This Row],[VỐN CP]]+Table841419410132427323943485356711182530[[#This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Table841419410132427323943485356711182530[[#This Row],[VỐN CP]]+Table841419410132427323943485356711182530[[#This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Table841419410132427323943485356711182530[[#This Row],[VỐN CP]]+Table841419410132427323943485356711182530[[#This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Table841419410132427323943485356711182530[[#This Row],[VỐN CP]]+Table841419410132427323943485356711182530[[#This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Table841419410132427323943485356711182530[[#This Row],[VỐN CP]]+Table841419410132427323943485356711182530[[#This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Table841419410132427323943485356711182530[[#This Row],[VỐN CP]]+Table841419410132427323943485356711182530[[#This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Table841419410132427323943485356711182530[[#This Row],[VỐN CP]]+Table841419410132427323943485356711182530[[#This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Table841419410132427323943485356711182530[[#This Row],[VỐN CP]]+Table841419410132427323943485356711182530[[#This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Table841419410132427323943485356711182530[[#This Row],[VỐN CP]]+Table841419410132427323943485356711182530[[#This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Table841419410132427323943485356711182530[[#This Row],[VỐN CP]]+Table841419410132427323943485356711182530[[#This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Table841419410132427323943485356711182530[[#This Row],[VỐN CP]]+Table841419410132427323943485356711182530[[#This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Table841419410132427323943485356711182530[[#This Row],[VỐN CP]]+Table841419410132427323943485356711182530[[#This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Table841419410132427323943485356711182530[[#This Row],[VỐN CP]]+Table841419410132427323943485356711182530[[#This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Table841419410132427323943485356711182530[[#This Row],[VỐN CP]]+Table841419410132427323943485356711182530[[#This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Table841419410132427323943485356711182530[[#This Row],[VỐN CP]]+Table841419410132427323943485356711182530[[#This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Table841419410132427323943485356711182530[[#This Row],[VỐN CP]]+Table841419410132427323943485356711182530[[#This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Table841419410132427323943485356711182530[[#This Row],[VỐN CP]]+Table841419410132427323943485356711182530[[#This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Table841419410132427323943485356711182530[[#This Row],[VỐN CP]]+Table841419410132427323943485356711182530[[#This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Table841419410132427323943485356711182530[[#This Row],[VỐN CP]]+Table841419410132427323943485356711182530[[#This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Table841419410132427323943485356711182530[[#This Row],[VỐN CP]]+Table841419410132427323943485356711182530[[#This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Table841419410132427323943485356711182530[[#This Row],[VỐN CP]]+Table841419410132427323943485356711182530[[#This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Table841419410132427323943485356711182530[[#This Row],[VỐN CP]]+Table841419410132427323943485356711182530[[#This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Table841419410132427323943485356711182530[[#This Row],[VỐN CP]]+Table841419410132427323943485356711182530[[#This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Table841419410132427323943485356711182530[[#This Row],[VỐN CP]]+Table841419410132427323943485356711182530[[#This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Table841419410132427323943485356711182530[[#This Row],[VỐN CP]]+Table841419410132427323943485356711182530[[#This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Table841419410132427323943485356711182530[[#This Row],[VỐN CP]]+Table841419410132427323943485356711182530[[#This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Table841419410132427323943485356711182530[[#This Row],[VỐN CP]]+Table841419410132427323943485356711182530[[#This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Table841419410132427323943485356711182530[[#This Row],[VỐN CP]]+Table841419410132427323943485356711182530[[#This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Table841419410132427323943485356711182530[[#This Row],[VỐN CP]]+Table841419410132427323943485356711182530[[#This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Table841419410132427323943485356711182530[[#This Row],[VỐN CP]]+Table841419410132427323943485356711182530[[#This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Table841419410132427323943485356711182530[[#This Row],[VỐN CP]]+Table841419410132427323943485356711182530[[#This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Table841419410132427323943485356711182530[[#This Row],[VỐN CP]]+Table841419410132427323943485356711182530[[#This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Table841419410132427323943485356711182530[[#This Row],[VỐN CP]]+Table841419410132427323943485356711182530[[#This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Table841419410132427323943485356711182530[[#This Row],[VỐN CP]]+Table841419410132427323943485356711182530[[#This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Table841419410132427323943485356711182530[[#This Row],[VỐN CP]]+Table841419410132427323943485356711182530[[#This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Table841419410132427323943485356711182530[[#This Row],[VỐN CP]]+Table841419410132427323943485356711182530[[#This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Table841419410132427323943485356711182530[[#This Row],[VỐN CP]]+Table841419410132427323943485356711182530[[#This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Table841419410132427323943485356711182530[[#This Row],[VỐN CP]]+Table841419410132427323943485356711182530[[#This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Table841419410132427323943485356711182530[[#This Row],[VỐN CP]]+Table841419410132427323943485356711182530[[#This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Table841419410132427323943485356711182530[[#This Row],[VỐN CP]]+Table841419410132427323943485356711182530[[#This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Table841419410132427323943485356711182530[[#This Row],[VỐN CP]]+Table841419410132427323943485356711182530[[#This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Table841419410132427323943485356711182530[[#This Row],[VỐN CP]]+Table841419410132427323943485356711182530[[#This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Table841419410132427323943485356711182530[[#This Row],[VỐN CP]]+Table841419410132427323943485356711182530[[#This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Table841419410132427323943485356711182530[[#This Row],[VỐN CP]]+Table841419410132427323943485356711182530[[#This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Table841419410132427323943485356711182530[[#This Row],[VỐN CP]]+Table841419410132427323943485356711182530[[#This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Table841419410132427323943485356711182530[[#This Row],[VỐN CP]]+Table841419410132427323943485356711182530[[#This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Table841419410132427323943485356711182530[[#This Row],[VỐN CP]]+Table841419410132427323943485356711182530[[#This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Table841419410132427323943485356711182530[[#This Row],[VỐN CP]]+Table841419410132427323943485356711182530[[#This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Table841419410132427323943485356711182530[[#This Row],[VỐN CP]]+Table841419410132427323943485356711182530[[#This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Table841419410132427323943485356711182530[[#This Row],[VỐN CP]]+Table841419410132427323943485356711182530[[#This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Table841419410132427323943485356711182530[[#This Row],[VỐN CP]]+Table841419410132427323943485356711182530[[#This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Table841419410132427323943485356711182530[[#This Row],[VỐN CP]]+Table841419410132427323943485356711182530[[#This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Table841419410132427323943485356711182530[[#This Row],[VỐN CP]]+Table841419410132427323943485356711182530[[#This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Table841419410132427323943485356711182530[[#This Row],[VỐN CP]]+Table841419410132427323943485356711182530[[#This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Table841419410132427323943485356711182530[[#This Row],[VỐN CP]]+Table841419410132427323943485356711182530[[#This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Table841419410132427323943485356711182530[[#This Row],[VỐN CP]]+Table841419410132427323943485356711182530[[#This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Table841419410132427323943485356711182530[[#This Row],[VỐN CP]]+Table841419410132427323943485356711182530[[#This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Table841419410132427323943485356711182530[[#This Row],[VỐN CP]]+Table841419410132427323943485356711182530[[#This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Table841419410132427323943485356711182530[[#This Row],[VỐN CP]]+Table841419410132427323943485356711182530[[#This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Table841419410132427323943485356711182530[[#This Row],[VỐN CP]]+Table841419410132427323943485356711182530[[#This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Table841419410132427323943485356711182530[[#This Row],[VỐN CP]]+Table841419410132427323943485356711182530[[#This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Table841419410132427323943485356711182530[[#This Row],[VỐN CP]]+Table841419410132427323943485356711182530[[#This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Table841419410132427323943485356711182530[[#This Row],[VỐN CP]]+Table841419410132427323943485356711182530[[#This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Table841419410132427323943485356711182530[[#This Row],[VỐN CP]]+Table841419410132427323943485356711182530[[#This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Table841419410132427323943485356711182530[[#This Row],[VỐN CP]]+Table841419410132427323943485356711182530[[#This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Table841419410132427323943485356711182530[[#This Row],[VỐN CP]]+Table841419410132427323943485356711182530[[#This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Table841419410132427323943485356711182530[[#This Row],[VỐN CP]]+Table841419410132427323943485356711182530[[#This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SUBTOTAL(109,Table841419410132427323943485356711182530[VỐN CP])</f>
        <v>22575000</v>
      </c>
      <c r="E421" s="21">
        <f>SUBTOTAL(109,Table841419410132427323943485356711182530[LỢI NHUẬN GỘP])</f>
        <v>8796598.1999999993</v>
      </c>
      <c r="F421" s="21">
        <f>SUBTOTAL(109,Table841419410132427323943485356711182530[LỢI NHUẬN RÒNG])</f>
        <v>5800823.2969444338</v>
      </c>
      <c r="G421" s="21">
        <f>SUBTOTAL(109,Table841419410132427323943485356711182530[TỔNG NHẬN])</f>
        <v>28375823.296944432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454D-006E-45C4-B138-5C28F9210AF3}">
  <sheetPr codeName="Sheet19"/>
  <dimension ref="A1:J37"/>
  <sheetViews>
    <sheetView topLeftCell="A40" workbookViewId="0">
      <selection activeCell="B17" sqref="B17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155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Table7312187916233035384247525910172433[[#This Row],[VỐN CP]]+Table9515205111425283340444954578152229[[#This Row],[VỐN CP]]+Table951520511142528334044495457812192631[[#This Row],[VỐN CP]]</f>
        <v>82384166.666666672</v>
      </c>
      <c r="C3" s="14">
        <f>Table7312187916233035384247525910172433[[#This Row],[LỢI NHUẬN GỘP]]+Table9515205111425283340444954578152229[[#This Row],[LỢI NHUẬN GỘP]]+Table951520511142528334044495457812192631[[#This Row],[LỢI NHUẬN GỘP]]</f>
        <v>28394541.766666666</v>
      </c>
      <c r="D3" s="14">
        <f>Table7312187916233035384247525910172433[[#This Row],[LỢI NHUẬN RÒNG]]+Table9515205111425283340444954578152229[[#This Row],[LỢI NHUẬN RÒNG]]+Table951520511142528334044495457812192631[[#This Row],[LỢI NHUẬN RÒNG]]</f>
        <v>16514669.186497457</v>
      </c>
      <c r="E3" s="14">
        <f>Table7312187916233035384247525910172433[[#This Row],[TỔNG NHẬN]]+Table9515205111425283340444954578152229[[#This Row],[TỔNG NHẬN]]+Table951520511142528334044495457812192631[[#This Row],[TỔNG NHẬN]]</f>
        <v>98898835.853164107</v>
      </c>
      <c r="F3" s="49">
        <f t="shared" ref="F3:F27" si="0">D3/B3</f>
        <v>0.2004592612233029</v>
      </c>
    </row>
    <row r="4" spans="1:10" x14ac:dyDescent="0.3">
      <c r="A4" s="13" t="s">
        <v>87</v>
      </c>
      <c r="B4" s="14">
        <f>Table7312187916233035384247525910172433[[#This Row],[VỐN CP]]</f>
        <v>81893333.333333328</v>
      </c>
      <c r="C4" s="14">
        <f>Table7312187916233035384247525910172433[[#This Row],[LỢI NHUẬN GỘP]]</f>
        <v>28608678.299999997</v>
      </c>
      <c r="D4" s="14">
        <f>Table7312187916233035384247525910172433[[#This Row],[LỢI NHUẬN RÒNG]]</f>
        <v>14773271.207349019</v>
      </c>
      <c r="E4" s="14">
        <f>Table7312187916233035384247525910172433[[#This Row],[TỔNG NHẬN]]</f>
        <v>96666604.540682346</v>
      </c>
      <c r="F4" s="49">
        <f t="shared" si="0"/>
        <v>0.18039650611383531</v>
      </c>
      <c r="I4" s="50"/>
    </row>
    <row r="5" spans="1:10" x14ac:dyDescent="0.3">
      <c r="A5" s="13" t="s">
        <v>9</v>
      </c>
      <c r="B5" s="14">
        <f>Table7312187916233035384247525910172433[[#This Row],[VỐN CP]]+'Tháng 5 nhà S  '!L4+'Tháng 5 nhà G  '!L4</f>
        <v>840804166.66666663</v>
      </c>
      <c r="C5" s="14">
        <f>Table7312187916233035384247525910172433[[#This Row],[LỢI NHUẬN GỘP]]+'Tháng 5 nhà S  '!M4+'Tháng 5 nhà G  '!M4</f>
        <v>261035592.11416665</v>
      </c>
      <c r="D5" s="14">
        <f>Table7312187916233035384247525910172433[[#This Row],[LỢI NHUẬN RÒNG]]+'Tháng 5 nhà S  '!N4+'Tháng 5 nhà G  '!N4</f>
        <v>123830842.48404954</v>
      </c>
      <c r="E5" s="14">
        <f>Table7312187916233035384247525910172433[[#This Row],[TỔNG NHẬN]]+'Tháng 5 nhà S  '!O4+'Tháng 5 nhà G  '!O4</f>
        <v>964635009.15071607</v>
      </c>
      <c r="F5" s="49">
        <f t="shared" si="0"/>
        <v>0.14727667558424667</v>
      </c>
      <c r="I5" s="50"/>
    </row>
    <row r="6" spans="1:10" x14ac:dyDescent="0.3">
      <c r="A6" s="13" t="s">
        <v>88</v>
      </c>
      <c r="B6" s="14">
        <f>Table7312187916233035384247525910172433[[#This Row],[VỐN CP]]+'Tháng 5 nhà S  '!L5+'Tháng 5 nhà G  '!L5</f>
        <v>73538333.333333328</v>
      </c>
      <c r="C6" s="14">
        <f>Table7312187916233035384247525910172433[[#This Row],[LỢI NHUẬN GỘP]]+'Tháng 5 nhà S  '!M5+'Tháng 5 nhà G  '!M5</f>
        <v>27366639.353333332</v>
      </c>
      <c r="D6" s="14">
        <f>Table7312187916233035384247525910172433[[#This Row],[LỢI NHUẬN RÒNG]]+'Tháng 5 nhà S  '!N5+'Tháng 5 nhà G  '!N5</f>
        <v>14850057.359168824</v>
      </c>
      <c r="E6" s="14">
        <f>Table7312187916233035384247525910172433[[#This Row],[TỔNG NHẬN]]+'Tháng 5 nhà S  '!O5+'Tháng 5 nhà G  '!O5</f>
        <v>88388390.692502141</v>
      </c>
      <c r="F6" s="49">
        <f t="shared" si="0"/>
        <v>0.20193627848290677</v>
      </c>
    </row>
    <row r="7" spans="1:10" x14ac:dyDescent="0.3">
      <c r="A7" s="13" t="s">
        <v>89</v>
      </c>
      <c r="B7" s="14">
        <f>Table7312187916233035384247525910172433[[#This Row],[VỐN CP]]+'Tháng 5 nhà S  '!L6+'Tháng 5 nhà G  '!L6</f>
        <v>34563333.333333336</v>
      </c>
      <c r="C7" s="14">
        <f>Table7312187916233035384247525910172433[[#This Row],[LỢI NHUẬN GỘP]]+'Tháng 5 nhà S  '!M6+'Tháng 5 nhà G  '!M6</f>
        <v>15076494.033333331</v>
      </c>
      <c r="D7" s="14">
        <f>Table7312187916233035384247525910172433[[#This Row],[LỢI NHUẬN RÒNG]]+'Tháng 5 nhà S  '!N6+'Tháng 5 nhà G  '!N6</f>
        <v>8957402.6332335807</v>
      </c>
      <c r="E7" s="14">
        <f>Table7312187916233035384247525910172433[[#This Row],[TỔNG NHẬN]]+'Tháng 5 nhà S  '!O6+'Tháng 5 nhà G  '!O6</f>
        <v>43520735.96656692</v>
      </c>
      <c r="F7" s="49">
        <f t="shared" si="0"/>
        <v>0.2591591079149459</v>
      </c>
      <c r="I7" s="50"/>
    </row>
    <row r="8" spans="1:10" x14ac:dyDescent="0.3">
      <c r="A8" s="13" t="s">
        <v>17</v>
      </c>
      <c r="B8" s="14">
        <f>'Tháng 5 nhà S  '!L7</f>
        <v>6795000</v>
      </c>
      <c r="C8" s="14">
        <f>'Tháng 5 nhà S  '!M7</f>
        <v>3413446.75</v>
      </c>
      <c r="D8" s="14">
        <f>'Tháng 5 nhà S  '!N7</f>
        <v>2316832.0806934461</v>
      </c>
      <c r="E8" s="14">
        <f>'Tháng 5 nhà S  '!O7</f>
        <v>9111832.0806934461</v>
      </c>
      <c r="F8" s="49">
        <f t="shared" si="0"/>
        <v>0.34096130694531951</v>
      </c>
    </row>
    <row r="9" spans="1:10" x14ac:dyDescent="0.3">
      <c r="A9" s="13" t="s">
        <v>19</v>
      </c>
      <c r="B9" s="14">
        <f>'Tháng 5 nhà T '!L8+'Tháng 5 nhà S  '!L8+'Tháng 5 nhà G  '!L8</f>
        <v>883046666.66666675</v>
      </c>
      <c r="C9" s="14">
        <f>'Tháng 5 nhà T '!M8+'Tháng 5 nhà S  '!M8+'Tháng 5 nhà G  '!M8</f>
        <v>281854219.10833335</v>
      </c>
      <c r="D9" s="14">
        <f>'Tháng 5 nhà T '!N8+'Tháng 5 nhà S  '!N8+'Tháng 5 nhà G  '!N8</f>
        <v>135024640.0307017</v>
      </c>
      <c r="E9" s="14">
        <f>'Tháng 5 nhà T '!O8+'Tháng 5 nhà S  '!O8+'Tháng 5 nhà G  '!O8</f>
        <v>982553650.51814091</v>
      </c>
      <c r="F9" s="49">
        <f t="shared" si="0"/>
        <v>0.15290770593177599</v>
      </c>
      <c r="I9" s="50"/>
    </row>
    <row r="10" spans="1:10" x14ac:dyDescent="0.3">
      <c r="A10" s="16" t="s">
        <v>21</v>
      </c>
      <c r="B10" s="14">
        <f>'Tháng 5 nhà T '!L9+'Tháng 5 nhà S  '!L9+'Tháng 5 nhà G  '!L9</f>
        <v>461686666.66666669</v>
      </c>
      <c r="C10" s="14">
        <f>'Tháng 5 nhà T '!M9+'Tháng 5 nhà S  '!M9+'Tháng 5 nhà G  '!M9</f>
        <v>158605896.07916668</v>
      </c>
      <c r="D10" s="14">
        <f>'Tháng 5 nhà T '!N9+'Tháng 5 nhà S  '!N9+'Tháng 5 nhà G  '!N9</f>
        <v>86964559.608933434</v>
      </c>
      <c r="E10" s="14">
        <f>'Tháng 5 nhà T '!O9+'Tháng 5 nhà S  '!O9+'Tháng 5 nhà G  '!O9</f>
        <v>548651226.27559996</v>
      </c>
      <c r="F10" s="49">
        <f t="shared" si="0"/>
        <v>0.18836272712142454</v>
      </c>
      <c r="J10" s="50"/>
    </row>
    <row r="11" spans="1:10" x14ac:dyDescent="0.3">
      <c r="A11" s="13" t="s">
        <v>23</v>
      </c>
      <c r="B11" s="14">
        <f>'Tháng 5 nhà T '!L10+'Tháng 5 nhà S  '!L10</f>
        <v>51435000</v>
      </c>
      <c r="C11" s="14">
        <f>'Tháng 5 nhà T '!M10+'Tháng 5 nhà S  '!M10</f>
        <v>13690313.466666667</v>
      </c>
      <c r="D11" s="14">
        <f>'Tháng 5 nhà T '!N10+'Tháng 5 nhà S  '!N10</f>
        <v>4107299.7929594042</v>
      </c>
      <c r="E11" s="14">
        <f>'Tháng 5 nhà T '!O10+'Tháng 5 nhà S  '!O10</f>
        <v>55542299.7929594</v>
      </c>
      <c r="F11" s="49">
        <f t="shared" si="0"/>
        <v>7.9854180868268773E-2</v>
      </c>
    </row>
    <row r="12" spans="1:10" x14ac:dyDescent="0.3">
      <c r="A12" s="13" t="s">
        <v>25</v>
      </c>
      <c r="B12" s="14">
        <f>'Tháng 5 nhà T '!L16+'Tháng 5 nhà S  '!L11+'Tháng 5 nhà G  '!L11</f>
        <v>130593333.33333333</v>
      </c>
      <c r="C12" s="14">
        <f>'Tháng 5 nhà T '!M16+'Tháng 5 nhà S  '!M11+'Tháng 5 nhà G  '!M11</f>
        <v>44096655.770000003</v>
      </c>
      <c r="D12" s="14">
        <f>'Tháng 5 nhà T '!N16+'Tháng 5 nhà S  '!N11+'Tháng 5 nhà G  '!N11</f>
        <v>26662286.390078288</v>
      </c>
      <c r="E12" s="14">
        <f>'Tháng 5 nhà T '!O16+'Tháng 5 nhà S  '!O11+'Tháng 5 nhà G  '!O11</f>
        <v>157255619.72341162</v>
      </c>
      <c r="F12" s="49">
        <f t="shared" si="0"/>
        <v>0.20416269123037128</v>
      </c>
    </row>
    <row r="13" spans="1:10" x14ac:dyDescent="0.3">
      <c r="A13" s="13" t="s">
        <v>27</v>
      </c>
      <c r="B13" s="14">
        <f>'Tháng 5 nhà T '!L11+'Tháng 5 nhà S  '!L12+'Tháng 5 nhà G  '!L12</f>
        <v>416498333.33333331</v>
      </c>
      <c r="C13" s="14">
        <f>'Tháng 5 nhà T '!M11+'Tháng 5 nhà S  '!M12+'Tháng 5 nhà G  '!M12</f>
        <v>154586174.10833329</v>
      </c>
      <c r="D13" s="14">
        <f>'Tháng 5 nhà T '!N11+'Tháng 5 nhà S  '!N12+'Tháng 5 nhà G  '!N12</f>
        <v>83777624.682370484</v>
      </c>
      <c r="E13" s="14">
        <f>'Tháng 5 nhà T '!O11+'Tháng 5 nhà S  '!O12+'Tháng 5 nhà G  '!O12</f>
        <v>500275958.01570374</v>
      </c>
      <c r="F13" s="49">
        <f t="shared" si="0"/>
        <v>0.20114756285308183</v>
      </c>
    </row>
    <row r="14" spans="1:10" x14ac:dyDescent="0.3">
      <c r="A14" s="13" t="s">
        <v>29</v>
      </c>
      <c r="B14" s="14">
        <f>'Tháng 5 nhà S  '!L13+'Tháng 5 nhà G  '!L13</f>
        <v>62973333.333333328</v>
      </c>
      <c r="C14" s="14">
        <f>'Tháng 5 nhà S  '!M13+'Tháng 5 nhà G  '!M13</f>
        <v>24205085.716666669</v>
      </c>
      <c r="D14" s="14">
        <f>'Tháng 5 nhà S  '!N13+'Tháng 5 nhà G  '!N13</f>
        <v>14320700.41244277</v>
      </c>
      <c r="E14" s="14">
        <f>'Tháng 5 nhà S  '!O13+'Tháng 5 nhà G  '!O13</f>
        <v>77294033.745776117</v>
      </c>
      <c r="F14" s="49">
        <f t="shared" si="0"/>
        <v>0.22740896272140754</v>
      </c>
    </row>
    <row r="15" spans="1:10" x14ac:dyDescent="0.3">
      <c r="A15" s="13" t="s">
        <v>31</v>
      </c>
      <c r="B15" s="14">
        <f>'Tháng 5 nhà T '!L12+'Tháng 5 nhà S  '!L14+'Tháng 5 nhà G  '!L14</f>
        <v>257138333.33333331</v>
      </c>
      <c r="C15" s="14">
        <f>'Tháng 5 nhà T '!M12+'Tháng 5 nhà S  '!M14+'Tháng 5 nhà G  '!M14</f>
        <v>88786080.133333325</v>
      </c>
      <c r="D15" s="14">
        <f>'Tháng 5 nhà T '!N12+'Tháng 5 nhà S  '!N14+'Tháng 5 nhà G  '!N14</f>
        <v>46926361.709398456</v>
      </c>
      <c r="E15" s="14">
        <f>'Tháng 5 nhà T '!O12+'Tháng 5 nhà S  '!O14+'Tháng 5 nhà G  '!O14</f>
        <v>304064695.04273182</v>
      </c>
      <c r="F15" s="49">
        <f t="shared" si="0"/>
        <v>0.18249461720111143</v>
      </c>
    </row>
    <row r="16" spans="1:10" x14ac:dyDescent="0.3">
      <c r="A16" s="13" t="s">
        <v>91</v>
      </c>
      <c r="B16" s="14">
        <f>'Tháng 5 nhà T '!L13</f>
        <v>8400000</v>
      </c>
      <c r="C16" s="14">
        <f>'Tháng 5 nhà T '!M13</f>
        <v>5123736.5</v>
      </c>
      <c r="D16" s="14">
        <f>'Tháng 5 nhà T '!N13</f>
        <v>3874903.9015775877</v>
      </c>
      <c r="E16" s="14">
        <f>'Tháng 5 nhà T '!O13</f>
        <v>12274903.901577588</v>
      </c>
      <c r="F16" s="49">
        <f t="shared" si="0"/>
        <v>0.46129808352114138</v>
      </c>
    </row>
    <row r="17" spans="1:6" x14ac:dyDescent="0.3">
      <c r="A17" s="13" t="s">
        <v>33</v>
      </c>
      <c r="B17" s="14">
        <f>'Tháng 5 nhà T '!L14+'Tháng 5 nhà S  '!L15+'Tháng 5 nhà G  '!L15</f>
        <v>101743333.33333334</v>
      </c>
      <c r="C17" s="14">
        <f>'Tháng 5 nhà T '!M14+'Tháng 5 nhà S  '!M15+'Tháng 5 nhà G  '!M15</f>
        <v>38064963.849999994</v>
      </c>
      <c r="D17" s="14">
        <f>'Tháng 5 nhà T '!N14+'Tháng 5 nhà S  '!N15+'Tháng 5 nhà G  '!N15</f>
        <v>22970431.868168846</v>
      </c>
      <c r="E17" s="14">
        <f>'Tháng 5 nhà T '!O14+'Tháng 5 nhà S  '!O15+'Tháng 5 nhà G  '!O15</f>
        <v>124713765.20150214</v>
      </c>
      <c r="F17" s="49">
        <f t="shared" si="0"/>
        <v>0.22576842251582915</v>
      </c>
    </row>
    <row r="18" spans="1:6" x14ac:dyDescent="0.3">
      <c r="A18" s="13" t="s">
        <v>35</v>
      </c>
      <c r="B18" s="14">
        <f>'Tháng 5 nhà S  '!L16</f>
        <v>51421666.666666672</v>
      </c>
      <c r="C18" s="14">
        <f>'Tháng 5 nhà S  '!M16</f>
        <v>18219083.750000004</v>
      </c>
      <c r="D18" s="14">
        <f>'Tháng 5 nhà S  '!N16</f>
        <v>10769079.991658032</v>
      </c>
      <c r="E18" s="14">
        <f>'Tháng 5 nhà S  '!O16</f>
        <v>62190746.658324711</v>
      </c>
      <c r="F18" s="49">
        <f t="shared" si="0"/>
        <v>0.20942689511537999</v>
      </c>
    </row>
    <row r="19" spans="1:6" x14ac:dyDescent="0.3">
      <c r="A19" s="16" t="s">
        <v>37</v>
      </c>
      <c r="B19" s="14">
        <f>'Tháng 5 nhà T '!L15+'Tháng 5 nhà S  '!L17+'Tháng 5 nhà G  '!L17</f>
        <v>254908333.33333331</v>
      </c>
      <c r="C19" s="14">
        <f>'Tháng 5 nhà T '!M15+'Tháng 5 nhà S  '!M17+'Tháng 5 nhà G  '!M17</f>
        <v>94591352.216666669</v>
      </c>
      <c r="D19" s="14">
        <f>'Tháng 5 nhà T '!N15+'Tháng 5 nhà S  '!N17+'Tháng 5 nhà G  '!N17</f>
        <v>55432829.236741677</v>
      </c>
      <c r="E19" s="14">
        <f>'Tháng 5 nhà T '!O15+'Tháng 5 nhà S  '!O17+'Tháng 5 nhà G  '!O17</f>
        <v>310341162.57007504</v>
      </c>
      <c r="F19" s="51">
        <f t="shared" si="0"/>
        <v>0.21746181661410971</v>
      </c>
    </row>
    <row r="20" spans="1:6" x14ac:dyDescent="0.3">
      <c r="A20" s="13" t="s">
        <v>39</v>
      </c>
      <c r="B20" s="14">
        <f>'Tháng 5 nhà S  '!L18</f>
        <v>1583333.3333333335</v>
      </c>
      <c r="C20" s="14">
        <f>'Tháng 5 nhà S  '!M18</f>
        <v>598542.1666666664</v>
      </c>
      <c r="D20" s="14">
        <f>'Tháng 5 nhà S  '!N18</f>
        <v>308335.76211788878</v>
      </c>
      <c r="E20" s="14">
        <f>'Tháng 5 nhà S  '!O18</f>
        <v>1891669.0954512223</v>
      </c>
      <c r="F20" s="51">
        <f t="shared" si="0"/>
        <v>0.19473837607445604</v>
      </c>
    </row>
    <row r="21" spans="1:6" x14ac:dyDescent="0.3">
      <c r="A21" s="13" t="s">
        <v>41</v>
      </c>
      <c r="B21" s="14">
        <f>'Tháng 5 nhà S  '!L19</f>
        <v>2533333.3333333335</v>
      </c>
      <c r="C21" s="14">
        <f>'Tháng 5 nhà S  '!M19</f>
        <v>656351.1666666664</v>
      </c>
      <c r="D21" s="14">
        <f>'Tháng 5 nhà S  '!N19</f>
        <v>199627.95967891216</v>
      </c>
      <c r="E21" s="14">
        <f>'Tháng 5 nhà S  '!O19</f>
        <v>2732961.2930122456</v>
      </c>
      <c r="F21" s="51">
        <f t="shared" si="0"/>
        <v>7.8800510399570589E-2</v>
      </c>
    </row>
    <row r="22" spans="1:6" x14ac:dyDescent="0.3">
      <c r="A22" s="13" t="s">
        <v>42</v>
      </c>
      <c r="B22" s="14">
        <f>'Tháng 5 nhà S  '!L20</f>
        <v>2083333.3333333335</v>
      </c>
      <c r="C22" s="14">
        <f>'Tháng 5 nhà S  '!M20</f>
        <v>1010448.4666666663</v>
      </c>
      <c r="D22" s="14">
        <f>'Tháng 5 nhà S  '!N20</f>
        <v>570497.33018723654</v>
      </c>
      <c r="E22" s="14">
        <f>'Tháng 5 nhà S  '!O20</f>
        <v>2653830.6635205699</v>
      </c>
      <c r="F22" s="51">
        <f t="shared" si="0"/>
        <v>0.27383871848987351</v>
      </c>
    </row>
    <row r="23" spans="1:6" x14ac:dyDescent="0.3">
      <c r="A23" s="13" t="s">
        <v>43</v>
      </c>
      <c r="B23" s="14">
        <f>'Tháng 5 nhà S  '!L21+'Tháng 5 nhà G  '!L21</f>
        <v>141693333.33333334</v>
      </c>
      <c r="C23" s="14">
        <f>'Tháng 5 nhà S  '!M21+'Tháng 5 nhà G  '!M21</f>
        <v>50435039.733333334</v>
      </c>
      <c r="D23" s="14">
        <f>'Tháng 5 nhà S  '!N21+'Tháng 5 nhà G  '!N21</f>
        <v>31973743.77799252</v>
      </c>
      <c r="E23" s="14">
        <f>'Tháng 5 nhà S  '!O21+'Tháng 5 nhà G  '!O21</f>
        <v>173667077.11132586</v>
      </c>
      <c r="F23" s="51">
        <f t="shared" si="0"/>
        <v>0.22565453875500507</v>
      </c>
    </row>
    <row r="24" spans="1:6" x14ac:dyDescent="0.3">
      <c r="A24" s="13" t="s">
        <v>44</v>
      </c>
      <c r="B24" s="14">
        <f>'Tháng 5 nhà S  '!L22</f>
        <v>4700000</v>
      </c>
      <c r="C24" s="14">
        <f>'Tháng 5 nhà S  '!M22</f>
        <v>1865353.1999999997</v>
      </c>
      <c r="D24" s="14">
        <f>'Tháng 5 nhà S  '!N22</f>
        <v>909443.29335553106</v>
      </c>
      <c r="E24" s="14">
        <f>'Tháng 5 nhà S  '!O22</f>
        <v>5609443.2933555311</v>
      </c>
      <c r="F24" s="51">
        <f t="shared" si="0"/>
        <v>0.19349857305436832</v>
      </c>
    </row>
    <row r="25" spans="1:6" x14ac:dyDescent="0.3">
      <c r="A25" s="13" t="s">
        <v>45</v>
      </c>
      <c r="B25" s="14">
        <f>'Tháng 5 nhà S  '!L23</f>
        <v>13050000</v>
      </c>
      <c r="C25" s="14">
        <f>'Tháng 5 nhà S  '!M23</f>
        <v>4492065.7</v>
      </c>
      <c r="D25" s="14">
        <f>'Tháng 5 nhà S  '!N23</f>
        <v>2033362.0290459509</v>
      </c>
      <c r="E25" s="14">
        <f>'Tháng 5 nhà S  '!O23</f>
        <v>15083362.029045949</v>
      </c>
      <c r="F25" s="49">
        <f t="shared" si="0"/>
        <v>0.15581318230237171</v>
      </c>
    </row>
    <row r="26" spans="1:6" s="52" customFormat="1" x14ac:dyDescent="0.3">
      <c r="A26" s="13" t="s">
        <v>46</v>
      </c>
      <c r="B26" s="14">
        <f>'Tháng 5 nhà S  '!L24</f>
        <v>13350000</v>
      </c>
      <c r="C26" s="14">
        <f>'Tháng 5 nhà S  '!M24</f>
        <v>4080248.3</v>
      </c>
      <c r="D26" s="14">
        <f>'Tháng 5 nhà S  '!N24</f>
        <v>1898947.8471817423</v>
      </c>
      <c r="E26" s="14">
        <f>'Tháng 5 nhà S  '!O24</f>
        <v>15248947.847181743</v>
      </c>
      <c r="F26" s="49">
        <f t="shared" si="0"/>
        <v>0.14224328443308931</v>
      </c>
    </row>
    <row r="27" spans="1:6" x14ac:dyDescent="0.3">
      <c r="A27" s="16" t="s">
        <v>129</v>
      </c>
      <c r="B27" s="14">
        <f>'[1]Tháng 9 nhà S '!L25</f>
        <v>1745166666.6666663</v>
      </c>
      <c r="C27" s="17">
        <f>SUBTOTAL(109,C2:C26)</f>
        <v>1348857001.75</v>
      </c>
      <c r="D27" s="17">
        <f>SUBTOTAL(109,D2:D26)</f>
        <v>709967750.57558227</v>
      </c>
      <c r="E27" s="17">
        <f>SUBTOTAL(109,E2:E26)</f>
        <v>4653266761.0630226</v>
      </c>
      <c r="F27" s="51">
        <f t="shared" si="0"/>
        <v>0.40681945405916287</v>
      </c>
    </row>
    <row r="28" spans="1:6" x14ac:dyDescent="0.3">
      <c r="A28" s="16"/>
      <c r="B28" s="17"/>
      <c r="C28" s="17"/>
      <c r="D28" s="17"/>
      <c r="E28" s="17"/>
      <c r="F28" s="51"/>
    </row>
    <row r="30" spans="1:6" x14ac:dyDescent="0.3">
      <c r="B30" s="50"/>
      <c r="C30" s="50"/>
      <c r="D30" s="50"/>
      <c r="E30" s="50"/>
    </row>
    <row r="31" spans="1:6" ht="14.5" x14ac:dyDescent="0.35">
      <c r="B31" s="53"/>
      <c r="C31" s="50"/>
      <c r="D31" s="50"/>
      <c r="E31" s="50"/>
    </row>
    <row r="32" spans="1:6" x14ac:dyDescent="0.3">
      <c r="B32" s="50"/>
      <c r="C32" s="50"/>
      <c r="D32" s="50"/>
      <c r="E32" s="50"/>
      <c r="F32" s="54"/>
    </row>
    <row r="33" spans="2:5" x14ac:dyDescent="0.3">
      <c r="B33" s="50"/>
      <c r="C33" s="50"/>
      <c r="D33" s="50"/>
      <c r="E33" s="50"/>
    </row>
    <row r="34" spans="2:5" x14ac:dyDescent="0.3">
      <c r="B34" s="50"/>
      <c r="C34" s="50"/>
      <c r="D34" s="50"/>
      <c r="E34" s="50"/>
    </row>
    <row r="36" spans="2:5" x14ac:dyDescent="0.3">
      <c r="D36" s="50"/>
    </row>
    <row r="37" spans="2:5" x14ac:dyDescent="0.3">
      <c r="D37" s="5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7B4C-DC34-4309-BD94-B329F84D2489}">
  <sheetPr codeName="Sheet21"/>
  <dimension ref="A1:O161"/>
  <sheetViews>
    <sheetView zoomScale="121" zoomScaleNormal="121" workbookViewId="0">
      <selection activeCell="F20" sqref="F20:F106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156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20995833.333333332</v>
      </c>
      <c r="M3" s="37">
        <f>SUMIF('Tháng 6 nhà T  '!$B$4:$B$154,K3,'Tháng 6 nhà T  '!$E$4:$E$154)</f>
        <v>4878761.6666666679</v>
      </c>
      <c r="N3" s="37">
        <f>SUMIF('Tháng 6 nhà T  '!$B$4:$B$154,K3,'Tháng 6 nhà T  '!$F$4:$F$154)</f>
        <v>1352418.1295483739</v>
      </c>
      <c r="O3" s="38">
        <f>SUMIF('Tháng 6 nhà T  '!$B$4:$B$154,K3,'Tháng 6 nhà T  '!$G$4:$G$154)</f>
        <v>22348251.462881707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3858790.2</v>
      </c>
      <c r="F4" s="11">
        <v>2340823.7683652267</v>
      </c>
      <c r="G4" s="12">
        <f>Table52111768152229343741465158916233237[[#This Row],[LỢI NHUẬN RÒNG]]+Table52111768152229343741465158916233237[[#This Row],[VỐN CP]]</f>
        <v>15540823.768365227</v>
      </c>
      <c r="K4" s="36" t="s">
        <v>87</v>
      </c>
      <c r="L4" s="11">
        <f t="shared" si="0"/>
        <v>81893333.333333328</v>
      </c>
      <c r="M4" s="37">
        <f>SUMIF('Tháng 6 nhà T  '!$B$4:$B$154,K4,'Tháng 6 nhà T  '!$E$4:$E$154)</f>
        <v>28114933.300000001</v>
      </c>
      <c r="N4" s="37">
        <f>SUMIF('Tháng 6 nhà T  '!$B$4:$B$154,K4,'Tháng 6 nhà T  '!$F$4:$F$154)</f>
        <v>15366897.89988677</v>
      </c>
      <c r="O4" s="38">
        <f>SUMIF('Tháng 6 nhà T  '!$B$4:$B$154,K4,'Tháng 6 nhà T  '!$G$4:$G$154)</f>
        <v>97260231.2332201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3858790.2</v>
      </c>
      <c r="F5" s="11">
        <v>2340823.7683652267</v>
      </c>
      <c r="G5" s="12">
        <f>Table52111768152229343741465158916233237[[#This Row],[LỢI NHUẬN RÒNG]]+Table52111768152229343741465158916233237[[#This Row],[VỐN CP]]</f>
        <v>15540823.768365227</v>
      </c>
      <c r="I5" s="11"/>
      <c r="K5" s="36" t="s">
        <v>9</v>
      </c>
      <c r="L5" s="11">
        <f t="shared" si="0"/>
        <v>409614166.66666669</v>
      </c>
      <c r="M5" s="37">
        <f>SUMIF('Tháng 6 nhà T  '!$B$4:$B$154,K5,'Tháng 6 nhà T  '!$E$4:$E$154)</f>
        <v>120946181.63333334</v>
      </c>
      <c r="N5" s="37">
        <f>SUMIF('Tháng 6 nhà T  '!$B$4:$B$154,K5,'Tháng 6 nhà T  '!$F$4:$F$154)</f>
        <v>48452203.821273439</v>
      </c>
      <c r="O5" s="38">
        <f>SUMIF('Tháng 6 nhà T  '!$B$4:$B$154,K5,'Tháng 6 nhà T  '!$G$4:$G$154)</f>
        <v>458066370.48794001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1286263.3999999999</v>
      </c>
      <c r="F6" s="11">
        <v>780274.58945507556</v>
      </c>
      <c r="G6" s="12">
        <f>Table52111768152229343741465158916233237[[#This Row],[LỢI NHUẬN RÒNG]]+Table52111768152229343741465158916233237[[#This Row],[VỐN CP]]</f>
        <v>5180274.5894550756</v>
      </c>
      <c r="K6" s="36" t="s">
        <v>88</v>
      </c>
      <c r="L6" s="11">
        <f t="shared" si="0"/>
        <v>9733333.333333334</v>
      </c>
      <c r="M6" s="37">
        <f>SUMIF('Tháng 6 nhà T  '!$B$4:$B$154,K6,'Tháng 6 nhà T  '!$E$4:$E$154)</f>
        <v>1670902.9666666663</v>
      </c>
      <c r="N6" s="37">
        <f>SUMIF('Tháng 6 nhà T  '!$B$4:$B$154,K6,'Tháng 6 nhà T  '!$F$4:$F$154)</f>
        <v>114620.36899173557</v>
      </c>
      <c r="O6" s="38">
        <f>SUMIF('Tháng 6 nhà T  '!$B$4:$B$154,K6,'Tháng 6 nhà T  '!$G$4:$G$154)</f>
        <v>9847953.7023250684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2572526.7999999998</v>
      </c>
      <c r="F7" s="11">
        <v>1560549.1789101511</v>
      </c>
      <c r="G7" s="12">
        <f>Table52111768152229343741465158916233237[[#This Row],[LỢI NHUẬN RÒNG]]+Table52111768152229343741465158916233237[[#This Row],[VỐN CP]]</f>
        <v>10360549.178910151</v>
      </c>
      <c r="K7" s="36" t="s">
        <v>89</v>
      </c>
      <c r="L7" s="11">
        <f t="shared" si="0"/>
        <v>6666666.666666666</v>
      </c>
      <c r="M7" s="37">
        <f>SUMIF('Tháng 6 nhà T  '!$B$4:$B$154,K7,'Tháng 6 nhà T  '!$E$4:$E$154)</f>
        <v>1404261.4333333343</v>
      </c>
      <c r="N7" s="37">
        <f>SUMIF('Tháng 6 nhà T  '!$B$4:$B$154,K7,'Tháng 6 nhà T  '!$F$4:$F$154)</f>
        <v>698511.87967909279</v>
      </c>
      <c r="O7" s="38">
        <f>SUMIF('Tháng 6 nhà T  '!$B$4:$B$154,K7,'Tháng 6 nhà T  '!$G$4:$G$154)</f>
        <v>7365178.5463457592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1286263.3999999999</v>
      </c>
      <c r="F8" s="11">
        <v>780274.58945507556</v>
      </c>
      <c r="G8" s="12">
        <f>Table52111768152229343741465158916233237[[#This Row],[LỢI NHUẬN RÒNG]]+Table52111768152229343741465158916233237[[#This Row],[VỐN CP]]</f>
        <v>5180274.5894550756</v>
      </c>
      <c r="K8" s="36" t="s">
        <v>19</v>
      </c>
      <c r="L8" s="11">
        <f t="shared" si="0"/>
        <v>411760000</v>
      </c>
      <c r="M8" s="37">
        <f>SUMIF('Tháng 6 nhà T  '!$B$4:$B$154,K8,'Tháng 6 nhà T  '!$E$4:$E$154)</f>
        <v>121876038.90000001</v>
      </c>
      <c r="N8" s="37">
        <f>SUMIF('Tháng 6 nhà T  '!$B$4:$B$154,K8,'Tháng 6 nhà T  '!$F$4:$F$154)</f>
        <v>48954758.980466768</v>
      </c>
      <c r="O8" s="38">
        <f>SUMIF('Tháng 6 nhà T  '!$B$4:$B$154,K8,'Tháng 6 nhà T  '!$G$4:$G$154)</f>
        <v>435224687.36943769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2106392.1500000013</v>
      </c>
      <c r="F9" s="11">
        <v>1047767.8195186391</v>
      </c>
      <c r="G9" s="12">
        <f>Table52111768152229343741465158916233237[[#This Row],[LỢI NHUẬN RÒNG]]+Table52111768152229343741465158916233237[[#This Row],[VỐN CP]]</f>
        <v>11047767.819518639</v>
      </c>
      <c r="K9" s="36" t="s">
        <v>21</v>
      </c>
      <c r="L9" s="11">
        <f t="shared" si="0"/>
        <v>68585000</v>
      </c>
      <c r="M9" s="37">
        <f>SUMIF('Tháng 6 nhà T  '!$B$4:$B$154,K9,'Tháng 6 nhà T  '!$E$4:$E$154)</f>
        <v>20081627.300000001</v>
      </c>
      <c r="N9" s="37">
        <f>SUMIF('Tháng 6 nhà T  '!$B$4:$B$154,K9,'Tháng 6 nhà T  '!$F$4:$F$154)</f>
        <v>7524570.0547984717</v>
      </c>
      <c r="O9" s="38">
        <f>SUMIF('Tháng 6 nhà T  '!$B$4:$B$154,K9,'Tháng 6 nhà T  '!$G$4:$G$154)</f>
        <v>76109570.054798484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1404261.4333333343</v>
      </c>
      <c r="F10" s="11">
        <v>698511.87967909279</v>
      </c>
      <c r="G10" s="12">
        <f>Table52111768152229343741465158916233237[[#This Row],[LỢI NHUẬN RÒNG]]+Table52111768152229343741465158916233237[[#This Row],[VỐN CP]]</f>
        <v>7365178.5463457592</v>
      </c>
      <c r="K10" s="36" t="s">
        <v>23</v>
      </c>
      <c r="L10" s="11">
        <f t="shared" si="0"/>
        <v>16000000</v>
      </c>
      <c r="M10" s="37">
        <f>SUMIF('Tháng 6 nhà T  '!$B$4:$B$154,K10,'Tháng 6 nhà T  '!$E$4:$E$154)</f>
        <v>4531019.5</v>
      </c>
      <c r="N10" s="37">
        <f>SUMIF('Tháng 6 nhà T  '!$B$4:$B$154,K10,'Tháng 6 nhà T  '!$F$4:$F$154)</f>
        <v>2425092.5631701932</v>
      </c>
      <c r="O10" s="38">
        <f>SUMIF('Tháng 6 nhà T  '!$B$4:$B$154,K10,'Tháng 6 nhà T  '!$G$4:$G$154)</f>
        <v>18425092.563170195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2106392.1500000013</v>
      </c>
      <c r="F11" s="11">
        <v>1047767.8195186391</v>
      </c>
      <c r="G11" s="12">
        <f>Table52111768152229343741465158916233237[[#This Row],[LỢI NHUẬN RÒNG]]+Table52111768152229343741465158916233237[[#This Row],[VỐN CP]]</f>
        <v>11047767.819518639</v>
      </c>
      <c r="J11" s="11"/>
      <c r="K11" s="36" t="s">
        <v>27</v>
      </c>
      <c r="L11" s="11">
        <f t="shared" si="0"/>
        <v>325678333.33333331</v>
      </c>
      <c r="M11" s="37">
        <f>SUMIF('Tháng 6 nhà T  '!$B$4:$B$154,K11,'Tháng 6 nhà T  '!$E$4:$E$154)</f>
        <v>107524156.39999999</v>
      </c>
      <c r="N11" s="37">
        <f>SUMIF('Tháng 6 nhà T  '!$B$4:$B$154,K11,'Tháng 6 nhà T  '!$F$4:$F$154)</f>
        <v>44732936.165071487</v>
      </c>
      <c r="O11" s="38">
        <f>SUMIF(Table52111768152229343741465158916233237[CỔ ĐÔNG],K11,Table52111768152229343741465158916233237[TỔNG NHẬN])</f>
        <v>370411269.49840474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1404261.4333333343</v>
      </c>
      <c r="F12" s="11">
        <v>698511.87967909279</v>
      </c>
      <c r="G12" s="12">
        <f>Table52111768152229343741465158916233237[[#This Row],[LỢI NHUẬN RÒNG]]+Table52111768152229343741465158916233237[[#This Row],[VỐN CP]]</f>
        <v>7365178.5463457592</v>
      </c>
      <c r="K12" s="36" t="s">
        <v>31</v>
      </c>
      <c r="L12" s="11">
        <f t="shared" si="0"/>
        <v>44946666.666666664</v>
      </c>
      <c r="M12" s="37">
        <f>SUMIF('Tháng 6 nhà T  '!$B$4:$B$154,K12,'Tháng 6 nhà T  '!$E$4:$E$154)</f>
        <v>10208738.733333334</v>
      </c>
      <c r="N12" s="37">
        <f>SUMIF('Tháng 6 nhà T  '!$B$4:$B$154,K12,'Tháng 6 nhà T  '!$F$4:$F$154)</f>
        <v>3888672.7750934404</v>
      </c>
      <c r="O12" s="38">
        <f>SUMIF('Tháng 6 nhà T  '!$B$4:$B$154,K12,'Tháng 6 nhà T  '!$G$4:$G$154)</f>
        <v>48835339.441760108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1404261.4333333343</v>
      </c>
      <c r="F13" s="11">
        <v>698511.87967909279</v>
      </c>
      <c r="G13" s="12">
        <f>Table52111768152229343741465158916233237[[#This Row],[LỢI NHUẬN RÒNG]]+Table52111768152229343741465158916233237[[#This Row],[VỐN CP]]</f>
        <v>7365178.5463457592</v>
      </c>
      <c r="K13" s="36" t="s">
        <v>91</v>
      </c>
      <c r="L13" s="11">
        <f t="shared" si="0"/>
        <v>8400000</v>
      </c>
      <c r="M13" s="37">
        <f>SUMIF('Tháng 6 nhà T  '!$B$4:$B$154,K13,'Tháng 6 nhà T  '!$E$4:$E$154)</f>
        <v>5091593.0666666673</v>
      </c>
      <c r="N13" s="37">
        <f>SUMIF('Tháng 6 nhà T  '!$B$4:$B$154,K13,'Tháng 6 nhà T  '!$F$4:$F$154)</f>
        <v>2738972.3826865451</v>
      </c>
      <c r="O13" s="38">
        <f>SUMIF('Tháng 6 nhà T  '!$B$4:$B$154,K13,'Tháng 6 nhà T  '!$G$4:$G$154)</f>
        <v>11138972.382686544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1404261.4333333343</v>
      </c>
      <c r="F14" s="11">
        <v>698511.87967909279</v>
      </c>
      <c r="G14" s="12">
        <f>Table52111768152229343741465158916233237[[#This Row],[LỢI NHUẬN RÒNG]]+Table52111768152229343741465158916233237[[#This Row],[VỐN CP]]</f>
        <v>7365178.5463457592</v>
      </c>
      <c r="K14" s="36" t="s">
        <v>33</v>
      </c>
      <c r="L14" s="11">
        <f t="shared" si="0"/>
        <v>17560000</v>
      </c>
      <c r="M14" s="37">
        <f>SUMIF('Tháng 6 nhà T  '!$B$4:$B$154,K14,'Tháng 6 nhà T  '!$E$4:$E$154)</f>
        <v>4772380.75</v>
      </c>
      <c r="N14" s="37">
        <f>SUMIF('Tháng 6 nhà T  '!$B$4:$B$154,K14,'Tháng 6 nhà T  '!$F$4:$F$154)</f>
        <v>1375097.8233245558</v>
      </c>
      <c r="O14" s="38">
        <f>SUMIF('Tháng 6 nhà T  '!$B$4:$B$154,K14,'Tháng 6 nhà T  '!$G$4:$G$154)</f>
        <v>18935097.823324554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2808522.8666666686</v>
      </c>
      <c r="F15" s="11">
        <v>1397023.7593581856</v>
      </c>
      <c r="G15" s="12">
        <f>Table52111768152229343741465158916233237[[#This Row],[LỢI NHUẬN RÒNG]]+Table52111768152229343741465158916233237[[#This Row],[VỐN CP]]</f>
        <v>14730357.092691518</v>
      </c>
      <c r="K15" s="25" t="s">
        <v>37</v>
      </c>
      <c r="L15" s="21">
        <f t="shared" si="0"/>
        <v>40833333.333333328</v>
      </c>
      <c r="M15" s="39">
        <f>SUMIF('Tháng 6 nhà T  '!$B$4:$B$154,K15,'Tháng 6 nhà T  '!$E$4:$E$154)</f>
        <v>9428238.7666666675</v>
      </c>
      <c r="N15" s="39">
        <f>SUMIF('Tháng 6 nhà T  '!$B$4:$B$154,K15,'Tháng 6 nhà T  '!$F$4:$F$154)</f>
        <v>3049071.9128633291</v>
      </c>
      <c r="O15" s="40">
        <f>SUMIF('Tháng 6 nhà T  '!$B$4:$B$154,K15,'Tháng 6 nhà T  '!$G$4:$G$154)</f>
        <v>43882405.246196665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3207507.9</v>
      </c>
      <c r="F16" s="11">
        <v>715455.61437453027</v>
      </c>
      <c r="G16" s="12">
        <f>Table52111768152229343741465158916233237[[#This Row],[LỢI NHUẬN RÒNG]]+Table52111768152229343741465158916233237[[#This Row],[VỐN CP]]</f>
        <v>8665455.6143745296</v>
      </c>
      <c r="K16" s="36" t="s">
        <v>25</v>
      </c>
      <c r="L16" s="21">
        <f t="shared" si="0"/>
        <v>2750000</v>
      </c>
      <c r="M16" s="41">
        <f>SUMIF('Tháng 6 nhà T  '!$B$4:$B$154,K16,'Tháng 6 nhà T  '!$E$4:$E$154)</f>
        <v>967537.25</v>
      </c>
      <c r="N16" s="41">
        <f>SUMIF('Tháng 6 nhà T  '!$B$4:$B$154,K16,'Tháng 6 nhà T  '!$F$4:$F$154)</f>
        <v>317856.32607877179</v>
      </c>
      <c r="O16" s="42">
        <f>SUMIF('Tháng 6 nhà T  '!$B$4:$B$154,K16,'Tháng 6 nhà T  '!$G$4:$G$154)</f>
        <v>3067856.3260787716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3207507.9</v>
      </c>
      <c r="F17" s="11">
        <v>715455.61437453027</v>
      </c>
      <c r="G17" s="12">
        <f>Table52111768152229343741465158916233237[[#This Row],[LỢI NHUẬN RÒNG]]+Table52111768152229343741465158916233237[[#This Row],[VỐN CP]]</f>
        <v>8665455.6143745296</v>
      </c>
      <c r="K17" s="25" t="s">
        <v>47</v>
      </c>
      <c r="L17" s="21">
        <f>SUM(L2:L16)</f>
        <v>1465416666.6666667</v>
      </c>
      <c r="M17" s="21">
        <f>SUM(M2:M16)</f>
        <v>441496371.66666669</v>
      </c>
      <c r="N17" s="21">
        <f>SUM(N2:N16)</f>
        <v>180991681.08293295</v>
      </c>
      <c r="O17" s="21">
        <f>SUM(O2:O16)</f>
        <v>1620918276.1385703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1069169.3</v>
      </c>
      <c r="F18" s="11">
        <v>238485.2047915101</v>
      </c>
      <c r="G18" s="12">
        <f>Table52111768152229343741465158916233237[[#This Row],[LỢI NHUẬN RÒNG]]+Table52111768152229343741465158916233237[[#This Row],[VỐN CP]]</f>
        <v>2888485.20479151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2138338.6</v>
      </c>
      <c r="F19" s="11">
        <v>476970.4095830202</v>
      </c>
      <c r="G19" s="12">
        <f>Table52111768152229343741465158916233237[[#This Row],[LỢI NHUẬN RÒNG]]+Table52111768152229343741465158916233237[[#This Row],[VỐN CP]]</f>
        <v>5776970.40958302</v>
      </c>
    </row>
    <row r="20" spans="1:15" ht="15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1069169.3</v>
      </c>
      <c r="F20" s="11">
        <v>238485.2047915101</v>
      </c>
      <c r="G20" s="12">
        <f>Table52111768152229343741465158916233237[[#This Row],[LỢI NHUẬN RÒNG]]+Table52111768152229343741465158916233237[[#This Row],[VỐN CP]]</f>
        <v>2888485.20479151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4837686.25</v>
      </c>
      <c r="F21" s="11">
        <v>1589281.6303938592</v>
      </c>
      <c r="G21" s="12">
        <f>Table52111768152229343741465158916233237[[#This Row],[LỢI NHUẬN RÒNG]]+Table52111768152229343741465158916233237[[#This Row],[VỐN CP]]</f>
        <v>15339281.630393859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4837686.25</v>
      </c>
      <c r="F22" s="11">
        <v>1589281.6303938592</v>
      </c>
      <c r="G22" s="12">
        <f>Table52111768152229343741465158916233237[[#This Row],[LỢI NHUẬN RÒNG]]+Table52111768152229343741465158916233237[[#This Row],[VỐN CP]]</f>
        <v>15339281.630393859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967537.25</v>
      </c>
      <c r="F23" s="11">
        <v>317856.32607877179</v>
      </c>
      <c r="G23" s="12">
        <f>Table52111768152229343741465158916233237[[#This Row],[LỢI NHUẬN RÒNG]]+Table52111768152229343741465158916233237[[#This Row],[VỐN CP]]</f>
        <v>3067856.3260787716</v>
      </c>
    </row>
    <row r="24" spans="1:15" ht="15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967537.25</v>
      </c>
      <c r="F24" s="11">
        <v>317856.32607877179</v>
      </c>
      <c r="G24" s="12">
        <f>Table52111768152229343741465158916233237[[#This Row],[LỢI NHUẬN RÒNG]]+Table52111768152229343741465158916233237[[#This Row],[VỐN CP]]</f>
        <v>3067856.3260787716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3870149</v>
      </c>
      <c r="F25" s="11">
        <v>1271425.3043150872</v>
      </c>
      <c r="G25" s="12">
        <f>Table52111768152229343741465158916233237[[#This Row],[LỢI NHUẬN RÒNG]]+Table52111768152229343741465158916233237[[#This Row],[VỐN CP]]</f>
        <v>12271425.304315086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1935074.5</v>
      </c>
      <c r="F26" s="11">
        <v>635712.65215754358</v>
      </c>
      <c r="G26" s="12">
        <f>Table52111768152229343741465158916233237[[#This Row],[LỢI NHUẬN RÒNG]]+Table52111768152229343741465158916233237[[#This Row],[VỐN CP]]</f>
        <v>6135712.6521575432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9516581.1999999993</v>
      </c>
      <c r="F27" s="11">
        <v>1280617.5556054921</v>
      </c>
      <c r="G27" s="12">
        <f>Table52111768152229343741465158916233237[[#This Row],[LỢI NHUẬN RÒNG]]+Table52111768152229343741465158916233237[[#This Row],[VỐN CP]]</f>
        <v>46518117.555605493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10876092.800000001</v>
      </c>
      <c r="F28" s="11">
        <v>1463562.9206919908</v>
      </c>
      <c r="G28" s="12">
        <f>Table52111768152229343741465158916233237[[#This Row],[LỢI NHUẬN RÒNG]]+Table52111768152229343741465158916233237[[#This Row],[VỐN CP]]</f>
        <v>53163562.920691989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2719023.2</v>
      </c>
      <c r="F29" s="11">
        <v>365890.73017299769</v>
      </c>
      <c r="G29" s="12">
        <f>Table52111768152229343741465158916233237[[#This Row],[LỢI NHUẬN RÒNG]]+Table52111768152229343741465158916233237[[#This Row],[VỐN CP]]</f>
        <v>13290890.730172997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2719023.2</v>
      </c>
      <c r="F30" s="11">
        <v>365890.73017299769</v>
      </c>
      <c r="G30" s="12">
        <f>Table52111768152229343741465158916233237[[#This Row],[LỢI NHUẬN RÒNG]]+Table52111768152229343741465158916233237[[#This Row],[VỐN CP]]</f>
        <v>13290890.730172997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3099069.4</v>
      </c>
      <c r="F31" s="11">
        <v>500244.81577099301</v>
      </c>
      <c r="G31" s="12">
        <f>Table52111768152229343741465158916233237[[#This Row],[LỢI NHUẬN RÒNG]]+Table52111768152229343741465158916233237[[#This Row],[VỐN CP]]</f>
        <v>9600244.815770993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3099069.4</v>
      </c>
      <c r="F32" s="11">
        <v>500244.81577099301</v>
      </c>
      <c r="G32" s="12">
        <f>Table52111768152229343741465158916233237[[#This Row],[LỢI NHUẬN RÒNG]]+Table52111768152229343741465158916233237[[#This Row],[VỐN CP]]</f>
        <v>9600244.815770993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1770896.8</v>
      </c>
      <c r="F33" s="11">
        <v>285854.18044056743</v>
      </c>
      <c r="G33" s="12">
        <f>Table52111768152229343741465158916233237[[#This Row],[LỢI NHUẬN RÒNG]]+Table52111768152229343741465158916233237[[#This Row],[VỐN CP]]</f>
        <v>5485854.1804405674</v>
      </c>
    </row>
    <row r="34" spans="1:7" ht="15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885448.4</v>
      </c>
      <c r="F34" s="11">
        <v>142927.09022028372</v>
      </c>
      <c r="G34" s="12">
        <f>Table52111768152229343741465158916233237[[#This Row],[LỢI NHUẬN RÒNG]]+Table52111768152229343741465158916233237[[#This Row],[VỐN CP]]</f>
        <v>2742927.0902202837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2539591.25</v>
      </c>
      <c r="F35" s="11">
        <v>1452353.9573878092</v>
      </c>
      <c r="G35" s="12">
        <f>Table52111768152229343741465158916233237[[#This Row],[LỢI NHUẬN RÒNG]]+Table52111768152229343741465158916233237[[#This Row],[VỐN CP]]</f>
        <v>10552353.957387809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2539591.25</v>
      </c>
      <c r="F36" s="11">
        <v>1452353.9573878092</v>
      </c>
      <c r="G36" s="12">
        <f>Table52111768152229343741465158916233237[[#This Row],[LỢI NHUẬN RÒNG]]+Table52111768152229343741465158916233237[[#This Row],[VỐN CP]]</f>
        <v>10552353.957387809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1451195</v>
      </c>
      <c r="F37" s="11">
        <v>829916.547078748</v>
      </c>
      <c r="G37" s="12">
        <f>Table52111768152229343741465158916233237[[#This Row],[LỢI NHUẬN RÒNG]]+Table52111768152229343741465158916233237[[#This Row],[VỐN CP]]</f>
        <v>6029916.5470787482</v>
      </c>
    </row>
    <row r="38" spans="1:7" ht="15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725597.5</v>
      </c>
      <c r="F38" s="11">
        <v>414958.273539374</v>
      </c>
      <c r="G38" s="12">
        <f>Table52111768152229343741465158916233237[[#This Row],[LỢI NHUẬN RÒNG]]+Table52111768152229343741465158916233237[[#This Row],[VỐN CP]]</f>
        <v>3014958.2735393741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977632</v>
      </c>
      <c r="F39" s="11">
        <v>315662.30081612617</v>
      </c>
      <c r="G39" s="12">
        <f>Table52111768152229343741465158916233237[[#This Row],[LỢI NHUẬN RÒNG]]+Table52111768152229343741465158916233237[[#This Row],[VỐN CP]]</f>
        <v>5115662.3008161262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1466448</v>
      </c>
      <c r="F40" s="11">
        <v>473493.45122418925</v>
      </c>
      <c r="G40" s="12">
        <f>Table52111768152229343741465158916233237[[#This Row],[LỢI NHUẬN RÒNG]]+Table52111768152229343741465158916233237[[#This Row],[VỐN CP]]</f>
        <v>7673493.4512241893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1466448</v>
      </c>
      <c r="F41" s="11">
        <v>473493.45122418925</v>
      </c>
      <c r="G41" s="12">
        <f>Table52111768152229343741465158916233237[[#This Row],[LỢI NHUẬN RÒNG]]+Table52111768152229343741465158916233237[[#This Row],[VỐN CP]]</f>
        <v>7673493.4512241893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977632</v>
      </c>
      <c r="F42" s="11">
        <v>315662.30081612617</v>
      </c>
      <c r="G42" s="12">
        <f>Table52111768152229343741465158916233237[[#This Row],[LỢI NHUẬN RÒNG]]+Table52111768152229343741465158916233237[[#This Row],[VỐN CP]]</f>
        <v>5115662.3008161262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1611764</v>
      </c>
      <c r="F43" s="11">
        <v>947085.83044589008</v>
      </c>
      <c r="G43" s="12">
        <f>Table52111768152229343741465158916233237[[#This Row],[LỢI NHUẬN RÒNG]]+Table52111768152229343741465158916233237[[#This Row],[VỐN CP]]</f>
        <v>4747085.8304458903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2014705</v>
      </c>
      <c r="F44" s="11">
        <v>1183857.2880573627</v>
      </c>
      <c r="G44" s="12">
        <f>Table52111768152229343741465158916233237[[#This Row],[LỢI NHUẬN RÒNG]]+Table52111768152229343741465158916233237[[#This Row],[VỐN CP]]</f>
        <v>6183857.2880573627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2014705</v>
      </c>
      <c r="F45" s="11">
        <v>1183857.2880573627</v>
      </c>
      <c r="G45" s="12">
        <f>Table52111768152229343741465158916233237[[#This Row],[LỢI NHUẬN RÒNG]]+Table52111768152229343741465158916233237[[#This Row],[VỐN CP]]</f>
        <v>6183857.2880573627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2417646</v>
      </c>
      <c r="F46" s="11">
        <v>1420628.745668835</v>
      </c>
      <c r="G46" s="12">
        <f>Table52111768152229343741465158916233237[[#This Row],[LỢI NHUẬN RÒNG]]+Table52111768152229343741465158916233237[[#This Row],[VỐN CP]]</f>
        <v>7120628.745668835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1605477.8</v>
      </c>
      <c r="F47" s="11">
        <v>944483.62281285378</v>
      </c>
      <c r="G47" s="12">
        <f>Table52111768152229343741465158916233237[[#This Row],[LỢI NHUẬN RÒNG]]+Table52111768152229343741465158916233237[[#This Row],[VỐN CP]]</f>
        <v>6344483.6228128541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2408216.7000000002</v>
      </c>
      <c r="F48" s="11">
        <v>1416725.4342192805</v>
      </c>
      <c r="G48" s="12">
        <f>Table52111768152229343741465158916233237[[#This Row],[LỢI NHUẬN RÒNG]]+Table52111768152229343741465158916233237[[#This Row],[VỐN CP]]</f>
        <v>9516725.4342192803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2408216.7000000002</v>
      </c>
      <c r="F49" s="11">
        <v>1416725.4342192805</v>
      </c>
      <c r="G49" s="12">
        <f>Table52111768152229343741465158916233237[[#This Row],[LỢI NHUẬN RÒNG]]+Table52111768152229343741465158916233237[[#This Row],[VỐN CP]]</f>
        <v>9516725.4342192803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1605477.8</v>
      </c>
      <c r="F50" s="11">
        <v>944483.62281285378</v>
      </c>
      <c r="G50" s="12">
        <f>Table52111768152229343741465158916233237[[#This Row],[LỢI NHUẬN RÒNG]]+Table52111768152229343741465158916233237[[#This Row],[VỐN CP]]</f>
        <v>6344483.6228128541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3400831.6</v>
      </c>
      <c r="F51" s="11">
        <v>1970146.0306296989</v>
      </c>
      <c r="G51" s="12">
        <f>Table52111768152229343741465158916233237[[#This Row],[LỢI NHUẬN RÒNG]]+Table52111768152229343741465158916233237[[#This Row],[VỐN CP]]</f>
        <v>8570146.0306296982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5101247.4000000004</v>
      </c>
      <c r="F52" s="11">
        <v>2955219.0459445482</v>
      </c>
      <c r="G52" s="12">
        <f>Table52111768152229343741465158916233237[[#This Row],[LỢI NHUẬN RÒNG]]+Table52111768152229343741465158916233237[[#This Row],[VỐN CP]]</f>
        <v>12855219.045944549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5101247.4000000004</v>
      </c>
      <c r="F53" s="11">
        <v>2955219.0459445482</v>
      </c>
      <c r="G53" s="12">
        <f>Table52111768152229343741465158916233237[[#This Row],[LỢI NHUẬN RÒNG]]+Table52111768152229343741465158916233237[[#This Row],[VỐN CP]]</f>
        <v>12855219.045944549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3400831.6</v>
      </c>
      <c r="F54" s="11">
        <v>1970146.0306296989</v>
      </c>
      <c r="G54" s="12">
        <f>Table52111768152229343741465158916233237[[#This Row],[LỢI NHUẬN RÒNG]]+Table52111768152229343741465158916233237[[#This Row],[VỐN CP]]</f>
        <v>8570146.0306296982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7495727.0999999996</v>
      </c>
      <c r="F55" s="11">
        <v>4455010.107067693</v>
      </c>
      <c r="G55" s="12">
        <f>Table52111768152229343741465158916233237[[#This Row],[LỢI NHUẬN RÒNG]]+Table52111768152229343741465158916233237[[#This Row],[VỐN CP]]</f>
        <v>18705010.107067693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6246439.25</v>
      </c>
      <c r="F56" s="11">
        <v>3712508.4225564115</v>
      </c>
      <c r="G56" s="12">
        <f>Table52111768152229343741465158916233237[[#This Row],[LỢI NHUẬN RÒNG]]+Table52111768152229343741465158916233237[[#This Row],[VỐN CP]]</f>
        <v>15587508.422556411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6246439.25</v>
      </c>
      <c r="F57" s="11">
        <v>3712508.4225564115</v>
      </c>
      <c r="G57" s="12">
        <f>Table52111768152229343741465158916233237[[#This Row],[LỢI NHUẬN RÒNG]]+Table52111768152229343741465158916233237[[#This Row],[VỐN CP]]</f>
        <v>15587508.422556411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4997151.4000000004</v>
      </c>
      <c r="F58" s="11">
        <v>2970006.738045129</v>
      </c>
      <c r="G58" s="12">
        <f>Table52111768152229343741465158916233237[[#This Row],[LỢI NHUẬN RÒNG]]+Table52111768152229343741465158916233237[[#This Row],[VỐN CP]]</f>
        <v>12470006.73804513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6304173.2999999998</v>
      </c>
      <c r="F59" s="11">
        <v>3782996.1241983534</v>
      </c>
      <c r="G59" s="12">
        <f>Table52111768152229343741465158916233237[[#This Row],[LỢI NHUẬN RÒNG]]+Table52111768152229343741465158916233237[[#This Row],[VỐN CP]]</f>
        <v>23732996.124198355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5253477.75</v>
      </c>
      <c r="F60" s="11">
        <v>3152496.7701652944</v>
      </c>
      <c r="G60" s="12">
        <f>Table52111768152229343741465158916233237[[#This Row],[LỢI NHUẬN RÒNG]]+Table52111768152229343741465158916233237[[#This Row],[VỐN CP]]</f>
        <v>19777496.770165294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5253477.75</v>
      </c>
      <c r="F61" s="11">
        <v>3152496.7701652944</v>
      </c>
      <c r="G61" s="12">
        <f>Table52111768152229343741465158916233237[[#This Row],[LỢI NHUẬN RÒNG]]+Table52111768152229343741465158916233237[[#This Row],[VỐN CP]]</f>
        <v>19777496.770165294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4202782.2</v>
      </c>
      <c r="F62" s="11">
        <v>2521997.4161322354</v>
      </c>
      <c r="G62" s="12">
        <f>Table52111768152229343741465158916233237[[#This Row],[LỢI NHUẬN RÒNG]]+Table52111768152229343741465158916233237[[#This Row],[VỐN CP]]</f>
        <v>15821997.416132236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1505140.5</v>
      </c>
      <c r="F63" s="11">
        <v>-1072966.5349468254</v>
      </c>
      <c r="G63" s="12">
        <f>Table52111768152229343741465158916233237[[#This Row],[LỢI NHUẬN RÒNG]]+Table52111768152229343741465158916233237[[#This Row],[VỐN CP]]</f>
        <v>6427033.4650531746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1505140.5</v>
      </c>
      <c r="F64" s="11">
        <v>-1072966.5349468254</v>
      </c>
      <c r="G64" s="12">
        <f>Table52111768152229343741465158916233237[[#This Row],[LỢI NHUẬN RÒNG]]+Table52111768152229343741465158916233237[[#This Row],[VỐN CP]]</f>
        <v>6427033.4650531746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3010281</v>
      </c>
      <c r="F65" s="11">
        <v>-2145933.0698936507</v>
      </c>
      <c r="G65" s="12">
        <f>Table52111768152229343741465158916233237[[#This Row],[LỢI NHUẬN RÒNG]]+Table52111768152229343741465158916233237[[#This Row],[VỐN CP]]</f>
        <v>12854066.930106349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5537943</v>
      </c>
      <c r="F66" s="11">
        <v>2946078.6394531061</v>
      </c>
      <c r="G66" s="12">
        <f>Table52111768152229343741465158916233237[[#This Row],[LỢI NHUẬN RÒNG]]+Table52111768152229343741465158916233237[[#This Row],[VỐN CP]]</f>
        <v>12946078.639453106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5537943</v>
      </c>
      <c r="F67" s="11">
        <v>2946078.6394531061</v>
      </c>
      <c r="G67" s="12">
        <f>Table52111768152229343741465158916233237[[#This Row],[LỢI NHUẬN RÒNG]]+Table52111768152229343741465158916233237[[#This Row],[VỐN CP]]</f>
        <v>12946078.639453106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11075886</v>
      </c>
      <c r="F68" s="11">
        <v>5892157.2789062122</v>
      </c>
      <c r="G68" s="12">
        <f>Table52111768152229343741465158916233237[[#This Row],[LỢI NHUẬN RÒNG]]+Table52111768152229343741465158916233237[[#This Row],[VỐN CP]]</f>
        <v>25892157.278906211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2739842.35</v>
      </c>
      <c r="F69" s="11">
        <v>1456816.7493629837</v>
      </c>
      <c r="G69" s="12">
        <f>Table52111768152229343741465158916233237[[#This Row],[LỢI NHUẬN RÒNG]]+Table52111768152229343741465158916233237[[#This Row],[VỐN CP]]</f>
        <v>12306816.749362983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2739842.35</v>
      </c>
      <c r="F70" s="11">
        <v>1456816.7493629837</v>
      </c>
      <c r="G70" s="12">
        <f>Table52111768152229343741465158916233237[[#This Row],[LỢI NHUẬN RÒNG]]+Table52111768152229343741465158916233237[[#This Row],[VỐN CP]]</f>
        <v>12306816.749362983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1565624.2</v>
      </c>
      <c r="F71" s="11">
        <v>832466.71392170491</v>
      </c>
      <c r="G71" s="12">
        <f>Table52111768152229343741465158916233237[[#This Row],[LỢI NHUẬN RÒNG]]+Table52111768152229343741465158916233237[[#This Row],[VỐN CP]]</f>
        <v>7032466.7139217053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782812.1</v>
      </c>
      <c r="F72" s="11">
        <v>416233.35696085246</v>
      </c>
      <c r="G72" s="12">
        <f>Table52111768152229343741465158916233237[[#This Row],[LỢI NHUẬN RÒNG]]+Table52111768152229343741465158916233237[[#This Row],[VỐN CP]]</f>
        <v>3516233.3569608526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3339788.6</v>
      </c>
      <c r="F73" s="11">
        <v>1512558.0944329619</v>
      </c>
      <c r="G73" s="12">
        <f>Table52111768152229343741465158916233237[[#This Row],[LỢI NHUẬN RÒNG]]+Table52111768152229343741465158916233237[[#This Row],[VỐN CP]]</f>
        <v>6312558.0944329621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3339788.6</v>
      </c>
      <c r="F74" s="11">
        <v>1512558.0944329619</v>
      </c>
      <c r="G74" s="12">
        <f>Table52111768152229343741465158916233237[[#This Row],[LỢI NHUẬN RÒNG]]+Table52111768152229343741465158916233237[[#This Row],[VỐN CP]]</f>
        <v>6312558.0944329621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8349471.5</v>
      </c>
      <c r="F75" s="11">
        <v>3781395.2360824049</v>
      </c>
      <c r="G75" s="12">
        <f>Table52111768152229343741465158916233237[[#This Row],[LỢI NHUẬN RÒNG]]+Table52111768152229343741465158916233237[[#This Row],[VỐN CP]]</f>
        <v>15781395.236082405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1669894.3</v>
      </c>
      <c r="F76" s="11">
        <v>756279.04721648095</v>
      </c>
      <c r="G76" s="12">
        <f>Table52111768152229343741465158916233237[[#This Row],[LỢI NHUẬN RÒNG]]+Table52111768152229343741465158916233237[[#This Row],[VỐN CP]]</f>
        <v>3156279.0472164811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6843397.5333333351</v>
      </c>
      <c r="F77" s="11">
        <v>3965386.6709401282</v>
      </c>
      <c r="G77" s="12">
        <f>Table52111768152229343741465158916233237[[#This Row],[LỢI NHUẬN RÒNG]]+Table52111768152229343741465158916233237[[#This Row],[VỐN CP]]</f>
        <v>15965386.670940127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6843397.5333333351</v>
      </c>
      <c r="F78" s="11">
        <v>3965386.6709401282</v>
      </c>
      <c r="G78" s="12">
        <f>Table52111768152229343741465158916233237[[#This Row],[LỢI NHUẬN RÒNG]]+Table52111768152229343741465158916233237[[#This Row],[VỐN CP]]</f>
        <v>15965386.670940127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17108493.833333336</v>
      </c>
      <c r="F79" s="11">
        <v>9913466.6773503199</v>
      </c>
      <c r="G79" s="12">
        <f>Table52111768152229343741465158916233237[[#This Row],[LỢI NHUẬN RÒNG]]+Table52111768152229343741465158916233237[[#This Row],[VỐN CP]]</f>
        <v>39913466.67735032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3421698.7666666675</v>
      </c>
      <c r="F80" s="11">
        <v>1982693.3354700641</v>
      </c>
      <c r="G80" s="12">
        <f>Table52111768152229343741465158916233237[[#This Row],[LỢI NHUẬN RÒNG]]+Table52111768152229343741465158916233237[[#This Row],[VỐN CP]]</f>
        <v>7982693.3354700636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2427182.7999999998</v>
      </c>
      <c r="F81" s="11">
        <v>129679.1536380671</v>
      </c>
      <c r="G81" s="12">
        <f>Table52111768152229343741465158916233237[[#This Row],[LỢI NHUẬN RÒNG]]+Table52111768152229343741465158916233237[[#This Row],[VỐN CP]]</f>
        <v>8319679.1536380667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2427182.7999999998</v>
      </c>
      <c r="F82" s="11">
        <v>129679.1536380671</v>
      </c>
      <c r="G82" s="12">
        <f>Table52111768152229343741465158916233237[[#This Row],[LỢI NHUẬN RÒNG]]+Table52111768152229343741465158916233237[[#This Row],[VỐN CP]]</f>
        <v>8319679.1536380667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2080442.4</v>
      </c>
      <c r="F83" s="11">
        <v>111153.56026120037</v>
      </c>
      <c r="G83" s="12">
        <f>Table52111768152229343741465158916233237[[#This Row],[LỢI NHUẬN RÒNG]]+Table52111768152229343741465158916233237[[#This Row],[VỐN CP]]</f>
        <v>7131153.5602612002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3945440.8000000007</v>
      </c>
      <c r="F84" s="11">
        <v>2675501.1493838755</v>
      </c>
      <c r="G84" s="12">
        <f>Table52111768152229343741465158916233237[[#This Row],[LỢI NHUẬN RÒNG]]+Table52111768152229343741465158916233237[[#This Row],[VỐN CP]]</f>
        <v>10175501.149383876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3945440.8000000007</v>
      </c>
      <c r="F85" s="11">
        <v>2675501.1493838755</v>
      </c>
      <c r="G85" s="12">
        <f>Table52111768152229343741465158916233237[[#This Row],[LỢI NHUẬN RÒNG]]+Table52111768152229343741465158916233237[[#This Row],[VỐN CP]]</f>
        <v>10175501.149383876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1972720.4000000004</v>
      </c>
      <c r="F86" s="11">
        <v>1337750.5746919378</v>
      </c>
      <c r="G86" s="12">
        <f>Table52111768152229343741465158916233237[[#This Row],[LỢI NHUẬN RÒNG]]+Table52111768152229343741465158916233237[[#This Row],[VỐN CP]]</f>
        <v>5087750.5746919382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3287867.333333334</v>
      </c>
      <c r="F87" s="11">
        <v>2229584.2911532298</v>
      </c>
      <c r="G87" s="12">
        <f>Table52111768152229343741465158916233237[[#This Row],[LỢI NHUẬN RÒNG]]+Table52111768152229343741465158916233237[[#This Row],[VỐN CP]]</f>
        <v>8479584.2911532298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33000000</v>
      </c>
      <c r="E88" s="11">
        <v>3117668.4</v>
      </c>
      <c r="F88" s="11">
        <v>-2411914.0667652367</v>
      </c>
      <c r="G88" s="12">
        <f>Table52111768152229343741465158916233237[[#This Row],[LỢI NHUẬN RÒNG]]+Table52111768152229343741465158916233237[[#This Row],[VỐN CP]]</f>
        <v>30588085.933234762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27500000</v>
      </c>
      <c r="E89" s="11">
        <v>2598057</v>
      </c>
      <c r="F89" s="11">
        <v>-2009928.3889710307</v>
      </c>
      <c r="G89" s="12"/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16500000</v>
      </c>
      <c r="E90" s="11">
        <v>1558834.2</v>
      </c>
      <c r="F90" s="11">
        <v>-1205957.0333826183</v>
      </c>
      <c r="G90" s="12">
        <f>Table52111768152229343741465158916233237[[#This Row],[LỢI NHUẬN RÒNG]]+Table52111768152229343741465158916233237[[#This Row],[VỐN CP]]</f>
        <v>15294042.966617381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22000000</v>
      </c>
      <c r="E91" s="11">
        <v>2078445.6</v>
      </c>
      <c r="F91" s="11">
        <v>-1607942.7111768245</v>
      </c>
      <c r="G91" s="12">
        <f>Table52111768152229343741465158916233237[[#This Row],[LỢI NHUẬN RÒNG]]+Table52111768152229343741465158916233237[[#This Row],[VỐN CP]]</f>
        <v>20392057.288823176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11000000</v>
      </c>
      <c r="E92" s="11">
        <v>1039222.8</v>
      </c>
      <c r="F92" s="11">
        <v>-803971.35558841226</v>
      </c>
      <c r="G92" s="12">
        <f>Table52111768152229343741465158916233237[[#This Row],[LỢI NHUẬN RÒNG]]+Table52111768152229343741465158916233237[[#This Row],[VỐN CP]]</f>
        <v>10196028.644411588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2879605.25</v>
      </c>
      <c r="F93" s="11">
        <v>1401883.9189284926</v>
      </c>
      <c r="G93" s="12">
        <f>Table52111768152229343741465158916233237[[#This Row],[LỢI NHUẬN RÒNG]]+Table52111768152229343741465158916233237[[#This Row],[VỐN CP]]</f>
        <v>13901883.918928493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2879605.25</v>
      </c>
      <c r="F94" s="11">
        <v>1401883.9189284926</v>
      </c>
      <c r="G94" s="12">
        <f>Table52111768152229343741465158916233237[[#This Row],[LỢI NHUẬN RÒNG]]+Table52111768152229343741465158916233237[[#This Row],[VỐN CP]]</f>
        <v>13901883.918928493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1151842.1000000001</v>
      </c>
      <c r="F95" s="11">
        <v>560753.56757139717</v>
      </c>
      <c r="G95" s="12">
        <f>Table52111768152229343741465158916233237[[#This Row],[LỢI NHUẬN RÒNG]]+Table52111768152229343741465158916233237[[#This Row],[VỐN CP]]</f>
        <v>5560753.5675713969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4607368.4000000004</v>
      </c>
      <c r="F96" s="11">
        <v>2243014.2702855887</v>
      </c>
      <c r="G96" s="12">
        <f>Table52111768152229343741465158916233237[[#This Row],[LỢI NHUẬN RÒNG]]+Table52111768152229343741465158916233237[[#This Row],[VỐN CP]]</f>
        <v>22243014.270285588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12500000</v>
      </c>
      <c r="E97" s="11">
        <v>3277686.75</v>
      </c>
      <c r="F97" s="11">
        <v>1110309.759353146</v>
      </c>
      <c r="G97" s="12">
        <f>Table52111768152229343741465158916233237[[#This Row],[LỢI NHUẬN RÒNG]]+Table52111768152229343741465158916233237[[#This Row],[VỐN CP]]</f>
        <v>13610309.759353146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5000000</v>
      </c>
      <c r="E98" s="11">
        <v>1311074.7</v>
      </c>
      <c r="F98" s="11">
        <v>444123.90374125837</v>
      </c>
      <c r="G98" s="12">
        <f>Table52111768152229343741465158916233237[[#This Row],[LỢI NHUẬN RÒNG]]+Table52111768152229343741465158916233237[[#This Row],[VỐN CP]]</f>
        <v>5444123.9037412582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12500000</v>
      </c>
      <c r="E99" s="11">
        <v>3277686.75</v>
      </c>
      <c r="F99" s="11">
        <v>1110309.759353146</v>
      </c>
      <c r="G99" s="12">
        <f>Table52111768152229343741465158916233237[[#This Row],[LỢI NHUẬN RÒNG]]+Table52111768152229343741465158916233237[[#This Row],[VỐN CP]]</f>
        <v>13610309.759353146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10000000</v>
      </c>
      <c r="E100" s="11">
        <v>2622149.4</v>
      </c>
      <c r="F100" s="11">
        <v>888247.80748251674</v>
      </c>
      <c r="G100" s="12">
        <f>Table52111768152229343741465158916233237[[#This Row],[LỢI NHUẬN RÒNG]]+Table52111768152229343741465158916233237[[#This Row],[VỐN CP]]</f>
        <v>10888247.807482516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10000000</v>
      </c>
      <c r="E101" s="11">
        <v>2622149.4</v>
      </c>
      <c r="F101" s="11">
        <v>888247.80748251674</v>
      </c>
      <c r="G101" s="12">
        <f>Table52111768152229343741465158916233237[[#This Row],[LỢI NHUẬN RÒNG]]+Table52111768152229343741465158916233237[[#This Row],[VỐN CP]]</f>
        <v>10888247.807482516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2811570.75</v>
      </c>
      <c r="F102" s="11">
        <v>652177.32173654065</v>
      </c>
      <c r="G102" s="12">
        <f>Table52111768152229343741465158916233237[[#This Row],[LỢI NHUẬN RÒNG]]+Table52111768152229343741465158916233237[[#This Row],[VỐN CP]]</f>
        <v>18052177.321736541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2811570.75</v>
      </c>
      <c r="F103" s="11">
        <v>652177.32173654065</v>
      </c>
      <c r="G103" s="12">
        <f>Table52111768152229343741465158916233237[[#This Row],[LỢI NHUẬN RÒNG]]+Table52111768152229343741465158916233237[[#This Row],[VỐN CP]]</f>
        <v>18052177.321736541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2249256.6</v>
      </c>
      <c r="F104" s="11">
        <v>521741.85738923249</v>
      </c>
      <c r="G104" s="12">
        <f>Table52111768152229343741465158916233237[[#This Row],[LỢI NHUẬN RÒNG]]+Table52111768152229343741465158916233237[[#This Row],[VỐN CP]]</f>
        <v>14441741.857389232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2249256.6</v>
      </c>
      <c r="F105" s="11">
        <v>521741.85738923249</v>
      </c>
      <c r="G105" s="12">
        <f>Table52111768152229343741465158916233237[[#This Row],[LỢI NHUẬN RÒNG]]+Table52111768152229343741465158916233237[[#This Row],[VỐN CP]]</f>
        <v>14441741.857389232</v>
      </c>
    </row>
    <row r="106" spans="1:7" ht="15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1124628.3</v>
      </c>
      <c r="F106" s="11">
        <v>260870.92869461625</v>
      </c>
      <c r="G106" s="12">
        <f>Table52111768152229343741465158916233237[[#This Row],[LỢI NHUẬN RÒNG]]+Table52111768152229343741465158916233237[[#This Row],[VỐN CP]]</f>
        <v>7220870.9286946161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5390134.0499999998</v>
      </c>
      <c r="F107" s="11">
        <v>2288304.0106471544</v>
      </c>
      <c r="G107" s="12">
        <f>Table52111768152229343741465158916233237[[#This Row],[LỢI NHUẬN RÒNG]]+Table52111768152229343741465158916233237[[#This Row],[VỐN CP]]</f>
        <v>30288304.010647155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5390134.0499999998</v>
      </c>
      <c r="F108" s="11">
        <v>2288304.0106471544</v>
      </c>
      <c r="G108" s="12">
        <f>Table52111768152229343741465158916233237[[#This Row],[LỢI NHUẬN RÒNG]]+Table52111768152229343741465158916233237[[#This Row],[VỐN CP]]</f>
        <v>30288304.010647155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3080076.6</v>
      </c>
      <c r="F109" s="11">
        <v>1307602.2917983741</v>
      </c>
      <c r="G109" s="12">
        <f>Table52111768152229343741465158916233237[[#This Row],[LỢI NHUẬN RÒNG]]+Table52111768152229343741465158916233237[[#This Row],[VỐN CP]]</f>
        <v>17307602.291798376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1540038.3</v>
      </c>
      <c r="F110" s="11">
        <v>653801.14589918707</v>
      </c>
      <c r="G110" s="12">
        <f>Table52111768152229343741465158916233237[[#This Row],[LỢI NHUẬN RÒNG]]+Table52111768152229343741465158916233237[[#This Row],[VỐN CP]]</f>
        <v>8653801.1458991878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1739954.4</v>
      </c>
      <c r="F111" s="11">
        <v>996528.54347879067</v>
      </c>
      <c r="G111" s="12">
        <f>Table52111768152229343741465158916233237[[#This Row],[LỢI NHUẬN RÒNG]]+Table52111768152229343741465158916233237[[#This Row],[VỐN CP]]</f>
        <v>6396528.5434787907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1739954.4</v>
      </c>
      <c r="F112" s="11">
        <v>996528.54347879067</v>
      </c>
      <c r="G112" s="12">
        <f>Table52111768152229343741465158916233237[[#This Row],[LỢI NHUẬN RÒNG]]+Table52111768152229343741465158916233237[[#This Row],[VỐN CP]]</f>
        <v>6396528.5434787907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1159969.6000000001</v>
      </c>
      <c r="F113" s="11">
        <v>664352.36231919378</v>
      </c>
      <c r="G113" s="12">
        <f>Table52111768152229343741465158916233237[[#This Row],[LỢI NHUẬN RÒNG]]+Table52111768152229343741465158916233237[[#This Row],[VỐN CP]]</f>
        <v>4264352.3623191938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1159969.6000000001</v>
      </c>
      <c r="F114" s="11">
        <v>664352.36231919378</v>
      </c>
      <c r="G114" s="12">
        <f>Table52111768152229343741465158916233237[[#This Row],[LỢI NHUẬN RÒNG]]+Table52111768152229343741465158916233237[[#This Row],[VỐN CP]]</f>
        <v>4264352.3623191938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3328811.7</v>
      </c>
      <c r="F115" s="11">
        <v>1799979.9499194033</v>
      </c>
      <c r="G115" s="12">
        <f>Table52111768152229343741465158916233237[[#This Row],[LỢI NHUẬN RÒNG]]+Table52111768152229343741465158916233237[[#This Row],[VỐN CP]]</f>
        <v>12899979.949919403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3328811.7</v>
      </c>
      <c r="F116" s="11">
        <v>1799979.9499194033</v>
      </c>
      <c r="G116" s="12">
        <f>Table52111768152229343741465158916233237[[#This Row],[LỢI NHUẬN RÒNG]]+Table52111768152229343741465158916233237[[#This Row],[VỐN CP]]</f>
        <v>12899979.949919403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2219207.7999999998</v>
      </c>
      <c r="F117" s="11">
        <v>1199986.6332796023</v>
      </c>
      <c r="G117" s="12">
        <f>Table52111768152229343741465158916233237[[#This Row],[LỢI NHUẬN RÒNG]]+Table52111768152229343741465158916233237[[#This Row],[VỐN CP]]</f>
        <v>8599986.633279603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2219207.7999999998</v>
      </c>
      <c r="F118" s="11">
        <v>1199986.6332796023</v>
      </c>
      <c r="G118" s="12">
        <f>Table52111768152229343741465158916233237[[#This Row],[LỢI NHUẬN RÒNG]]+Table52111768152229343741465158916233237[[#This Row],[VỐN CP]]</f>
        <v>8599986.633279603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4239128.25</v>
      </c>
      <c r="F119" s="11">
        <v>2764507.459900558</v>
      </c>
      <c r="G119" s="12">
        <f>Table52111768152229343741465158916233237[[#This Row],[LỢI NHUẬN RÒNG]]+Table52111768152229343741465158916233237[[#This Row],[VỐN CP]]</f>
        <v>7764507.459900558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4239128.25</v>
      </c>
      <c r="F120" s="11">
        <v>2764507.459900558</v>
      </c>
      <c r="G120" s="12">
        <f>Table52111768152229343741465158916233237[[#This Row],[LỢI NHUẬN RÒNG]]+Table52111768152229343741465158916233237[[#This Row],[VỐN CP]]</f>
        <v>7764507.459900558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5086953.9000000004</v>
      </c>
      <c r="F121" s="11">
        <v>3317408.9518806697</v>
      </c>
      <c r="G121" s="12">
        <f>Table52111768152229343741465158916233237[[#This Row],[LỢI NHUẬN RÒNG]]+Table52111768152229343741465158916233237[[#This Row],[VỐN CP]]</f>
        <v>9317408.9518806692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1695651.3</v>
      </c>
      <c r="F122" s="11">
        <v>1105802.9839602232</v>
      </c>
      <c r="G122" s="12">
        <f>Table52111768152229343741465158916233237[[#This Row],[LỢI NHUẬN RÒNG]]+Table52111768152229343741465158916233237[[#This Row],[VỐN CP]]</f>
        <v>3105802.9839602234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1695651.3</v>
      </c>
      <c r="F123" s="11">
        <v>1105802.9839602232</v>
      </c>
      <c r="G123" s="12">
        <f>Table52111768152229343741465158916233237[[#This Row],[LỢI NHUẬN RÒNG]]+Table52111768152229343741465158916233237[[#This Row],[VỐN CP]]</f>
        <v>3105802.9839602234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1516548.6</v>
      </c>
      <c r="F124" s="11">
        <v>273595.94032868405</v>
      </c>
      <c r="G124" s="12">
        <f>Table52111768152229343741465158916233237[[#This Row],[LỢI NHUẬN RÒNG]]+Table52111768152229343741465158916233237[[#This Row],[VỐN CP]]</f>
        <v>5313595.9403286837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1516548.6</v>
      </c>
      <c r="F125" s="11">
        <v>273595.94032868405</v>
      </c>
      <c r="G125" s="12">
        <f>Table52111768152229343741465158916233237[[#This Row],[LỢI NHUẬN RÒNG]]+Table52111768152229343741465158916233237[[#This Row],[VỐN CP]]</f>
        <v>5313595.9403286837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1011032.4</v>
      </c>
      <c r="F126" s="11">
        <v>182397.29355245605</v>
      </c>
      <c r="G126" s="12">
        <f>Table52111768152229343741465158916233237[[#This Row],[LỢI NHUẬN RÒNG]]+Table52111768152229343741465158916233237[[#This Row],[VỐN CP]]</f>
        <v>3542397.293552456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1011032.4</v>
      </c>
      <c r="F127" s="11">
        <v>182397.29355245605</v>
      </c>
      <c r="G127" s="12">
        <f>Table52111768152229343741465158916233237[[#This Row],[LỢI NHUẬN RÒNG]]+Table52111768152229343741465158916233237[[#This Row],[VỐN CP]]</f>
        <v>3542397.293552456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4419423.4000000004</v>
      </c>
      <c r="F128" s="11">
        <v>1616890.5117778555</v>
      </c>
      <c r="G128" s="12">
        <f>Table52111768152229343741465158916233237[[#This Row],[LỢI NHUẬN RÒNG]]+Table52111768152229343741465158916233237[[#This Row],[VỐN CP]]</f>
        <v>17366890.511777855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4419423.4000000004</v>
      </c>
      <c r="F129" s="11">
        <v>1616890.5117778555</v>
      </c>
      <c r="G129" s="12">
        <f>Table52111768152229343741465158916233237[[#This Row],[LỢI NHUẬN RÒNG]]+Table52111768152229343741465158916233237[[#This Row],[VỐN CP]]</f>
        <v>17366890.511777855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2525384.7999999998</v>
      </c>
      <c r="F130" s="11">
        <v>923937.43530163169</v>
      </c>
      <c r="G130" s="12">
        <f>Table52111768152229343741465158916233237[[#This Row],[LỢI NHUẬN RÒNG]]+Table52111768152229343741465158916233237[[#This Row],[VỐN CP]]</f>
        <v>9923937.4353016317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1262692.3999999999</v>
      </c>
      <c r="F131" s="11">
        <v>461968.71765081584</v>
      </c>
      <c r="G131" s="12">
        <f>Table52111768152229343741465158916233237[[#This Row],[LỢI NHUẬN RÒNG]]+Table52111768152229343741465158916233237[[#This Row],[VỐN CP]]</f>
        <v>4961968.7176508158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2366666.666666667</v>
      </c>
      <c r="E132" s="11">
        <v>179914.13333333321</v>
      </c>
      <c r="F132" s="11">
        <v>-164751.7673747614</v>
      </c>
      <c r="G132" s="12">
        <f>Table52111768152229343741465158916233237[[#This Row],[LỢI NHUẬN RÒNG]]+Table52111768152229343741465158916233237[[#This Row],[VỐN CP]]</f>
        <v>2201914.8992919056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3550000.0000000005</v>
      </c>
      <c r="E133" s="11">
        <v>269871.19999999984</v>
      </c>
      <c r="F133" s="11">
        <v>-247127.6510621421</v>
      </c>
      <c r="G133" s="12">
        <f>Table52111768152229343741465158916233237[[#This Row],[LỢI NHUẬN RÒNG]]+Table52111768152229343741465158916233237[[#This Row],[VỐN CP]]</f>
        <v>3302872.3489378584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4733333.333333334</v>
      </c>
      <c r="E134" s="11">
        <v>359828.26666666643</v>
      </c>
      <c r="F134" s="11">
        <v>-329503.53474952281</v>
      </c>
      <c r="G134" s="12">
        <f>Table52111768152229343741465158916233237[[#This Row],[LỢI NHUẬN RÒNG]]+Table52111768152229343741465158916233237[[#This Row],[VỐN CP]]</f>
        <v>4403829.7985838111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4733333.333333334</v>
      </c>
      <c r="E135" s="11">
        <v>359828.26666666643</v>
      </c>
      <c r="F135" s="11">
        <v>-329503.53474952281</v>
      </c>
      <c r="G135" s="12">
        <f>Table52111768152229343741465158916233237[[#This Row],[LỢI NHUẬN RÒNG]]+Table52111768152229343741465158916233237[[#This Row],[VỐN CP]]</f>
        <v>4403829.7985838111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4733333.333333334</v>
      </c>
      <c r="E136" s="11">
        <v>359828.26666666643</v>
      </c>
      <c r="F136" s="11">
        <v>-329503.53474952281</v>
      </c>
      <c r="G136" s="12">
        <f>Table52111768152229343741465158916233237[[#This Row],[LỢI NHUẬN RÒNG]]+Table52111768152229343741465158916233237[[#This Row],[VỐN CP]]</f>
        <v>4403829.7985838111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3550000.0000000005</v>
      </c>
      <c r="E137" s="11">
        <v>269871.19999999984</v>
      </c>
      <c r="F137" s="11">
        <v>-247127.6510621421</v>
      </c>
      <c r="G137" s="12">
        <f>Table52111768152229343741465158916233237[[#This Row],[LỢI NHUẬN RÒNG]]+Table52111768152229343741465158916233237[[#This Row],[VỐN CP]]</f>
        <v>3302872.3489378584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1404261.4333333343</v>
      </c>
      <c r="F138" s="11">
        <v>698511.87967909279</v>
      </c>
      <c r="G138" s="12">
        <f>Table52111768152229343741465158916233237[[#This Row],[LỢI NHUẬN RÒNG]]+Table52111768152229343741465158916233237[[#This Row],[VỐN CP]]</f>
        <v>7365178.5463457592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1935074.5</v>
      </c>
      <c r="F139" s="11">
        <v>635712.65215754358</v>
      </c>
      <c r="G139" s="12">
        <f>Table52111768152229343741465158916233237[[#This Row],[LỢI NHUẬN RÒNG]]+Table52111768152229343741465158916233237[[#This Row],[VỐN CP]]</f>
        <v>6135712.6521575432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1359511.6</v>
      </c>
      <c r="F140" s="11">
        <v>182945.36508649884</v>
      </c>
      <c r="G140" s="12">
        <f>Table52111768152229343741465158916233237[[#This Row],[LỢI NHUẬN RÒNG]]+Table52111768152229343741465158916233237[[#This Row],[VỐN CP]]</f>
        <v>6645445.3650864987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3468429.9</v>
      </c>
      <c r="F141" s="11">
        <v>1741281.5191944973</v>
      </c>
      <c r="G141" s="12">
        <f>Table52111768152229343741465158916233237[[#This Row],[LỢI NHUẬN RÒNG]]+Table52111768152229343741465158916233237[[#This Row],[VỐN CP]]</f>
        <v>9961281.5191944968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3468429.9</v>
      </c>
      <c r="F142" s="11">
        <v>1741281.5191944973</v>
      </c>
      <c r="G142" s="12">
        <f>Table52111768152229343741465158916233237[[#This Row],[LỢI NHUẬN RÒNG]]+Table52111768152229343741465158916233237[[#This Row],[VỐN CP]]</f>
        <v>9961281.5191944968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4624573.2</v>
      </c>
      <c r="F143" s="11">
        <v>2321708.6922593294</v>
      </c>
      <c r="G143" s="12">
        <f>Table52111768152229343741465158916233237[[#This Row],[LỢI NHUẬN RÒNG]]+Table52111768152229343741465158916233237[[#This Row],[VỐN CP]]</f>
        <v>13281708.69225933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3503316.3</v>
      </c>
      <c r="F144" s="11">
        <v>1935823.048068577</v>
      </c>
      <c r="G144" s="12">
        <f>Table52111768152229343741465158916233237[[#This Row],[LỢI NHUẬN RÒNG]]+Table52111768152229343741465158916233237[[#This Row],[VỐN CP]]</f>
        <v>13035823.048068577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4087202.35</v>
      </c>
      <c r="F145" s="11">
        <v>2258460.222746673</v>
      </c>
      <c r="G145" s="12">
        <f>Table52111768152229343741465158916233237[[#This Row],[LỢI NHUẬN RÒNG]]+Table52111768152229343741465158916233237[[#This Row],[VỐN CP]]</f>
        <v>15208460.222746674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4087202.35</v>
      </c>
      <c r="F146" s="11">
        <v>2258460.222746673</v>
      </c>
      <c r="G146" s="12">
        <f>Table52111768152229343741465158916233237[[#This Row],[LỢI NHUẬN RÒNG]]+Table52111768152229343741465158916233237[[#This Row],[VỐN CP]]</f>
        <v>15208460.222746674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1621505.2</v>
      </c>
      <c r="F147" s="11">
        <v>484527.90121299028</v>
      </c>
      <c r="G147" s="12">
        <f>Table52111768152229343741465158916233237[[#This Row],[LỢI NHUẬN RÒNG]]+Table52111768152229343741465158916233237[[#This Row],[VỐN CP]]</f>
        <v>9817861.2345463224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810752.6</v>
      </c>
      <c r="F148" s="11">
        <v>242263.95060649514</v>
      </c>
      <c r="G148" s="12">
        <f>Table52111768152229343741465158916233237[[#This Row],[LỢI NHUẬN RÒNG]]+Table52111768152229343741465158916233237[[#This Row],[VỐN CP]]</f>
        <v>4908930.6172731612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810752.6</v>
      </c>
      <c r="F149" s="11">
        <v>242263.95060649514</v>
      </c>
      <c r="G149" s="12">
        <f>Table52111768152229343741465158916233237[[#This Row],[LỢI NHUẬN RÒNG]]+Table52111768152229343741465158916233237[[#This Row],[VỐN CP]]</f>
        <v>4908930.6172731612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810752.6</v>
      </c>
      <c r="F150" s="11">
        <v>242263.95060649514</v>
      </c>
      <c r="G150" s="12">
        <f>Table52111768152229343741465158916233237[[#This Row],[LỢI NHUẬN RÒNG]]+Table52111768152229343741465158916233237[[#This Row],[VỐN CP]]</f>
        <v>4908930.6172731612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1594506</v>
      </c>
      <c r="F151" s="11">
        <v>531162.93463458715</v>
      </c>
      <c r="G151" s="12">
        <f>Table52111768152229343741465158916233237[[#This Row],[LỢI NHUẬN RÒNG]]+Table52111768152229343741465158916233237[[#This Row],[VỐN CP]]</f>
        <v>7191162.9346345868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1594506</v>
      </c>
      <c r="F152" s="11">
        <v>531162.93463458715</v>
      </c>
      <c r="G152" s="12">
        <f>Table52111768152229343741465158916233237[[#This Row],[LỢI NHUẬN RÒNG]]+Table52111768152229343741465158916233237[[#This Row],[VỐN CP]]</f>
        <v>7191162.9346345868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1594506</v>
      </c>
      <c r="F153" s="11">
        <v>531162.93463458715</v>
      </c>
      <c r="G153" s="12">
        <f>Table52111768152229343741465158916233237[[#This Row],[LỢI NHUẬN RÒNG]]+Table52111768152229343741465158916233237[[#This Row],[VỐN CP]]</f>
        <v>7191162.9346345868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3189012</v>
      </c>
      <c r="F154" s="21">
        <v>1062325.8692691743</v>
      </c>
      <c r="G154" s="12">
        <f>Table52111768152229343741465158916233237[[#This Row],[LỢI NHUẬN RÒNG]]+Table52111768152229343741465158916233237[[#This Row],[VỐN CP]]</f>
        <v>14382325.869269174</v>
      </c>
    </row>
    <row r="155" spans="1:8" x14ac:dyDescent="0.3">
      <c r="A155" s="20"/>
      <c r="B155" s="21"/>
      <c r="C155" s="21"/>
      <c r="D155" s="21">
        <f>SUBTOTAL(109,Table52111768152229343741465158916233237[VỐN CP])</f>
        <v>17560000</v>
      </c>
      <c r="E155" s="21">
        <f>SUBTOTAL(109,Table52111768152229343741465158916233237[LỢI NHUẬN GỘP])</f>
        <v>4772380.75</v>
      </c>
      <c r="F155" s="21">
        <f>SUBTOTAL(109,Table52111768152229343741465158916233237[LỢI NHUẬN RÒNG])</f>
        <v>1375097.8233245558</v>
      </c>
      <c r="G155" s="21">
        <f>SUBTOTAL(109,Table52111768152229343741465158916233237[TỔNG NHẬN])</f>
        <v>18935097.823324554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26FB-641C-4C1E-9937-39EC4622D760}">
  <sheetPr codeName="Sheet20"/>
  <dimension ref="A1:O416"/>
  <sheetViews>
    <sheetView topLeftCell="A134" workbookViewId="0">
      <selection activeCell="F76" sqref="F76:F352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154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2469873</v>
      </c>
      <c r="F3" s="11">
        <v>1556482.5359977966</v>
      </c>
      <c r="G3" s="12">
        <f>D3+Table841419410132427323943485356714212835[[#This Row],[LỢI NHUẬN RÒNG]]</f>
        <v>9956482.5359977968</v>
      </c>
      <c r="K3" s="13" t="s">
        <v>10</v>
      </c>
      <c r="L3" s="14">
        <f>SUMIF(Table841419410132427323943485356714212835[CỔ ĐÔNG],K3,Table841419410132427323943485356714212835[VỐN CP])</f>
        <v>47288333.333333336</v>
      </c>
      <c r="M3" s="14">
        <f>SUMIF(Table841419410132427323943485356714212835[CỔ ĐÔNG],K3,Table841419410132427323943485356714212835[LỢI NHUẬN GỘP])</f>
        <v>13237449.883333333</v>
      </c>
      <c r="N3" s="14">
        <f>SUMIF(Table841419410132427323943485356714212835[CỔ ĐÔNG],K3,Table841419410132427323943485356714212835[LỢI NHUẬN RÒNG])</f>
        <v>6532847.9331808798</v>
      </c>
      <c r="O3" s="15">
        <f>SUMIF(Table841419410132427323943485356714212835[CỔ ĐÔNG],K3,Table841419410132427323943485356714212835[TỔNG NHẬN])</f>
        <v>53821181.266514204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17850000</v>
      </c>
      <c r="E4" s="11">
        <v>2076301.5</v>
      </c>
      <c r="F4" s="11">
        <v>-1551823.3615798086</v>
      </c>
      <c r="G4" s="12">
        <f>D4+Table841419410132427323943485356714212835[[#This Row],[LỢI NHUẬN RÒNG]]</f>
        <v>16298176.638420191</v>
      </c>
      <c r="K4" s="13" t="s">
        <v>9</v>
      </c>
      <c r="L4" s="14">
        <f>SUMIF(Table841419410132427323943485356714212835[CỔ ĐÔNG],K4,Table841419410132427323943485356714212835[VỐN CP])</f>
        <v>374344999.99999994</v>
      </c>
      <c r="M4" s="14">
        <f>SUMIF(Table841419410132427323943485356714212835[CỔ ĐÔNG],K4,Table841419410132427323943485356714212835[LỢI NHUẬN GỘP])</f>
        <v>127727266.28416666</v>
      </c>
      <c r="N4" s="14">
        <f>SUMIF(Table841419410132427323943485356714212835[CỔ ĐÔNG],K4,Table841419410132427323943485356714212835[LỢI NHUẬN RÒNG])</f>
        <v>62966078.388741836</v>
      </c>
      <c r="O4" s="15">
        <f>SUMIF(Table841419410132427323943485356714212835[CỔ ĐÔNG],Table951520511142528334044495457815222936[[#This Row],[CỔ ĐÔNG]],Table841419410132427323943485356714212835[TỔNG NHẬN])</f>
        <v>437311078.38874185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12799999.999999998</v>
      </c>
      <c r="E5" s="11">
        <v>4855340.5000000009</v>
      </c>
      <c r="F5" s="11">
        <v>1953340.4813369841</v>
      </c>
      <c r="G5" s="12">
        <f>D5+Table841419410132427323943485356714212835[[#This Row],[LỢI NHUẬN RÒNG]]</f>
        <v>14753340.481336983</v>
      </c>
      <c r="K5" s="13" t="s">
        <v>13</v>
      </c>
      <c r="L5" s="14">
        <f>SUMIF(Table841419410132427323943485356714212835[CỔ ĐÔNG],K5,Table841419410132427323943485356714212835[VỐN CP])</f>
        <v>63052500</v>
      </c>
      <c r="M5" s="14">
        <f>SUMIF(Table841419410132427323943485356714212835[CỔ ĐÔNG],K5,Table841419410132427323943485356714212835[LỢI NHUẬN GỘP])</f>
        <v>18667042.426666666</v>
      </c>
      <c r="N5" s="14">
        <f>SUMIF(Table841419410132427323943485356714212835[CỔ ĐÔNG],K5,Table841419410132427323943485356714212835[LỢI NHUẬN RÒNG])</f>
        <v>7366105.0280628568</v>
      </c>
      <c r="O5" s="15">
        <f>SUMIF(Table841419410132427323943485356714212835[CỔ ĐÔNG],Table951520511142528334044495457815222936[[#This Row],[CỔ ĐÔNG]],Table841419410132427323943485356714212835[TỔNG NHẬN])</f>
        <v>70418605.028062865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14340000</v>
      </c>
      <c r="E6" s="11">
        <v>7980703.7999999998</v>
      </c>
      <c r="F6" s="11">
        <v>4384506.9107302669</v>
      </c>
      <c r="G6" s="12">
        <f>D6+Table841419410132427323943485356714212835[[#This Row],[LỢI NHUẬN RÒNG]]</f>
        <v>18724506.910730265</v>
      </c>
      <c r="K6" s="13" t="s">
        <v>15</v>
      </c>
      <c r="L6" s="14">
        <f>SUMIF(Table841419410132427323943485356714212835[CỔ ĐÔNG],K6,Table841419410132427323943485356714212835[VỐN CP])</f>
        <v>27671666.666666668</v>
      </c>
      <c r="M6" s="14">
        <f>SUMIF(Table841419410132427323943485356714212835[CỔ ĐÔNG],K6,Table841419410132427323943485356714212835[LỢI NHUẬN GỘP])</f>
        <v>10922332.366666667</v>
      </c>
      <c r="N6" s="14">
        <f>SUMIF(Table841419410132427323943485356714212835[CỔ ĐÔNG],K6,Table841419410132427323943485356714212835[LỢI NHUẬN RÒNG])</f>
        <v>5714040.3541280422</v>
      </c>
      <c r="O6" s="15">
        <f>SUMIF(Table841419410132427323943485356714212835[CỔ ĐÔNG],K6,Table841419410132427323943485356714212835[TỔNG NHẬN])</f>
        <v>33385707.020794708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3750123.6</v>
      </c>
      <c r="F7" s="11">
        <v>879876.44562851195</v>
      </c>
      <c r="G7" s="12">
        <f>D7+Table841419410132427323943485356714212835[[#This Row],[LỢI NHUẬN RÒNG]]</f>
        <v>18879876.445628513</v>
      </c>
      <c r="I7" s="11"/>
      <c r="K7" s="13" t="s">
        <v>17</v>
      </c>
      <c r="L7" s="14">
        <f>SUMIF(Table841419410132427323943485356714212835[CỔ ĐÔNG],K7,Table841419410132427323943485356714212835[VỐN CP])</f>
        <v>6795000</v>
      </c>
      <c r="M7" s="14">
        <f>SUMIF(Table841419410132427323943485356714212835[CỔ ĐÔNG],K7,Table841419410132427323943485356714212835[LỢI NHUẬN GỘP])</f>
        <v>3004653.55</v>
      </c>
      <c r="N7" s="14">
        <f>SUMIF(Table841419410132427323943485356714212835[CỔ ĐÔNG],K7,Table841419410132427323943485356714212835[LỢI NHUẬN RÒNG])</f>
        <v>1797296.2855068655</v>
      </c>
      <c r="O7" s="15">
        <f>SUMIF(Table841419410132427323943485356714212835[CỔ ĐÔNG],Table951520511142528334044495457815222936[[#This Row],[CỔ ĐÔNG]],Table841419410132427323943485356714212835[TỔNG NHẬN])</f>
        <v>8592296.285506865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9500000</v>
      </c>
      <c r="E8" s="11">
        <v>3067674.4041666668</v>
      </c>
      <c r="F8" s="11">
        <v>1910980.2091569568</v>
      </c>
      <c r="G8" s="12">
        <f>D8+Table841419410132427323943485356714212835[[#This Row],[LỢI NHUẬN RÒNG]]</f>
        <v>11410980.209156957</v>
      </c>
      <c r="K8" s="13" t="s">
        <v>19</v>
      </c>
      <c r="L8" s="14">
        <f>SUMIF(Table841419410132427323943485356714212835[CỔ ĐÔNG],K8,Table841419410132427323943485356714212835[VỐN CP])</f>
        <v>390366666.66666669</v>
      </c>
      <c r="M8" s="14">
        <f>SUMIF(Table841419410132427323943485356714212835[CỔ ĐÔNG],K8,Table841419410132427323943485356714212835[LỢI NHUẬN GỘP])</f>
        <v>130872374.00833337</v>
      </c>
      <c r="N8" s="14">
        <f>SUMIF(Table841419410132427323943485356714212835[CỔ ĐÔNG],K8,Table841419410132427323943485356714212835[LỢI NHUẬN RÒNG])</f>
        <v>58390171.539357185</v>
      </c>
      <c r="O8" s="15">
        <f>SUMIF(Table841419410132427323943485356714212835[CỔ ĐÔNG],Table951520511142528334044495457815222936[[#This Row],[CỔ ĐÔNG]],Table841419410132427323943485356714212835[TỔNG NHẬN])</f>
        <v>448756838.20602399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2435324.1999999993</v>
      </c>
      <c r="F9" s="11">
        <v>633139.82062218152</v>
      </c>
      <c r="G9" s="12">
        <f>D9+Table841419410132427323943485356714212835[[#This Row],[LỢI NHUẬN RÒNG]]</f>
        <v>9633139.8206221815</v>
      </c>
      <c r="K9" s="13" t="s">
        <v>21</v>
      </c>
      <c r="L9" s="14">
        <f>SUMIF(Table841419410132427323943485356714212835[CỔ ĐÔNG],K9,Table841419410132427323943485356714212835[VỐN CP])</f>
        <v>345311666.66666669</v>
      </c>
      <c r="M9" s="14">
        <f>SUMIF(Table841419410132427323943485356714212835[CỔ ĐÔNG],K9,Table841419410132427323943485356714212835[LỢI NHUẬN GỘP])</f>
        <v>113569084.89583331</v>
      </c>
      <c r="N9" s="14">
        <f>SUMIF(Table841419410132427323943485356714212835[CỔ ĐÔNG],K9,Table841419410132427323943485356714212835[LỢI NHUẬN RÒNG])</f>
        <v>55363777.097350053</v>
      </c>
      <c r="O9" s="15">
        <f>SUMIF(Table841419410132427323943485356714212835[CỔ ĐÔNG],Table951520511142528334044495457815222936[[#This Row],[CỔ ĐÔNG]],Table841419410132427323943485356714212835[TỔNG NHẬN])</f>
        <v>400675443.76401663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312518.5</v>
      </c>
      <c r="F10" s="11">
        <v>-801297.51766578481</v>
      </c>
      <c r="G10" s="12">
        <f>D10+Table841419410132427323943485356714212835[[#This Row],[LỢI NHUẬN RÒNG]]</f>
        <v>4698702.4823342152</v>
      </c>
      <c r="I10" s="11"/>
      <c r="K10" s="13" t="s">
        <v>23</v>
      </c>
      <c r="L10" s="14">
        <f>SUMIF(Table841419410132427323943485356714212835[CỔ ĐÔNG],K10,Table841419410132427323943485356714212835[VỐN CP])</f>
        <v>35435000</v>
      </c>
      <c r="M10" s="14">
        <f>SUMIF(Table841419410132427323943485356714212835[CỔ ĐÔNG],K10,Table841419410132427323943485356714212835[LỢI NHUẬN GỘP])</f>
        <v>12084864.550000001</v>
      </c>
      <c r="N10" s="14">
        <f>SUMIF(Table841419410132427323943485356714212835[CỔ ĐÔNG],K10,Table841419410132427323943485356714212835[LỢI NHUẬN RÒNG])</f>
        <v>6183736.9598906357</v>
      </c>
      <c r="O10" s="15">
        <f>SUMIF(Table841419410132427323943485356714212835[CỔ ĐÔNG],Table951520511142528334044495457815222936[[#This Row],[CỔ ĐÔNG]],Table841419410132427323943485356714212835[TỔNG NHẬN])</f>
        <v>41618736.959890634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4368567.0666666655</v>
      </c>
      <c r="F11" s="11">
        <v>2481324.6759932549</v>
      </c>
      <c r="G11" s="12">
        <f>D11+Table841419410132427323943485356714212835[[#This Row],[LỢI NHUẬN RÒNG]]</f>
        <v>17261324.675993256</v>
      </c>
      <c r="K11" s="13" t="s">
        <v>25</v>
      </c>
      <c r="L11" s="14">
        <f>SUMIF(Table841419410132427323943485356714212835[CỔ ĐÔNG],K11,Table841419410132427323943485356714212835[VỐN CP])</f>
        <v>96430833.333333328</v>
      </c>
      <c r="M11" s="14">
        <f>SUMIF(Table841419410132427323943485356714212835[CỔ ĐÔNG],K11,Table841419410132427323943485356714212835[LỢI NHUẬN GỘP])</f>
        <v>35411104.143333338</v>
      </c>
      <c r="N11" s="14">
        <f>SUMIF(Table841419410132427323943485356714212835[CỔ ĐÔNG],K11,Table841419410132427323943485356714212835[LỢI NHUẬN RÒNG])</f>
        <v>20634239.292271543</v>
      </c>
      <c r="O11" s="15">
        <f>SUMIF(Table841419410132427323943485356714212835[CỔ ĐÔNG],Table951520511142528334044495457815222936[[#This Row],[CỔ ĐÔNG]],Table841419410132427323943485356714212835[TỔNG NHẬN])</f>
        <v>117065072.6256049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7034298.5999999996</v>
      </c>
      <c r="F12" s="11">
        <v>3124847.8114272999</v>
      </c>
      <c r="G12" s="12">
        <f>D12+Table841419410132427323943485356714212835[[#This Row],[LỢI NHUẬN RÒNG]]</f>
        <v>16954847.811427299</v>
      </c>
      <c r="K12" s="13" t="s">
        <v>27</v>
      </c>
      <c r="L12" s="14">
        <f>SUMIF(Table841419410132427323943485356714212835[CỔ ĐÔNG],K12,Table841419410132427323943485356714212835[VỐN CP])</f>
        <v>79870000</v>
      </c>
      <c r="M12" s="14">
        <f>SUMIF(Table841419410132427323943485356714212835[CỔ ĐÔNG],K12,Table841419410132427323943485356714212835[LỢI NHUẬN GỘP])</f>
        <v>19932194.274999999</v>
      </c>
      <c r="N12" s="14">
        <f>SUMIF(Table841419410132427323943485356714212835[CỔ ĐÔNG],K12,Table841419410132427323943485356714212835[LỢI NHUẬN RÒNG])</f>
        <v>6822399.7975132968</v>
      </c>
      <c r="O12" s="15">
        <f>SUMIF(Table841419410132427323943485356714212835[CỔ ĐÔNG],Table951520511142528334044495457815222936[[#This Row],[CỔ ĐÔNG]],Table841419410132427323943485356714212835[TỔNG NHẬN])</f>
        <v>86692399.797513291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SUMIF(Table841419410132427323943485356714212835[CỔ ĐÔNG],K13,Table841419410132427323943485356714212835[VỐN CP])</f>
        <v>38848333.333333328</v>
      </c>
      <c r="M13" s="14">
        <f>SUMIF(Table841419410132427323943485356714212835[CỔ ĐÔNG],K13,Table841419410132427323943485356714212835[LỢI NHUẬN GỘP])</f>
        <v>15187438.33333333</v>
      </c>
      <c r="N13" s="14">
        <f>SUMIF(Table841419410132427323943485356714212835[CỔ ĐÔNG],K13,Table841419410132427323943485356714212835[LỢI NHUẬN RÒNG])</f>
        <v>7591662.3601048291</v>
      </c>
      <c r="O13" s="15">
        <f>SUMIF(Table841419410132427323943485356714212835[CỔ ĐÔNG],Table951520511142528334044495457815222936[[#This Row],[CỔ ĐÔNG]],Table841419410132427323943485356714212835[TỔNG NHẬN])</f>
        <v>46439995.693438165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20000000</v>
      </c>
      <c r="E14" s="11">
        <v>10509622.800000001</v>
      </c>
      <c r="F14" s="11">
        <v>5544890.3945961716</v>
      </c>
      <c r="G14" s="12">
        <f>D14+Table841419410132427323943485356714212835[[#This Row],[LỢI NHUẬN RÒNG]]</f>
        <v>25544890.394596171</v>
      </c>
      <c r="K14" s="13" t="s">
        <v>31</v>
      </c>
      <c r="L14" s="14">
        <f>SUMIF(Table841419410132427323943485356714212835[CỔ ĐÔNG],K14,Table841419410132427323943485356714212835[VỐN CP])</f>
        <v>145201666.66666666</v>
      </c>
      <c r="M14" s="14">
        <f>SUMIF(Table841419410132427323943485356714212835[CỔ ĐÔNG],K14,Table841419410132427323943485356714212835[LỢI NHUẬN GỘP])</f>
        <v>50465819.999999985</v>
      </c>
      <c r="N14" s="14">
        <f>SUMIF(Table841419410132427323943485356714212835[CỔ ĐÔNG],K14,Table841419410132427323943485356714212835[LỢI NHUẬN RÒNG])</f>
        <v>24383366.857795302</v>
      </c>
      <c r="O14" s="15">
        <f>SUMIF(Table841419410132427323943485356714212835[CỔ ĐÔNG],Table951520511142528334044495457815222936[[#This Row],[CỔ ĐÔNG]],Table841419410132427323943485356714212835[TỔNG NHẬN])</f>
        <v>169585033.52446198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3484464.3</v>
      </c>
      <c r="F15" s="11">
        <v>1860487.6779865378</v>
      </c>
      <c r="G15" s="12">
        <f>D15+Table841419410132427323943485356714212835[[#This Row],[LỢI NHUẬN RÒNG]]</f>
        <v>11010487.677986538</v>
      </c>
      <c r="K15" s="13" t="s">
        <v>33</v>
      </c>
      <c r="L15" s="14">
        <f>SUMIF(Table841419410132427323943485356714212835[CỔ ĐÔNG],K15,Table841419410132427323943485356714212835[VỐN CP])</f>
        <v>61358333.333333336</v>
      </c>
      <c r="M15" s="14">
        <f>SUMIF(Table841419410132427323943485356714212835[CỔ ĐÔNG],K15,Table841419410132427323943485356714212835[LỢI NHUẬN GỘP])</f>
        <v>22051569.383333333</v>
      </c>
      <c r="N15" s="14">
        <f>SUMIF(Table841419410132427323943485356714212835[CỔ ĐÔNG],K15,Table841419410132427323943485356714212835[LỢI NHUẬN RÒNG])</f>
        <v>11933983.594961217</v>
      </c>
      <c r="O15" s="15">
        <f>SUMIF(Table841419410132427323943485356714212835[CỔ ĐÔNG],Table951520511142528334044495457815222936[[#This Row],[CỔ ĐÔNG]],Table841419410132427323943485356714212835[TỔNG NHẬN])</f>
        <v>73292316.928294539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2277247.2000000002</v>
      </c>
      <c r="F16" s="11">
        <v>1509053.6451266303</v>
      </c>
      <c r="G16" s="12">
        <f>D16+Table841419410132427323943485356714212835[[#This Row],[LỢI NHUẬN RÒNG]]</f>
        <v>7669053.6451266306</v>
      </c>
      <c r="K16" s="13" t="s">
        <v>35</v>
      </c>
      <c r="L16" s="14">
        <f>SUMIF(Table841419410132427323943485356714212835[CỔ ĐÔNG],K16,Table841419410132427323943485356714212835[VỐN CP])</f>
        <v>51196666.666666672</v>
      </c>
      <c r="M16" s="14">
        <f>SUMIF(Table841419410132427323943485356714212835[CỔ ĐÔNG],K16,Table841419410132427323943485356714212835[LỢI NHUẬN GỘP])</f>
        <v>17524156.433333334</v>
      </c>
      <c r="N16" s="14">
        <f>SUMIF(Table841419410132427323943485356714212835[CỔ ĐÔNG],K16,Table841419410132427323943485356714212835[LỢI NHUẬN RÒNG])</f>
        <v>9012160.1888568569</v>
      </c>
      <c r="O16" s="15">
        <f>SUMIF(Table841419410132427323943485356714212835[CỔ ĐÔNG],Table951520511142528334044495457815222936[[#This Row],[CỔ ĐÔNG]],Table841419410132427323943485356714212835[TỔNG NHẬN])</f>
        <v>60208826.855523527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2491139.2000000002</v>
      </c>
      <c r="F17" s="11">
        <v>1645865.4421419115</v>
      </c>
      <c r="G17" s="12">
        <f>D17+Table841419410132427323943485356714212835[[#This Row],[LỢI NHUẬN RÒNG]]</f>
        <v>10645865.442141911</v>
      </c>
      <c r="K17" s="16" t="s">
        <v>37</v>
      </c>
      <c r="L17" s="17">
        <f>SUMIF(Table841419410132427323943485356714212835[CỔ ĐÔNG],K17,Table841419410132427323943485356714212835[VỐN CP])</f>
        <v>159585000</v>
      </c>
      <c r="M17" s="17">
        <f>SUMIF(Table841419410132427323943485356714212835[CỔ ĐÔNG],K17,Table841419410132427323943485356714212835[LỢI NHUẬN GỘP])</f>
        <v>54891204.233333327</v>
      </c>
      <c r="N17" s="17">
        <f>SUMIF(Table841419410132427323943485356714212835[CỔ ĐÔNG],K17,Table841419410132427323943485356714212835[LỢI NHUẬN RÒNG])</f>
        <v>29531218.216667071</v>
      </c>
      <c r="O17" s="15">
        <f>SUMIF(Table841419410132427323943485356714212835[CỔ ĐÔNG],Table951520511142528334044495457815222936[[#This Row],[CỔ ĐÔNG]],Table841419410132427323943485356714212835[TỔNG NHẬN])</f>
        <v>189116218.21666706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2773533.4</v>
      </c>
      <c r="F18" s="11">
        <v>2133819.2006139681</v>
      </c>
      <c r="G18" s="12">
        <f>D18+Table841419410132427323943485356714212835[[#This Row],[LỢI NHUẬN RÒNG]]</f>
        <v>7133819.2006139681</v>
      </c>
      <c r="K18" s="13" t="s">
        <v>39</v>
      </c>
      <c r="L18" s="17">
        <f>SUMIF(Table841419410132427323943485356714212835[CỔ ĐÔNG],K18,Table841419410132427323943485356714212835[VỐN CP])</f>
        <v>1583333.3333333335</v>
      </c>
      <c r="M18" s="17">
        <f>SUMIF(Table841419410132427323943485356714212835[CỔ ĐÔNG],K18,Table841419410132427323943485356714212835[LỢI NHUẬN GỘP])</f>
        <v>1122654.5166666664</v>
      </c>
      <c r="N18" s="17">
        <f>SUMIF(Table841419410132427323943485356714212835[CỔ ĐÔNG],K18,Table841419410132427323943485356714212835[LỢI NHUẬN RÒNG])</f>
        <v>753757.21898363531</v>
      </c>
      <c r="O18" s="15">
        <f>SUMIF(Table841419410132427323943485356714212835[CỔ ĐÔNG],Table951520511142528334044495457815222936[[#This Row],[CỔ ĐÔNG]],Table841419410132427323943485356714212835[TỔNG NHẬN])</f>
        <v>2337090.5523169688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1351451.4</v>
      </c>
      <c r="F19" s="11">
        <v>817553.20662635833</v>
      </c>
      <c r="G19" s="12">
        <f>D19+Table841419410132427323943485356714212835[[#This Row],[LỢI NHUẬN RÒNG]]</f>
        <v>1917553.2066263584</v>
      </c>
      <c r="I19" s="11"/>
      <c r="K19" s="13" t="s">
        <v>41</v>
      </c>
      <c r="L19" s="17">
        <f>SUMIF(Table841419410132427323943485356714212835[CỔ ĐÔNG],K19,Table841419410132427323943485356714212835[VỐN CP])</f>
        <v>2533333.3333333335</v>
      </c>
      <c r="M19" s="17">
        <f>SUMIF(Table841419410132427323943485356714212835[CỔ ĐÔNG],K19,Table841419410132427323943485356714212835[LỢI NHUẬN GỘP])</f>
        <v>1712920.0166666664</v>
      </c>
      <c r="N19" s="17">
        <f>SUMIF(Table841419410132427323943485356714212835[CỔ ĐÔNG],K19,Table841419410132427323943485356714212835[LỢI NHUẬN RÒNG])</f>
        <v>1060008.7131477413</v>
      </c>
      <c r="O19" s="15">
        <f>SUMIF(Table841419410132427323943485356714212835[CỔ ĐÔNG],Table951520511142528334044495457815222936[[#This Row],[CỔ ĐÔNG]],Table841419410132427323943485356714212835[TỔNG NHẬN])</f>
        <v>3593342.0464810748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705678</v>
      </c>
      <c r="F20" s="11">
        <v>444709.29599937052</v>
      </c>
      <c r="G20" s="12">
        <f>D20+Table841419410132427323943485356714212835[[#This Row],[LỢI NHUẬN RÒNG]]</f>
        <v>2844709.2959993705</v>
      </c>
      <c r="K20" s="13" t="s">
        <v>42</v>
      </c>
      <c r="L20" s="17">
        <f>SUMIF(Table841419410132427323943485356714212835[CỔ ĐÔNG],K20,Table841419410132427323943485356714212835[VỐN CP])</f>
        <v>2083333.3333333335</v>
      </c>
      <c r="M20" s="17">
        <f>SUMIF(Table841419410132427323943485356714212835[CỔ ĐÔNG],K20,Table841419410132427323943485356714212835[LỢI NHUẬN GỘP])</f>
        <v>1526262.8666666662</v>
      </c>
      <c r="N20" s="17">
        <f>SUMIF(Table841419410132427323943485356714212835[CỔ ĐÔNG],K20,Table841419410132427323943485356714212835[LỢI NHUẬN RÒNG])</f>
        <v>928480.7157832511</v>
      </c>
      <c r="O20" s="15">
        <f>SUMIF(Table841419410132427323943485356714212835[CỔ ĐÔNG],Table951520511142528334044495457815222936[[#This Row],[CỔ ĐÔNG]],Table841419410132427323943485356714212835[TỔNG NHẬN])</f>
        <v>3011814.0491165845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5100000</v>
      </c>
      <c r="E21" s="11">
        <v>593229</v>
      </c>
      <c r="F21" s="11">
        <v>-443378.10330851673</v>
      </c>
      <c r="G21" s="12">
        <f>D21+Table841419410132427323943485356714212835[[#This Row],[LỢI NHUẬN RÒNG]]</f>
        <v>4656621.8966914834</v>
      </c>
      <c r="K21" s="13" t="s">
        <v>43</v>
      </c>
      <c r="L21" s="17">
        <f>SUMIF(Table841419410132427323943485356714212835[CỔ ĐÔNG],K21,Table841419410132427323943485356714212835[VỐN CP])</f>
        <v>90068333.333333343</v>
      </c>
      <c r="M21" s="17">
        <f>SUMIF(Table841419410132427323943485356714212835[CỔ ĐÔNG],K21,Table841419410132427323943485356714212835[LỢI NHUẬN GỘP])</f>
        <v>30994723.249999993</v>
      </c>
      <c r="N21" s="17">
        <f>SUMIF(Table841419410132427323943485356714212835[CỔ ĐÔNG],K21,Table841419410132427323943485356714212835[LỢI NHUẬN RÒNG])</f>
        <v>18016901.448544726</v>
      </c>
      <c r="O21" s="15">
        <f>SUMIF(Table841419410132427323943485356714212835[CỔ ĐÔNG],Table951520511142528334044495457815222936[[#This Row],[CỔ ĐÔNG]],Table841419410132427323943485356714212835[TỔNG NHẬN])</f>
        <v>108085234.78187805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4266666.666666666</v>
      </c>
      <c r="E22" s="18">
        <v>1618446.8333333337</v>
      </c>
      <c r="F22" s="18">
        <v>651113.49377899466</v>
      </c>
      <c r="G22" s="12">
        <f>D22+Table841419410132427323943485356714212835[[#This Row],[LỢI NHUẬN RÒNG]]</f>
        <v>4917780.1604456604</v>
      </c>
      <c r="K22" s="13" t="s">
        <v>44</v>
      </c>
      <c r="L22" s="17">
        <f>SUMIF(Table841419410132427323943485356714212835[CỔ ĐÔNG],K22,Table841419410132427323943485356714212835[VỐN CP])</f>
        <v>4700000</v>
      </c>
      <c r="M22" s="17">
        <f>SUMIF(Table841419410132427323943485356714212835[CỔ ĐÔNG],K22,Table841419410132427323943485356714212835[LỢI NHUẬN GỘP])</f>
        <v>2738997.2666666666</v>
      </c>
      <c r="N22" s="17">
        <f>SUMIF(Table841419410132427323943485356714212835[CỔ ĐÔNG],K22,Table841419410132427323943485356714212835[LỢI NHUẬN RÒNG])</f>
        <v>1440787.4573547335</v>
      </c>
      <c r="O22" s="15">
        <f>SUMIF(Table841419410132427323943485356714212835[CỔ ĐÔNG],Table951520511142528334044495457815222936[[#This Row],[CỔ ĐÔNG]],Table841419410132427323943485356714212835[TỔNG NHẬN])</f>
        <v>6140787.4573547337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4780000</v>
      </c>
      <c r="E23" s="11">
        <v>2660234.6</v>
      </c>
      <c r="F23" s="11">
        <v>1461502.3035767556</v>
      </c>
      <c r="G23" s="12">
        <f>D23+Table841419410132427323943485356714212835[[#This Row],[LỢI NHUẬN RÒNG]]</f>
        <v>6241502.3035767553</v>
      </c>
      <c r="K23" s="13" t="s">
        <v>45</v>
      </c>
      <c r="L23" s="17">
        <f>SUMIF(Table841419410132427323943485356714212835[CỔ ĐÔNG],K23,Table841419410132427323943485356714212835[VỐN CP])</f>
        <v>12925000</v>
      </c>
      <c r="M23" s="17">
        <f>SUMIF(Table841419410132427323943485356714212835[CỔ ĐÔNG],K23,Table841419410132427323943485356714212835[LỢI NHUẬN GỘP])</f>
        <v>4847249.25</v>
      </c>
      <c r="N23" s="17">
        <f>SUMIF(Table841419410132427323943485356714212835[CỔ ĐÔNG],K23,Table841419410132427323943485356714212835[LỢI NHUẬN RÒNG])</f>
        <v>2378482.4508491536</v>
      </c>
      <c r="O23" s="15">
        <f>SUMIF(Table841419410132427323943485356714212835[CỔ ĐÔNG],Table951520511142528334044495457815222936[[#This Row],[CỔ ĐÔNG]],Table841419410132427323943485356714212835[TỔNG NHẬN])</f>
        <v>15303482.450849155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2469873</v>
      </c>
      <c r="F24" s="11">
        <v>1556482.5359977966</v>
      </c>
      <c r="G24" s="12">
        <f>D24+Table841419410132427323943485356714212835[[#This Row],[LỢI NHUẬN RÒNG]]</f>
        <v>9956482.5359977968</v>
      </c>
      <c r="K24" s="13" t="s">
        <v>46</v>
      </c>
      <c r="L24" s="17">
        <f>SUMIF(Table841419410132427323943485356714212835[CỔ ĐÔNG],K24,Table841419410132427323943485356714212835[VỐN CP])</f>
        <v>13350000</v>
      </c>
      <c r="M24" s="17">
        <f>SUMIF(Table841419410132427323943485356714212835[CỔ ĐÔNG],K24,Table841419410132427323943485356714212835[LỢI NHUẬN GỘP])</f>
        <v>4247626.1500000004</v>
      </c>
      <c r="N24" s="17">
        <f>SUMIF(Table841419410132427323943485356714212835[CỔ ĐÔNG],K24,Table841419410132427323943485356714212835[LỢI NHUẬN RÒNG])</f>
        <v>2006542.8140451438</v>
      </c>
      <c r="O24" s="15">
        <f>SUMIF(Table841419410132427323943485356714212835[CỔ ĐÔNG],Table951520511142528334044495457815222936[[#This Row],[CỔ ĐÔNG]],Table841419410132427323943485356714212835[TỔNG NHẬN])</f>
        <v>15356542.814045142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17850000</v>
      </c>
      <c r="E25" s="11">
        <v>2076301.5</v>
      </c>
      <c r="F25" s="11">
        <v>-1551823.3615798086</v>
      </c>
      <c r="G25" s="12">
        <f>D25+Table841419410132427323943485356714212835[[#This Row],[LỢI NHUẬN RÒNG]]</f>
        <v>16298176.638420191</v>
      </c>
      <c r="K25" s="13" t="s">
        <v>47</v>
      </c>
      <c r="L25" s="14">
        <f>SUM(L2:L24)</f>
        <v>2049999999.9999995</v>
      </c>
      <c r="M25" s="14">
        <f>SUM(M2:M24)</f>
        <v>692738988.08333313</v>
      </c>
      <c r="N25" s="14">
        <f>SUM(N2:N24)</f>
        <v>340808044.71309686</v>
      </c>
      <c r="O25" s="14">
        <f>SUM(O2:O24)</f>
        <v>2390808044.7130966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12799999.999999998</v>
      </c>
      <c r="E26" s="11">
        <v>4855340.5000000009</v>
      </c>
      <c r="F26" s="11">
        <v>1953340.4813369841</v>
      </c>
      <c r="G26" s="12">
        <f>D26+Table841419410132427323943485356714212835[[#This Row],[LỢI NHUẬN RÒNG]]</f>
        <v>14753340.481336983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14340000</v>
      </c>
      <c r="E27" s="11">
        <v>7980703.7999999998</v>
      </c>
      <c r="F27" s="11">
        <v>4384506.9107302669</v>
      </c>
      <c r="G27" s="12">
        <f>D27+Table841419410132427323943485356714212835[[#This Row],[LỢI NHUẬN RÒNG]]</f>
        <v>18724506.910730265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3750123.6</v>
      </c>
      <c r="F28" s="11">
        <v>879876.44562851195</v>
      </c>
      <c r="G28" s="12">
        <f>D28+Table841419410132427323943485356714212835[[#This Row],[LỢI NHUẬN RÒNG]]</f>
        <v>18879876.445628513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11400000</v>
      </c>
      <c r="E29" s="11">
        <v>3681209.2850000001</v>
      </c>
      <c r="F29" s="11">
        <v>2293176.2509883479</v>
      </c>
      <c r="G29" s="12">
        <f>D29+Table841419410132427323943485356714212835[[#This Row],[LỢI NHUẬN RÒNG]]</f>
        <v>13693176.250988347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2922389.0399999986</v>
      </c>
      <c r="F30" s="11">
        <v>759767.78474661778</v>
      </c>
      <c r="G30" s="12">
        <f>D30+Table841419410132427323943485356714212835[[#This Row],[LỢI NHUẬN RÒNG]]</f>
        <v>11559767.784746617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250014.8</v>
      </c>
      <c r="F31" s="11">
        <v>-641038.01413262787</v>
      </c>
      <c r="G31" s="12">
        <f>D31+Table841419410132427323943485356714212835[[#This Row],[LỢI NHUẬN RÒNG]]</f>
        <v>3758961.9858673722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5460708.8333333321</v>
      </c>
      <c r="F32" s="11">
        <v>3101655.8449915685</v>
      </c>
      <c r="G32" s="12">
        <f>D32+Table841419410132427323943485356714212835[[#This Row],[LỢI NHUẬN RÒNG]]</f>
        <v>21576655.844991568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9379064.8000000007</v>
      </c>
      <c r="F33" s="11">
        <v>4166463.748569733</v>
      </c>
      <c r="G33" s="12">
        <f>D33+Table841419410132427323943485356714212835[[#This Row],[LỢI NHUẬN RÒNG]]</f>
        <v>22606463.748569734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25000000</v>
      </c>
      <c r="E35" s="11">
        <v>13137028.5</v>
      </c>
      <c r="F35" s="11">
        <v>6931112.9932452142</v>
      </c>
      <c r="G35" s="12">
        <f>D35+Table841419410132427323943485356714212835[[#This Row],[LỢI NHUẬN RÒNG]]</f>
        <v>31931112.993245214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4645952.4000000004</v>
      </c>
      <c r="F36" s="11">
        <v>2480650.2373153837</v>
      </c>
      <c r="G36" s="12">
        <f>D36+Table841419410132427323943485356714212835[[#This Row],[LỢI NHUẬN RÒNG]]</f>
        <v>14680650.237315383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1138623.6000000001</v>
      </c>
      <c r="F37" s="11">
        <v>754526.82256331516</v>
      </c>
      <c r="G37" s="12">
        <f>D37+Table841419410132427323943485356714212835[[#This Row],[LỢI NHUẬN RÒNG]]</f>
        <v>3834526.8225633153</v>
      </c>
      <c r="L37" s="11">
        <f>N25+'Tháng 1 nhà T  '!N17</f>
        <v>618076704.1628232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2491139.2000000002</v>
      </c>
      <c r="F38" s="11">
        <v>1645865.4421419115</v>
      </c>
      <c r="G38" s="12">
        <f>D38+Table841419410132427323943485356714212835[[#This Row],[LỢI NHUẬN RÒNG]]</f>
        <v>10645865.442141911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2773533.4</v>
      </c>
      <c r="F39" s="11">
        <v>2133819.2006139681</v>
      </c>
      <c r="G39" s="12">
        <f>D39+Table841419410132427323943485356714212835[[#This Row],[LỢI NHUẬN RÒNG]]</f>
        <v>7133819.2006139681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1351451.4</v>
      </c>
      <c r="F40" s="11">
        <v>817553.20662635833</v>
      </c>
      <c r="G40" s="12">
        <f>D40+Table841419410132427323943485356714212835[[#This Row],[LỢI NHUẬN RÒNG]]</f>
        <v>1917553.2066263584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1411356</v>
      </c>
      <c r="F41" s="11">
        <v>889418.59199874103</v>
      </c>
      <c r="G41" s="12">
        <f>D41+Table841419410132427323943485356714212835[[#This Row],[LỢI NHUẬN RÒNG]]</f>
        <v>5689418.591998741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5100000</v>
      </c>
      <c r="E42" s="11">
        <v>593229</v>
      </c>
      <c r="F42" s="11">
        <v>-443378.10330851673</v>
      </c>
      <c r="G42" s="12">
        <f>D42+Table841419410132427323943485356714212835[[#This Row],[LỢI NHUẬN RÒNG]]</f>
        <v>4656621.8966914834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4780000</v>
      </c>
      <c r="E43" s="11">
        <v>2660234.6</v>
      </c>
      <c r="F43" s="11">
        <v>1461502.3035767556</v>
      </c>
      <c r="G43" s="12">
        <f>D43+Table841419410132427323943485356714212835[[#This Row],[LỢI NHUẬN RÒNG]]</f>
        <v>6241502.3035767553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1875061.8</v>
      </c>
      <c r="F44" s="11">
        <v>439938.22281425598</v>
      </c>
      <c r="G44" s="12">
        <f>D44+Table841419410132427323943485356714212835[[#This Row],[LỢI NHUẬN RÒNG]]</f>
        <v>9439938.2228142563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5700000</v>
      </c>
      <c r="E45" s="11">
        <v>1840604.6425000001</v>
      </c>
      <c r="F45" s="11">
        <v>1146588.125494174</v>
      </c>
      <c r="G45" s="12">
        <f>D45+Table841419410132427323943485356714212835[[#This Row],[LỢI NHUẬN RÒNG]]</f>
        <v>6846588.1254941737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1461194.5199999993</v>
      </c>
      <c r="F46" s="11">
        <v>379883.89237330889</v>
      </c>
      <c r="G46" s="12">
        <f>D46+Table841419410132427323943485356714212835[[#This Row],[LỢI NHUẬN RÒNG]]</f>
        <v>5779883.8923733085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187511.1</v>
      </c>
      <c r="F47" s="11">
        <v>-480778.51059947087</v>
      </c>
      <c r="G47" s="12">
        <f>D47+Table841419410132427323943485356714212835[[#This Row],[LỢI NHUẬN RÒNG]]</f>
        <v>2819221.4894005293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3276425.2999999993</v>
      </c>
      <c r="F48" s="11">
        <v>1860993.5069949413</v>
      </c>
      <c r="G48" s="12">
        <f>D48+Table841419410132427323943485356714212835[[#This Row],[LỢI NHUẬN RÒNG]]</f>
        <v>12945993.50699494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7034298.5999999996</v>
      </c>
      <c r="F49" s="11">
        <v>3124847.8114272999</v>
      </c>
      <c r="G49" s="12">
        <f>D49+Table841419410132427323943485356714212835[[#This Row],[LỢI NHUẬN RÒNG]]</f>
        <v>16954847.811427299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6968928.5999999996</v>
      </c>
      <c r="F51" s="11">
        <v>3720975.3559730756</v>
      </c>
      <c r="G51" s="12">
        <f>D51+Table841419410132427323943485356714212835[[#This Row],[LỢI NHUẬN RÒNG]]</f>
        <v>22020975.355973076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2277247.2000000002</v>
      </c>
      <c r="F52" s="11">
        <v>1509053.6451266303</v>
      </c>
      <c r="G52" s="12">
        <f>D52+Table841419410132427323943485356714212835[[#This Row],[LỢI NHUẬN RÒNG]]</f>
        <v>7669053.6451266306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3736708.8</v>
      </c>
      <c r="F53" s="11">
        <v>2468798.163212867</v>
      </c>
      <c r="G53" s="12">
        <f>D53+Table841419410132427323943485356714212835[[#This Row],[LỢI NHUẬN RÒNG]]</f>
        <v>15968798.163212867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4160300.1</v>
      </c>
      <c r="F54" s="11">
        <v>3200728.8009209521</v>
      </c>
      <c r="G54" s="12">
        <f>D54+Table841419410132427323943485356714212835[[#This Row],[LỢI NHUẬN RÒNG]]</f>
        <v>10700728.800920952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4054354.2</v>
      </c>
      <c r="F55" s="11">
        <v>2452659.6198790749</v>
      </c>
      <c r="G55" s="12">
        <f>D55+Table841419410132427323943485356714212835[[#This Row],[LỢI NHUẬN RÒNG]]</f>
        <v>5752659.6198790744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4266666.666666666</v>
      </c>
      <c r="E56" s="18">
        <v>1618446.8333333337</v>
      </c>
      <c r="F56" s="18">
        <v>651113.49377899466</v>
      </c>
      <c r="G56" s="12">
        <f>D56+Table841419410132427323943485356714212835[[#This Row],[LỢI NHUẬN RÒNG]]</f>
        <v>4917780.1604456604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1138623.6000000001</v>
      </c>
      <c r="F57" s="11">
        <v>754526.82256331516</v>
      </c>
      <c r="G57" s="12">
        <f>D57+Table841419410132427323943485356714212835[[#This Row],[LỢI NHUẬN RÒNG]]</f>
        <v>3834526.8225633153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622784.80000000005</v>
      </c>
      <c r="F58" s="11">
        <v>411466.36053547787</v>
      </c>
      <c r="G58" s="12">
        <f>D58+Table841419410132427323943485356714212835[[#This Row],[LỢI NHUẬN RÒNG]]</f>
        <v>2661466.3605354778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4266666.666666666</v>
      </c>
      <c r="E59" s="11">
        <v>1618446.8333333337</v>
      </c>
      <c r="F59" s="11">
        <v>651113.49377899466</v>
      </c>
      <c r="G59" s="12">
        <f>D59+Table841419410132427323943485356714212835[[#This Row],[LỢI NHUẬN RÒNG]]</f>
        <v>4917780.1604456604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1386766.7</v>
      </c>
      <c r="F60" s="11">
        <v>1066909.600306984</v>
      </c>
      <c r="G60" s="12">
        <f>D60+Table841419410132427323943485356714212835[[#This Row],[LỢI NHUẬN RÒNG]]</f>
        <v>3566909.600306984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11400000</v>
      </c>
      <c r="E61" s="11">
        <v>3681209.2850000001</v>
      </c>
      <c r="F61" s="11">
        <v>2293176.2509883479</v>
      </c>
      <c r="G61" s="12">
        <f>D61+Table841419410132427323943485356714212835[[#This Row],[LỢI NHUẬN RÒNG]]</f>
        <v>13693176.250988347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2922389.0399999986</v>
      </c>
      <c r="F62" s="11">
        <v>759767.78474661778</v>
      </c>
      <c r="G62" s="12">
        <f>D62+Table841419410132427323943485356714212835[[#This Row],[LỢI NHUẬN RÒNG]]</f>
        <v>11559767.784746617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375022.2</v>
      </c>
      <c r="F63" s="11">
        <v>-961557.02119894174</v>
      </c>
      <c r="G63" s="12">
        <f>D63+Table841419410132427323943485356714212835[[#This Row],[LỢI NHUẬN RÒNG]]</f>
        <v>5638442.9788010586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6552850.5999999987</v>
      </c>
      <c r="F64" s="11">
        <v>3721987.0139898825</v>
      </c>
      <c r="G64" s="12">
        <f>D64+Table841419410132427323943485356714212835[[#This Row],[LỢI NHUẬN RÒNG]]</f>
        <v>25891987.013989881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2702902.8</v>
      </c>
      <c r="F66" s="11">
        <v>1635106.4132527167</v>
      </c>
      <c r="G66" s="12">
        <f>D66+Table841419410132427323943485356714212835[[#This Row],[LỢI NHUẬN RÒNG]]</f>
        <v>3835106.4132527169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5100000</v>
      </c>
      <c r="E67" s="18">
        <v>593229</v>
      </c>
      <c r="F67" s="18">
        <v>-443378.10330851673</v>
      </c>
      <c r="G67" s="12">
        <f>D67+Table841419410132427323943485356714212835[[#This Row],[LỢI NHUẬN RÒNG]]</f>
        <v>4656621.8966914834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4266666.666666666</v>
      </c>
      <c r="E68" s="11">
        <v>1618446.8333333337</v>
      </c>
      <c r="F68" s="11">
        <v>651113.49377899466</v>
      </c>
      <c r="G68" s="12">
        <f>D68+Table841419410132427323943485356714212835[[#This Row],[LỢI NHUẬN RÒNG]]</f>
        <v>4917780.1604456604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4780000</v>
      </c>
      <c r="E69" s="11">
        <v>2660234.6</v>
      </c>
      <c r="F69" s="11">
        <v>1461502.3035767556</v>
      </c>
      <c r="G69" s="12">
        <f>D69+Table841419410132427323943485356714212835[[#This Row],[LỢI NHUẬN RÒNG]]</f>
        <v>6241502.3035767553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5000000</v>
      </c>
      <c r="E70" s="11">
        <v>2627405.7000000002</v>
      </c>
      <c r="F70" s="11">
        <v>1386222.5986490429</v>
      </c>
      <c r="G70" s="12">
        <f>D70+Table841419410132427323943485356714212835[[#This Row],[LỢI NHUẬN RÒNG]]</f>
        <v>6386222.5986490427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2322976.2000000002</v>
      </c>
      <c r="F71" s="11">
        <v>1240325.1186576919</v>
      </c>
      <c r="G71" s="12">
        <f>D71+Table841419410132427323943485356714212835[[#This Row],[LỢI NHUẬN RÒNG]]</f>
        <v>7340325.1186576914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1138623.6000000001</v>
      </c>
      <c r="F72" s="11">
        <v>754526.82256331516</v>
      </c>
      <c r="G72" s="12">
        <f>D72+Table841419410132427323943485356714212835[[#This Row],[LỢI NHUẬN RÒNG]]</f>
        <v>3834526.8225633153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1245569.6000000001</v>
      </c>
      <c r="F73" s="11">
        <v>822932.72107095574</v>
      </c>
      <c r="G73" s="12">
        <f>D73+Table841419410132427323943485356714212835[[#This Row],[LỢI NHUẬN RÒNG]]</f>
        <v>5322932.7210709555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1386766.7</v>
      </c>
      <c r="F74" s="11">
        <v>1066909.600306984</v>
      </c>
      <c r="G74" s="12">
        <f>D74+Table841419410132427323943485356714212835[[#This Row],[LỢI NHUẬN RÒNG]]</f>
        <v>3566909.600306984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2702902.8</v>
      </c>
      <c r="F75" s="11">
        <v>1635106.4132527167</v>
      </c>
      <c r="G75" s="12">
        <f>D75+Table841419410132427323943485356714212835[[#This Row],[LỢI NHUẬN RÒNG]]</f>
        <v>3835106.4132527169</v>
      </c>
    </row>
    <row r="76" spans="1:7" ht="15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125007.4</v>
      </c>
      <c r="F76" s="11">
        <v>-320519.00706631393</v>
      </c>
      <c r="G76" s="12">
        <f>D76+Table841419410132427323943485356714212835[[#This Row],[LỢI NHUẬN RÒNG]]</f>
        <v>1879480.9929336861</v>
      </c>
    </row>
    <row r="77" spans="1:7" ht="15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2184283.5333333327</v>
      </c>
      <c r="F77" s="11">
        <v>1240662.3379966274</v>
      </c>
      <c r="G77" s="12">
        <f>D77+Table841419410132427323943485356714212835[[#This Row],[LỢI NHUẬN RÒNG]]</f>
        <v>8630662.3379966281</v>
      </c>
    </row>
    <row r="78" spans="1:7" ht="15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2322976.2000000002</v>
      </c>
      <c r="F79" s="11">
        <v>1240325.1186576919</v>
      </c>
      <c r="G79" s="12">
        <f>D79+Table841419410132427323943485356714212835[[#This Row],[LỢI NHUẬN RÒNG]]</f>
        <v>7340325.1186576914</v>
      </c>
    </row>
    <row r="80" spans="1:7" ht="15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1138623.6000000001</v>
      </c>
      <c r="F80" s="11">
        <v>754526.82256331516</v>
      </c>
      <c r="G80" s="12">
        <f>D80+Table841419410132427323943485356714212835[[#This Row],[LỢI NHUẬN RÒNG]]</f>
        <v>3834526.8225633153</v>
      </c>
    </row>
    <row r="81" spans="1:7" ht="15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1868354.4</v>
      </c>
      <c r="F81" s="11">
        <v>1234399.0816064335</v>
      </c>
      <c r="G81" s="12">
        <f>D81+Table841419410132427323943485356714212835[[#This Row],[LỢI NHUẬN RÒNG]]</f>
        <v>7984399.0816064337</v>
      </c>
    </row>
    <row r="82" spans="1:7" ht="15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1386766.7</v>
      </c>
      <c r="F82" s="11">
        <v>1066909.600306984</v>
      </c>
      <c r="G82" s="12">
        <f>D82+Table841419410132427323943485356714212835[[#This Row],[LỢI NHUẬN RÒNG]]</f>
        <v>3566909.600306984</v>
      </c>
    </row>
    <row r="83" spans="1:7" ht="15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1351451.4</v>
      </c>
      <c r="F83" s="11">
        <v>817553.20662635833</v>
      </c>
      <c r="G83" s="12">
        <f>D83+Table841419410132427323943485356714212835[[#This Row],[LỢI NHUẬN RÒNG]]</f>
        <v>1917553.2066263584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4780000</v>
      </c>
      <c r="E84" s="11">
        <v>2660234.6</v>
      </c>
      <c r="F84" s="11">
        <v>1461502.3035767556</v>
      </c>
      <c r="G84" s="12">
        <f>D84+Table841419410132427323943485356714212835[[#This Row],[LỢI NHUẬN RÒNG]]</f>
        <v>6241502.3035767553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3484464.3</v>
      </c>
      <c r="F85" s="11">
        <v>1860487.6779865378</v>
      </c>
      <c r="G85" s="12">
        <f>D85+Table841419410132427323943485356714212835[[#This Row],[LỢI NHUẬN RÒNG]]</f>
        <v>11010487.677986538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1138623.6000000001</v>
      </c>
      <c r="F86" s="21">
        <v>754526.82256331516</v>
      </c>
      <c r="G86" s="12">
        <f>D86+Table841419410132427323943485356714212835[[#This Row],[LỢI NHUẬN RÒNG]]</f>
        <v>3834526.8225633153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4870839.2</v>
      </c>
      <c r="F87" s="21">
        <v>329634.04255276918</v>
      </c>
      <c r="G87" s="12">
        <f>D87+Table841419410132427323943485356714212835[[#This Row],[LỢI NHUẬN RÒNG]]</f>
        <v>24329634.042552769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3653129.4</v>
      </c>
      <c r="F88" s="21">
        <v>247225.53191457689</v>
      </c>
      <c r="G88" s="12">
        <f>D88+Table841419410132427323943485356714212835[[#This Row],[LỢI NHUẬN RÒNG]]</f>
        <v>18247225.531914577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608854.9</v>
      </c>
      <c r="F89" s="21">
        <v>41204.255319096148</v>
      </c>
      <c r="G89" s="12">
        <f>D89+Table841419410132427323943485356714212835[[#This Row],[LỢI NHUẬN RÒNG]]</f>
        <v>3041204.2553190961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1217709.8</v>
      </c>
      <c r="F90" s="21">
        <v>82408.510638192296</v>
      </c>
      <c r="G90" s="12">
        <f>D90+Table841419410132427323943485356714212835[[#This Row],[LỢI NHUẬN RÒNG]]</f>
        <v>6082408.5106381923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608854.9</v>
      </c>
      <c r="F91" s="21">
        <v>41204.255319096148</v>
      </c>
      <c r="G91" s="12">
        <f>D91+Table841419410132427323943485356714212835[[#This Row],[LỢI NHUẬN RÒNG]]</f>
        <v>3041204.2553190961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608854.9</v>
      </c>
      <c r="F92" s="21">
        <v>41204.255319096148</v>
      </c>
      <c r="G92" s="12">
        <f>D92+Table841419410132427323943485356714212835[[#This Row],[LỢI NHUẬN RÒNG]]</f>
        <v>3041204.2553190961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608854.9</v>
      </c>
      <c r="F93" s="21">
        <v>41204.255319096148</v>
      </c>
      <c r="G93" s="12">
        <f>D93+Table841419410132427323943485356714212835[[#This Row],[LỢI NHUẬN RÒNG]]</f>
        <v>3041204.2553190961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140683.9</v>
      </c>
      <c r="F94" s="21">
        <v>-58751.956884809959</v>
      </c>
      <c r="G94" s="12">
        <f>D94+Table841419410132427323943485356714212835[[#This Row],[LỢI NHUẬN RÒNG]]</f>
        <v>1591248.04311519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844103.4</v>
      </c>
      <c r="F95" s="21">
        <v>-352511.74130885972</v>
      </c>
      <c r="G95" s="12">
        <f>D95+Table841419410132427323943485356714212835[[#This Row],[LỢI NHUẬN RÒNG]]</f>
        <v>9547488.2586911395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140683.9</v>
      </c>
      <c r="F96" s="21">
        <v>-58751.956884809959</v>
      </c>
      <c r="G96" s="12">
        <f>D96+Table841419410132427323943485356714212835[[#This Row],[LỢI NHUẬN RÒNG]]</f>
        <v>1591248.04311519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281367.8</v>
      </c>
      <c r="F97" s="21">
        <v>-117503.91376961992</v>
      </c>
      <c r="G97" s="12">
        <f>D97+Table841419410132427323943485356714212835[[#This Row],[LỢI NHUẬN RÒNG]]</f>
        <v>3182496.08623038</v>
      </c>
    </row>
    <row r="98" spans="1:7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140683.9</v>
      </c>
      <c r="F98" s="21">
        <v>-58751.956884809959</v>
      </c>
      <c r="G98" s="12">
        <f>D98+Table841419410132427323943485356714212835[[#This Row],[LỢI NHUẬN RÒNG]]</f>
        <v>1591248.04311519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844103.4</v>
      </c>
      <c r="F99" s="21">
        <v>-352511.74130885972</v>
      </c>
      <c r="G99" s="12">
        <f>D99+Table841419410132427323943485356714212835[[#This Row],[LỢI NHUẬN RÒNG]]</f>
        <v>9547488.2586911395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140683.9</v>
      </c>
      <c r="F100" s="21">
        <v>-58751.956884809959</v>
      </c>
      <c r="G100" s="12">
        <f>D100+Table841419410132427323943485356714212835[[#This Row],[LỢI NHUẬN RÒNG]]</f>
        <v>1591248.04311519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140683.9</v>
      </c>
      <c r="F101" s="21">
        <v>-58751.956884809959</v>
      </c>
      <c r="G101" s="12">
        <f>D101+Table841419410132427323943485356714212835[[#This Row],[LỢI NHUẬN RÒNG]]</f>
        <v>1591248.04311519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140683.9</v>
      </c>
      <c r="F102" s="21">
        <v>-58751.956884809959</v>
      </c>
      <c r="G102" s="12">
        <f>D102+Table841419410132427323943485356714212835[[#This Row],[LỢI NHUẬN RÒNG]]</f>
        <v>1591248.04311519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-55549.45</v>
      </c>
      <c r="F103" s="21">
        <v>-371090.55400091258</v>
      </c>
      <c r="G103" s="12">
        <f>D103+Table841419410132427323943485356714212835[[#This Row],[LỢI NHUẬN RÒNG]]</f>
        <v>1553909.4459990873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-333296.7</v>
      </c>
      <c r="F104" s="21">
        <v>-2226543.3240054757</v>
      </c>
      <c r="G104" s="12">
        <f>D104+Table841419410132427323943485356714212835[[#This Row],[LỢI NHUẬN RÒNG]]</f>
        <v>9323456.6759945247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-55549.45</v>
      </c>
      <c r="F105" s="21">
        <v>-371090.55400091258</v>
      </c>
      <c r="G105" s="12">
        <f>D105+Table841419410132427323943485356714212835[[#This Row],[LỢI NHUẬN RÒNG]]</f>
        <v>1553909.4459990873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-111098.9</v>
      </c>
      <c r="F106" s="21">
        <v>-742181.10800182517</v>
      </c>
      <c r="G106" s="12">
        <f>D106+Table841419410132427323943485356714212835[[#This Row],[LỢI NHUẬN RÒNG]]</f>
        <v>3107818.8919981746</v>
      </c>
    </row>
    <row r="107" spans="1:7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-55549.45</v>
      </c>
      <c r="F107" s="21">
        <v>-371090.55400091258</v>
      </c>
      <c r="G107" s="12">
        <f>D107+Table841419410132427323943485356714212835[[#This Row],[LỢI NHUẬN RÒNG]]</f>
        <v>1553909.4459990873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-333296.7</v>
      </c>
      <c r="F108" s="21">
        <v>-2226543.3240054757</v>
      </c>
      <c r="G108" s="12">
        <f>D108+Table841419410132427323943485356714212835[[#This Row],[LỢI NHUẬN RÒNG]]</f>
        <v>9323456.6759945247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-55549.45</v>
      </c>
      <c r="F109" s="21">
        <v>-371090.55400091258</v>
      </c>
      <c r="G109" s="12">
        <f>D109+Table841419410132427323943485356714212835[[#This Row],[LỢI NHUẬN RÒNG]]</f>
        <v>1553909.4459990873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-55549.45</v>
      </c>
      <c r="F110" s="21">
        <v>-371090.55400091258</v>
      </c>
      <c r="G110" s="12">
        <f>D110+Table841419410132427323943485356714212835[[#This Row],[LỢI NHUẬN RÒNG]]</f>
        <v>1553909.4459990873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-55549.45</v>
      </c>
      <c r="F111" s="21">
        <v>-371090.55400091258</v>
      </c>
      <c r="G111" s="12">
        <f>D111+Table841419410132427323943485356714212835[[#This Row],[LỢI NHUẬN RÒNG]]</f>
        <v>1553909.4459990873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363311.7</v>
      </c>
      <c r="F112" s="21">
        <v>215394.37205703781</v>
      </c>
      <c r="G112" s="12">
        <f>D112+Table841419410132427323943485356714212835[[#This Row],[LỢI NHUẬN RÒNG]]</f>
        <v>1415394.3720570379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2179870.2000000002</v>
      </c>
      <c r="F113" s="21">
        <v>1292366.2323422269</v>
      </c>
      <c r="G113" s="12">
        <f>D113+Table841419410132427323943485356714212835[[#This Row],[LỢI NHUẬN RÒNG]]</f>
        <v>8492366.2323422264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363311.7</v>
      </c>
      <c r="F114" s="21">
        <v>215394.37205703781</v>
      </c>
      <c r="G114" s="12">
        <f>D114+Table841419410132427323943485356714212835[[#This Row],[LỢI NHUẬN RÒNG]]</f>
        <v>1415394.3720570379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726623.4</v>
      </c>
      <c r="F115" s="11">
        <v>430788.74411407561</v>
      </c>
      <c r="G115" s="12">
        <f>D115+Table841419410132427323943485356714212835[[#This Row],[LỢI NHUẬN RÒNG]]</f>
        <v>2830788.7441140758</v>
      </c>
    </row>
    <row r="116" spans="1:7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363311.7</v>
      </c>
      <c r="F116" s="11">
        <v>215394.37205703781</v>
      </c>
      <c r="G116" s="12">
        <f>D116+Table841419410132427323943485356714212835[[#This Row],[LỢI NHUẬN RÒNG]]</f>
        <v>1415394.3720570379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2179870.2000000002</v>
      </c>
      <c r="F117" s="11">
        <v>1292366.2323422269</v>
      </c>
      <c r="G117" s="12">
        <f>D117+Table841419410132427323943485356714212835[[#This Row],[LỢI NHUẬN RÒNG]]</f>
        <v>8492366.2323422264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363311.7</v>
      </c>
      <c r="F118" s="11">
        <v>215394.37205703781</v>
      </c>
      <c r="G118" s="12">
        <f>D118+Table841419410132427323943485356714212835[[#This Row],[LỢI NHUẬN RÒNG]]</f>
        <v>1415394.3720570379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363311.7</v>
      </c>
      <c r="F119" s="11">
        <v>215394.37205703781</v>
      </c>
      <c r="G119" s="12">
        <f>D119+Table841419410132427323943485356714212835[[#This Row],[LỢI NHUẬN RÒNG]]</f>
        <v>1415394.3720570379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363311.7</v>
      </c>
      <c r="F120" s="21">
        <v>215394.37205703781</v>
      </c>
      <c r="G120" s="12">
        <f>D120+Table841419410132427323943485356714212835[[#This Row],[LỢI NHUẬN RÒNG]]</f>
        <v>1415394.3720570379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1529883.95</v>
      </c>
      <c r="F121" s="11">
        <v>679391.72643462208</v>
      </c>
      <c r="G121" s="12">
        <f>D121+Table841419410132427323943485356714212835[[#This Row],[LỢI NHUẬN RÒNG]]</f>
        <v>5579391.726434622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437109.7</v>
      </c>
      <c r="F122" s="11">
        <v>194111.92183846346</v>
      </c>
      <c r="G122" s="12">
        <f>D122+Table841419410132427323943485356714212835[[#This Row],[LỢI NHUẬN RÒNG]]</f>
        <v>1594111.9218384635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437109.7</v>
      </c>
      <c r="F123" s="11">
        <v>194111.92183846346</v>
      </c>
      <c r="G123" s="12">
        <f>D123+Table841419410132427323943485356714212835[[#This Row],[LỢI NHUẬN RÒNG]]</f>
        <v>1594111.9218384635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437109.7</v>
      </c>
      <c r="F124" s="11">
        <v>194111.92183846346</v>
      </c>
      <c r="G124" s="12">
        <f>D124+Table841419410132427323943485356714212835[[#This Row],[LỢI NHUẬN RÒNG]]</f>
        <v>1594111.9218384635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218554.85</v>
      </c>
      <c r="F125" s="11">
        <v>97055.960919231729</v>
      </c>
      <c r="G125" s="12">
        <f>D125+Table841419410132427323943485356714212835[[#This Row],[LỢI NHUẬN RÒNG]]</f>
        <v>797055.96091923176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874219.4</v>
      </c>
      <c r="F126" s="11">
        <v>388223.84367692692</v>
      </c>
      <c r="G126" s="12">
        <f>D126+Table841419410132427323943485356714212835[[#This Row],[LỢI NHUẬN RÒNG]]</f>
        <v>3188223.843676927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437109.7</v>
      </c>
      <c r="F127" s="21">
        <v>194111.92183846346</v>
      </c>
      <c r="G127" s="12">
        <f>D127+Table841419410132427323943485356714212835[[#This Row],[LỢI NHUẬN RÒNG]]</f>
        <v>1594111.9218384635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3207001.2</v>
      </c>
      <c r="F128" s="11">
        <v>1742700.2861199677</v>
      </c>
      <c r="G128" s="12">
        <f>D128+Table841419410132427323943485356714212835[[#This Row],[LỢI NHUẬN RÒNG]]</f>
        <v>10402700.286119968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1603500.6</v>
      </c>
      <c r="F129" s="11">
        <v>871350.14305998385</v>
      </c>
      <c r="G129" s="12">
        <f>D129+Table841419410132427323943485356714212835[[#This Row],[LỢI NHUẬN RÒNG]]</f>
        <v>5201350.1430599838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1603500.6</v>
      </c>
      <c r="F130" s="11">
        <v>871350.14305998385</v>
      </c>
      <c r="G130" s="12">
        <f>D130+Table841419410132427323943485356714212835[[#This Row],[LỢI NHUẬN RÒNG]]</f>
        <v>5201350.1430599838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3207001.2</v>
      </c>
      <c r="F131" s="11">
        <v>1742700.2861199677</v>
      </c>
      <c r="G131" s="12">
        <f>D131+Table841419410132427323943485356714212835[[#This Row],[LỢI NHUẬN RÒNG]]</f>
        <v>10402700.286119968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801750.3</v>
      </c>
      <c r="F132" s="11">
        <v>435675.07152999192</v>
      </c>
      <c r="G132" s="12">
        <f>D132+Table841419410132427323943485356714212835[[#This Row],[LỢI NHUẬN RÒNG]]</f>
        <v>2600675.0715299919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1603500.6</v>
      </c>
      <c r="F133" s="11">
        <v>871350.14305998385</v>
      </c>
      <c r="G133" s="12">
        <f>D133+Table841419410132427323943485356714212835[[#This Row],[LỢI NHUẬN RÒNG]]</f>
        <v>5201350.1430599838</v>
      </c>
    </row>
    <row r="134" spans="1:7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801750.3</v>
      </c>
      <c r="F134" s="11">
        <v>435675.07152999192</v>
      </c>
      <c r="G134" s="12">
        <f>D134+Table841419410132427323943485356714212835[[#This Row],[LỢI NHUẬN RÒNG]]</f>
        <v>2600675.0715299919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801750.3</v>
      </c>
      <c r="F135" s="11">
        <v>435675.07152999192</v>
      </c>
      <c r="G135" s="12">
        <f>D135+Table841419410132427323943485356714212835[[#This Row],[LỢI NHUẬN RÒNG]]</f>
        <v>2600675.0715299919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2405250.9</v>
      </c>
      <c r="F136" s="11">
        <v>1307025.2145899758</v>
      </c>
      <c r="G136" s="12">
        <f>D136+Table841419410132427323943485356714212835[[#This Row],[LỢI NHUẬN RÒNG]]</f>
        <v>7802025.2145899758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808354.5</v>
      </c>
      <c r="F137" s="11">
        <v>541893.80685863644</v>
      </c>
      <c r="G137" s="12">
        <f>D137+Table841419410132427323943485356714212835[[#This Row],[LỢI NHUẬN RÒNG]]</f>
        <v>1591893.8068586364</v>
      </c>
    </row>
    <row r="138" spans="1:7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808354.5</v>
      </c>
      <c r="F138" s="11">
        <v>541893.80685863644</v>
      </c>
      <c r="G138" s="12">
        <f>D138+Table841419410132427323943485356714212835[[#This Row],[LỢI NHUẬN RÒNG]]</f>
        <v>1591893.8068586364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3637595.25</v>
      </c>
      <c r="F139" s="11">
        <v>2438522.130863864</v>
      </c>
      <c r="G139" s="12">
        <f>D139+Table841419410132427323943485356714212835[[#This Row],[LỢI NHUẬN RÒNG]]</f>
        <v>7163522.130863864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808354.5</v>
      </c>
      <c r="F140" s="11">
        <v>541893.80685863644</v>
      </c>
      <c r="G140" s="12">
        <f>D140+Table841419410132427323943485356714212835[[#This Row],[LỢI NHUẬN RÒNG]]</f>
        <v>1591893.8068586364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1138623.6000000001</v>
      </c>
      <c r="F141" s="21">
        <v>754526.82256331516</v>
      </c>
      <c r="G141" s="12">
        <f>D141+Table841419410132427323943485356714212835[[#This Row],[LỢI NHUẬN RÒNG]]</f>
        <v>3834526.8225633153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808354.5</v>
      </c>
      <c r="F142" s="21">
        <v>541893.80685863644</v>
      </c>
      <c r="G142" s="12">
        <f>D142+Table841419410132427323943485356714212835[[#This Row],[LỢI NHUẬN RÒNG]]</f>
        <v>1591893.8068586364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1212531.75</v>
      </c>
      <c r="F143" s="21">
        <v>812840.71028795466</v>
      </c>
      <c r="G143" s="12">
        <f>D143+Table841419410132427323943485356714212835[[#This Row],[LỢI NHUẬN RÒNG]]</f>
        <v>2387840.7102879547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1734958.1333333328</v>
      </c>
      <c r="F144" s="21">
        <v>754878.72916192259</v>
      </c>
      <c r="G144" s="12">
        <f>D144+Table841419410132427323943485356714212835[[#This Row],[LỢI NHUẬN RÒNG]]</f>
        <v>9154878.7291619219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1301218.5999999996</v>
      </c>
      <c r="F145" s="21">
        <v>566159.046871442</v>
      </c>
      <c r="G145" s="12">
        <f>D145+Table841419410132427323943485356714212835[[#This Row],[LỢI NHUẬN RÒNG]]</f>
        <v>6866159.0468714423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867479.06666666642</v>
      </c>
      <c r="F146" s="21">
        <v>377439.36458096129</v>
      </c>
      <c r="G146" s="12">
        <f>D146+Table841419410132427323943485356714212835[[#This Row],[LỢI NHUẬN RÒNG]]</f>
        <v>4577439.3645809609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2602437.1999999993</v>
      </c>
      <c r="F147" s="21">
        <v>1132318.093742884</v>
      </c>
      <c r="G147" s="12">
        <f>D147+Table841419410132427323943485356714212835[[#This Row],[LỢI NHUẬN RÒNG]]</f>
        <v>13732318.093742885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867479.06666666642</v>
      </c>
      <c r="F148" s="21">
        <v>377439.36458096129</v>
      </c>
      <c r="G148" s="12">
        <f>D148+Table841419410132427323943485356714212835[[#This Row],[LỢI NHUẬN RÒNG]]</f>
        <v>4577439.3645809609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1301218.5999999996</v>
      </c>
      <c r="F149" s="21">
        <v>566159.046871442</v>
      </c>
      <c r="G149" s="12">
        <f>D149+Table841419410132427323943485356714212835[[#This Row],[LỢI NHUẬN RÒNG]]</f>
        <v>6866159.0468714423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687330.4</v>
      </c>
      <c r="F150" s="21">
        <v>138609.50800979213</v>
      </c>
      <c r="G150" s="12">
        <f>D150+Table841419410132427323943485356714212835[[#This Row],[LỢI NHUẬN RÒNG]]</f>
        <v>2988609.5080097923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687330.4</v>
      </c>
      <c r="F151" s="21">
        <v>138609.50800979213</v>
      </c>
      <c r="G151" s="12">
        <f>D151+Table841419410132427323943485356714212835[[#This Row],[LỢI NHUẬN RÒNG]]</f>
        <v>2988609.5080097923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687330.4</v>
      </c>
      <c r="F152" s="21">
        <v>138609.50800979213</v>
      </c>
      <c r="G152" s="12">
        <f>D152+Table841419410132427323943485356714212835[[#This Row],[LỢI NHUẬN RÒNG]]</f>
        <v>2988609.5080097923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1374660.8</v>
      </c>
      <c r="F153" s="21">
        <v>277219.01601958426</v>
      </c>
      <c r="G153" s="12">
        <f>D153+Table841419410132427323943485356714212835[[#This Row],[LỢI NHUẬN RÒNG]]</f>
        <v>5977219.0160195846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1374660.8</v>
      </c>
      <c r="F154" s="21">
        <v>277219.01601958426</v>
      </c>
      <c r="G154" s="12">
        <f>D154+Table841419410132427323943485356714212835[[#This Row],[LỢI NHUẬN RÒNG]]</f>
        <v>5977219.0160195846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687330.4</v>
      </c>
      <c r="F155" s="21">
        <v>138609.50800979213</v>
      </c>
      <c r="G155" s="12">
        <f>D155+Table841419410132427323943485356714212835[[#This Row],[LỢI NHUẬN RÒNG]]</f>
        <v>2988609.5080097923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687330.4</v>
      </c>
      <c r="F156" s="21">
        <v>138609.50800979213</v>
      </c>
      <c r="G156" s="12">
        <f>D156+Table841419410132427323943485356714212835[[#This Row],[LỢI NHUẬN RÒNG]]</f>
        <v>2988609.5080097923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687330.4</v>
      </c>
      <c r="F157" s="21">
        <v>138609.50800979213</v>
      </c>
      <c r="G157" s="12">
        <f>D157+Table841419410132427323943485356714212835[[#This Row],[LỢI NHUẬN RÒNG]]</f>
        <v>2988609.5080097923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11625000</v>
      </c>
      <c r="E158" s="21">
        <v>4535420.0399999991</v>
      </c>
      <c r="F158" s="21">
        <v>875106.0352311082</v>
      </c>
      <c r="G158" s="12">
        <f>D158+Table841419410132427323943485356714212835[[#This Row],[LỢI NHUẬN RÒNG]]</f>
        <v>12500106.035231108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1937500</v>
      </c>
      <c r="E159" s="21">
        <v>755903.33999999985</v>
      </c>
      <c r="F159" s="21">
        <v>145851.00587185138</v>
      </c>
      <c r="G159" s="12">
        <f>D159+Table841419410132427323943485356714212835[[#This Row],[LỢI NHUẬN RÒNG]]</f>
        <v>2083351.0058718515</v>
      </c>
      <c r="H159" s="11"/>
    </row>
    <row r="160" spans="1:10" x14ac:dyDescent="0.3">
      <c r="A160" s="23" t="s">
        <v>57</v>
      </c>
      <c r="B160" s="21" t="s">
        <v>33</v>
      </c>
      <c r="C160" s="21">
        <v>5</v>
      </c>
      <c r="D160" s="21">
        <v>1937500</v>
      </c>
      <c r="E160" s="21">
        <v>755903.33999999985</v>
      </c>
      <c r="F160" s="21">
        <v>145851.00587185138</v>
      </c>
      <c r="G160" s="12">
        <f>D160+Table841419410132427323943485356714212835[[#This Row],[LỢI NHUẬN RÒNG]]</f>
        <v>2083351.0058718515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3875000</v>
      </c>
      <c r="E161" s="21">
        <v>1511806.6799999997</v>
      </c>
      <c r="F161" s="21">
        <v>291702.01174370275</v>
      </c>
      <c r="G161" s="12">
        <f>D161+Table841419410132427323943485356714212835[[#This Row],[LỢI NHUẬN RÒNG]]</f>
        <v>4166702.0117437029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7750000</v>
      </c>
      <c r="E162" s="21">
        <v>3023613.3599999994</v>
      </c>
      <c r="F162" s="21">
        <v>583404.0234874055</v>
      </c>
      <c r="G162" s="12">
        <f>D162+Table841419410132427323943485356714212835[[#This Row],[LỢI NHUẬN RÒNG]]</f>
        <v>8333404.0234874059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1937500</v>
      </c>
      <c r="E163" s="21">
        <v>755903.33999999985</v>
      </c>
      <c r="F163" s="21">
        <v>145851.00587185138</v>
      </c>
      <c r="G163" s="12">
        <f>D163+Table841419410132427323943485356714212835[[#This Row],[LỢI NHUẬN RÒNG]]</f>
        <v>2083351.0058718515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9687500</v>
      </c>
      <c r="E164" s="21">
        <v>3779516.6999999993</v>
      </c>
      <c r="F164" s="21">
        <v>729255.02935925697</v>
      </c>
      <c r="G164" s="12">
        <f>D164+Table841419410132427323943485356714212835[[#This Row],[LỢI NHUẬN RÒNG]]</f>
        <v>10416755.029359257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1687500</v>
      </c>
      <c r="E165" s="21">
        <v>676966.67999999982</v>
      </c>
      <c r="F165" s="21">
        <v>233678.27645473089</v>
      </c>
      <c r="G165" s="12">
        <f>D165+Table841419410132427323943485356714212835[[#This Row],[LỢI NHUẬN RÒNG]]</f>
        <v>1921178.2764547309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3375000</v>
      </c>
      <c r="E166" s="21">
        <v>1353933.3599999996</v>
      </c>
      <c r="F166" s="21">
        <v>467356.55290946178</v>
      </c>
      <c r="G166" s="12">
        <f>D166+Table841419410132427323943485356714212835[[#This Row],[LỢI NHUẬN RÒNG]]</f>
        <v>3842356.5529094618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562500</v>
      </c>
      <c r="E167" s="18">
        <v>225655.55999999997</v>
      </c>
      <c r="F167" s="18">
        <v>77892.75881824363</v>
      </c>
      <c r="G167" s="12">
        <f>D167+Table841419410132427323943485356714212835[[#This Row],[LỢI NHUẬN RÒNG]]</f>
        <v>640392.75881824363</v>
      </c>
      <c r="H167" s="11"/>
    </row>
    <row r="168" spans="1:10" x14ac:dyDescent="0.3">
      <c r="A168" s="23" t="s">
        <v>58</v>
      </c>
      <c r="B168" s="21" t="s">
        <v>33</v>
      </c>
      <c r="C168" s="21">
        <v>5</v>
      </c>
      <c r="D168" s="21">
        <v>562500</v>
      </c>
      <c r="E168" s="21">
        <v>225655.55999999997</v>
      </c>
      <c r="F168" s="21">
        <v>77892.75881824363</v>
      </c>
      <c r="G168" s="12">
        <f>D168+Table841419410132427323943485356714212835[[#This Row],[LỢI NHUẬN RÒNG]]</f>
        <v>640392.75881824363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1125000</v>
      </c>
      <c r="E169" s="21">
        <v>451311.11999999994</v>
      </c>
      <c r="F169" s="21">
        <v>155785.51763648726</v>
      </c>
      <c r="G169" s="12">
        <f>D169+Table841419410132427323943485356714212835[[#This Row],[LỢI NHUẬN RÒNG]]</f>
        <v>1280785.5176364873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2250000</v>
      </c>
      <c r="E170" s="21">
        <v>902622.23999999987</v>
      </c>
      <c r="F170" s="21">
        <v>311571.03527297452</v>
      </c>
      <c r="G170" s="12">
        <f>D170+Table841419410132427323943485356714212835[[#This Row],[LỢI NHUẬN RÒNG]]</f>
        <v>2561571.0352729745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562500</v>
      </c>
      <c r="E171" s="21">
        <v>225655.55999999997</v>
      </c>
      <c r="F171" s="21">
        <v>77892.75881824363</v>
      </c>
      <c r="G171" s="12">
        <f>D171+Table841419410132427323943485356714212835[[#This Row],[LỢI NHUẬN RÒNG]]</f>
        <v>640392.75881824363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562500</v>
      </c>
      <c r="E172" s="21">
        <v>225655.55999999997</v>
      </c>
      <c r="F172" s="21">
        <v>77892.75881824363</v>
      </c>
      <c r="G172" s="12">
        <f>D172+Table841419410132427323943485356714212835[[#This Row],[LỢI NHUẬN RÒNG]]</f>
        <v>640392.75881824363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562500</v>
      </c>
      <c r="E173" s="21">
        <v>225655.55999999997</v>
      </c>
      <c r="F173" s="21">
        <v>77892.75881824363</v>
      </c>
      <c r="G173" s="12">
        <f>D173+Table841419410132427323943485356714212835[[#This Row],[LỢI NHUẬN RÒNG]]</f>
        <v>640392.75881824363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2513186.4</v>
      </c>
      <c r="F174" s="21">
        <v>1655711.9940628007</v>
      </c>
      <c r="G174" s="12">
        <f>D174+Table841419410132427323943485356714212835[[#This Row],[LỢI NHUẬN RÒNG]]</f>
        <v>9055711.9940628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628296.6</v>
      </c>
      <c r="F175" s="21">
        <v>413927.99851570016</v>
      </c>
      <c r="G175" s="12">
        <f>D175+Table841419410132427323943485356714212835[[#This Row],[LỢI NHUẬN RÒNG]]</f>
        <v>2263927.9985157</v>
      </c>
      <c r="H175" s="11"/>
    </row>
    <row r="176" spans="1:10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1256593.2</v>
      </c>
      <c r="F176" s="21">
        <v>827855.99703140033</v>
      </c>
      <c r="G176" s="12">
        <f>D176+Table841419410132427323943485356714212835[[#This Row],[LỢI NHUẬN RÒNG]]</f>
        <v>4527855.9970314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1256593.2</v>
      </c>
      <c r="F177" s="21">
        <v>827855.99703140033</v>
      </c>
      <c r="G177" s="12">
        <f>D177+Table841419410132427323943485356714212835[[#This Row],[LỢI NHUẬN RÒNG]]</f>
        <v>4527855.9970314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628296.6</v>
      </c>
      <c r="F178" s="21">
        <v>413927.99851570016</v>
      </c>
      <c r="G178" s="12">
        <f>D178+Table841419410132427323943485356714212835[[#This Row],[LỢI NHUẬN RÒNG]]</f>
        <v>2263927.9985157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2513186.4</v>
      </c>
      <c r="F179" s="21">
        <v>1655711.9940628007</v>
      </c>
      <c r="G179" s="12">
        <f>D179+Table841419410132427323943485356714212835[[#This Row],[LỢI NHUẬN RÒNG]]</f>
        <v>9055711.9940628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1256593.2</v>
      </c>
      <c r="F180" s="21">
        <v>827855.99703140033</v>
      </c>
      <c r="G180" s="12">
        <f>D180+Table841419410132427323943485356714212835[[#This Row],[LỢI NHUẬN RÒNG]]</f>
        <v>4527855.9970314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628296.6</v>
      </c>
      <c r="F181" s="21">
        <v>413927.99851570016</v>
      </c>
      <c r="G181" s="12">
        <f>D181+Table841419410132427323943485356714212835[[#This Row],[LỢI NHUẬN RÒNG]]</f>
        <v>2263927.9985157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1884889.8</v>
      </c>
      <c r="F182" s="21">
        <v>1241783.9955471007</v>
      </c>
      <c r="G182" s="12">
        <f>D182+Table841419410132427323943485356714212835[[#This Row],[LỢI NHUẬN RÒNG]]</f>
        <v>6791783.9955471009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2245309.0333333327</v>
      </c>
      <c r="F183" s="18">
        <v>1507514.4379672706</v>
      </c>
      <c r="G183" s="12">
        <f>D183+Table841419410132427323943485356714212835[[#This Row],[LỢI NHUẬN RÒNG]]</f>
        <v>4674181.1046339376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3367963.5499999993</v>
      </c>
      <c r="F184" s="21">
        <v>2261271.6569509059</v>
      </c>
      <c r="G184" s="12">
        <f>D184+Table841419410132427323943485356714212835[[#This Row],[LỢI NHUẬN RÒNG]]</f>
        <v>7011271.6569509059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1122654.5166666664</v>
      </c>
      <c r="F185" s="21">
        <v>753757.21898363531</v>
      </c>
      <c r="G185" s="12">
        <f>D185+Table841419410132427323943485356714212835[[#This Row],[LỢI NHUẬN RÒNG]]</f>
        <v>2337090.5523169688</v>
      </c>
      <c r="H185" s="28"/>
    </row>
    <row r="186" spans="1:9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1122654.5166666664</v>
      </c>
      <c r="F186" s="21">
        <v>753757.21898363531</v>
      </c>
      <c r="G186" s="12">
        <f>D186+Table841419410132427323943485356714212835[[#This Row],[LỢI NHUẬN RÒNG]]</f>
        <v>2337090.5523169688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2245309.0333333327</v>
      </c>
      <c r="F187" s="21">
        <v>1507514.4379672706</v>
      </c>
      <c r="G187" s="12">
        <f>D187+Table841419410132427323943485356714212835[[#This Row],[LỢI NHUẬN RÒNG]]</f>
        <v>4674181.1046339376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2245309.0333333327</v>
      </c>
      <c r="F188" s="21">
        <v>1507514.4379672706</v>
      </c>
      <c r="G188" s="12">
        <f>D188+Table841419410132427323943485356714212835[[#This Row],[LỢI NHUẬN RÒNG]]</f>
        <v>4674181.1046339376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3367963.5499999993</v>
      </c>
      <c r="F189" s="21">
        <v>2261271.6569509059</v>
      </c>
      <c r="G189" s="12">
        <f>D189+Table841419410132427323943485356714212835[[#This Row],[LỢI NHUẬN RÒNG]]</f>
        <v>7011271.6569509059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1122654.5166666664</v>
      </c>
      <c r="F190" s="21">
        <v>753757.21898363531</v>
      </c>
      <c r="G190" s="12">
        <f>D190+Table841419410132427323943485356714212835[[#This Row],[LỢI NHUẬN RÒNG]]</f>
        <v>2337090.5523169688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2245309.0333333327</v>
      </c>
      <c r="F191" s="21">
        <v>1507514.4379672706</v>
      </c>
      <c r="G191" s="12">
        <f>D191+Table841419410132427323943485356714212835[[#This Row],[LỢI NHUẬN RÒNG]]</f>
        <v>4674181.1046339376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1122654.5166666664</v>
      </c>
      <c r="F192" s="21">
        <v>753757.21898363531</v>
      </c>
      <c r="G192" s="12">
        <f>D192+Table841419410132427323943485356714212835[[#This Row],[LỢI NHUẬN RÒNG]]</f>
        <v>2337090.5523169688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1122654.5166666664</v>
      </c>
      <c r="F193" s="21">
        <v>753757.21898363531</v>
      </c>
      <c r="G193" s="12">
        <f>D193+Table841419410132427323943485356714212835[[#This Row],[LỢI NHUẬN RÒNG]]</f>
        <v>2337090.5523169688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1122654.5166666664</v>
      </c>
      <c r="F194" s="21">
        <v>753757.21898363531</v>
      </c>
      <c r="G194" s="12">
        <f>D194+Table841419410132427323943485356714212835[[#This Row],[LỢI NHUẬN RÒNG]]</f>
        <v>2337090.5523169688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1210825.05</v>
      </c>
      <c r="F195" s="21">
        <v>524170.49039884732</v>
      </c>
      <c r="G195" s="12">
        <f>D195+Table841419410132427323943485356714212835[[#This Row],[LỢI NHUẬN RÒNG]]</f>
        <v>2024170.4903988473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1210825.05</v>
      </c>
      <c r="F196" s="21">
        <v>524170.49039884732</v>
      </c>
      <c r="G196" s="12">
        <f>D196+Table841419410132427323943485356714212835[[#This Row],[LỢI NHUẬN RÒNG]]</f>
        <v>2024170.4903988473</v>
      </c>
      <c r="H196" s="28"/>
    </row>
    <row r="197" spans="1:8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403608.35</v>
      </c>
      <c r="F197" s="21">
        <v>174723.49679961576</v>
      </c>
      <c r="G197" s="12">
        <f>D197+Table841419410132427323943485356714212835[[#This Row],[LỢI NHUẬN RÒNG]]</f>
        <v>674723.49679961579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807216.7</v>
      </c>
      <c r="F198" s="21">
        <v>349446.99359923153</v>
      </c>
      <c r="G198" s="12">
        <f>D198+Table841419410132427323943485356714212835[[#This Row],[LỢI NHUẬN RÒNG]]</f>
        <v>1349446.9935992316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807216.7</v>
      </c>
      <c r="F199" s="21">
        <v>349446.99359923153</v>
      </c>
      <c r="G199" s="12">
        <f>D199+Table841419410132427323943485356714212835[[#This Row],[LỢI NHUẬN RÒNG]]</f>
        <v>1349446.9935992316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1210825.05</v>
      </c>
      <c r="F200" s="21">
        <v>524170.49039884732</v>
      </c>
      <c r="G200" s="12">
        <f>D200+Table841419410132427323943485356714212835[[#This Row],[LỢI NHUẬN RÒNG]]</f>
        <v>2024170.4903988473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403608.35</v>
      </c>
      <c r="F201" s="21">
        <v>174723.49679961576</v>
      </c>
      <c r="G201" s="12">
        <f>D201+Table841419410132427323943485356714212835[[#This Row],[LỢI NHUẬN RÒNG]]</f>
        <v>674723.49679961579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403608.35</v>
      </c>
      <c r="F202" s="21">
        <v>174723.49679961576</v>
      </c>
      <c r="G202" s="12">
        <f>D202+Table841419410132427323943485356714212835[[#This Row],[LỢI NHUẬN RÒNG]]</f>
        <v>674723.49679961579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403608.35</v>
      </c>
      <c r="F203" s="21">
        <v>174723.49679961576</v>
      </c>
      <c r="G203" s="12">
        <f>D203+Table841419410132427323943485356714212835[[#This Row],[LỢI NHUẬN RÒNG]]</f>
        <v>674723.49679961579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807216.7</v>
      </c>
      <c r="F204" s="21">
        <v>349446.99359923153</v>
      </c>
      <c r="G204" s="12">
        <f>D204+Table841419410132427323943485356714212835[[#This Row],[LỢI NHUẬN RÒNG]]</f>
        <v>1349446.9935992316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403608.35</v>
      </c>
      <c r="F205" s="21">
        <v>174723.49679961576</v>
      </c>
      <c r="G205" s="12">
        <f>D205+Table841419410132427323943485356714212835[[#This Row],[LỢI NHUẬN RÒNG]]</f>
        <v>674723.49679961579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1245371.3</v>
      </c>
      <c r="F206" s="21">
        <v>391275.33933286817</v>
      </c>
      <c r="G206" s="21">
        <f>Table841419410132427323943485356714212835[[#This Row],[VỐN CP]]+Table841419410132427323943485356714212835[[#This Row],[LỢI NHUẬN RÒNG]]</f>
        <v>3991275.3393328683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3113428.25</v>
      </c>
      <c r="F207" s="21">
        <v>978188.3483321704</v>
      </c>
      <c r="G207" s="21">
        <f>Table841419410132427323943485356714212835[[#This Row],[VỐN CP]]+Table841419410132427323943485356714212835[[#This Row],[LỢI NHUẬN RÒNG]]</f>
        <v>9978188.3483321704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1245371.3</v>
      </c>
      <c r="F208" s="21">
        <v>391275.33933286817</v>
      </c>
      <c r="G208" s="21">
        <f>Table841419410132427323943485356714212835[[#This Row],[VỐN CP]]+Table841419410132427323943485356714212835[[#This Row],[LỢI NHUẬN RÒNG]]</f>
        <v>3991275.3393328683</v>
      </c>
      <c r="H208" s="28"/>
    </row>
    <row r="209" spans="1:8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622685.65</v>
      </c>
      <c r="F209" s="21">
        <v>195637.66966643409</v>
      </c>
      <c r="G209" s="21">
        <f>Table841419410132427323943485356714212835[[#This Row],[VỐN CP]]+Table841419410132427323943485356714212835[[#This Row],[LỢI NHUẬN RÒNG]]</f>
        <v>1995637.6696664342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622685.65</v>
      </c>
      <c r="F210" s="21">
        <v>195637.66966643409</v>
      </c>
      <c r="G210" s="21">
        <f>Table841419410132427323943485356714212835[[#This Row],[VỐN CP]]+Table841419410132427323943485356714212835[[#This Row],[LỢI NHUẬN RÒNG]]</f>
        <v>1995637.6696664342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2490742.6</v>
      </c>
      <c r="F211" s="21">
        <v>782550.67866573634</v>
      </c>
      <c r="G211" s="21">
        <f>Table841419410132427323943485356714212835[[#This Row],[VỐN CP]]+Table841419410132427323943485356714212835[[#This Row],[LỢI NHUẬN RÒNG]]</f>
        <v>7982550.6786657367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1245371.3</v>
      </c>
      <c r="F212" s="21">
        <v>391275.33933286817</v>
      </c>
      <c r="G212" s="21">
        <f>Table841419410132427323943485356714212835[[#This Row],[VỐN CP]]+Table841419410132427323943485356714212835[[#This Row],[LỢI NHUẬN RÒNG]]</f>
        <v>3991275.3393328683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622685.65</v>
      </c>
      <c r="F213" s="21">
        <v>195637.66966643409</v>
      </c>
      <c r="G213" s="21">
        <f>Table841419410132427323943485356714212835[[#This Row],[VỐN CP]]+Table841419410132427323943485356714212835[[#This Row],[LỢI NHUẬN RÒNG]]</f>
        <v>1995637.6696664342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1245371.3</v>
      </c>
      <c r="F214" s="21">
        <v>391275.33933286817</v>
      </c>
      <c r="G214" s="21">
        <f>Table841419410132427323943485356714212835[[#This Row],[VỐN CP]]+Table841419410132427323943485356714212835[[#This Row],[LỢI NHUẬN RÒNG]]</f>
        <v>3991275.3393328683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1687227</v>
      </c>
      <c r="F215" s="21">
        <v>956750.90350203367</v>
      </c>
      <c r="G215" s="21">
        <f>Table841419410132427323943485356714212835[[#This Row],[VỐN CP]]+Table841419410132427323943485356714212835[[#This Row],[LỢI NHUẬN RÒNG]]</f>
        <v>7156750.903502034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3374454</v>
      </c>
      <c r="F216" s="21">
        <v>1913501.8070040673</v>
      </c>
      <c r="G216" s="21">
        <f>Table841419410132427323943485356714212835[[#This Row],[VỐN CP]]+Table841419410132427323943485356714212835[[#This Row],[LỢI NHUẬN RÒNG]]</f>
        <v>14313501.807004068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1687227</v>
      </c>
      <c r="F217" s="21">
        <v>956750.90350203367</v>
      </c>
      <c r="G217" s="21">
        <f>Table841419410132427323943485356714212835[[#This Row],[VỐN CP]]+Table841419410132427323943485356714212835[[#This Row],[LỢI NHUẬN RÒNG]]</f>
        <v>7156750.903502034</v>
      </c>
      <c r="H217" s="28"/>
    </row>
    <row r="218" spans="1:8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843613.5</v>
      </c>
      <c r="F218" s="21">
        <v>478375.45175101684</v>
      </c>
      <c r="G218" s="21">
        <f>Table841419410132427323943485356714212835[[#This Row],[VỐN CP]]+Table841419410132427323943485356714212835[[#This Row],[LỢI NHUẬN RÒNG]]</f>
        <v>3578375.451751017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843613.5</v>
      </c>
      <c r="F219" s="21">
        <v>478375.45175101684</v>
      </c>
      <c r="G219" s="21">
        <f>Table841419410132427323943485356714212835[[#This Row],[VỐN CP]]+Table841419410132427323943485356714212835[[#This Row],[LỢI NHUẬN RÒNG]]</f>
        <v>3578375.451751017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1687227</v>
      </c>
      <c r="F220" s="21">
        <v>956750.90350203367</v>
      </c>
      <c r="G220" s="21">
        <f>Table841419410132427323943485356714212835[[#This Row],[VỐN CP]]+Table841419410132427323943485356714212835[[#This Row],[LỢI NHUẬN RÒNG]]</f>
        <v>7156750.903502034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843613.5</v>
      </c>
      <c r="F221" s="21">
        <v>478375.45175101684</v>
      </c>
      <c r="G221" s="21">
        <f>Table841419410132427323943485356714212835[[#This Row],[VỐN CP]]+Table841419410132427323943485356714212835[[#This Row],[LỢI NHUẬN RÒNG]]</f>
        <v>3578375.451751017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1687227</v>
      </c>
      <c r="F222" s="21">
        <v>956750.90350203367</v>
      </c>
      <c r="G222" s="21">
        <f>Table841419410132427323943485356714212835[[#This Row],[VỐN CP]]+Table841419410132427323943485356714212835[[#This Row],[LỢI NHUẬN RÒNG]]</f>
        <v>7156750.903502034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1687227</v>
      </c>
      <c r="F223" s="21">
        <v>956750.90350203367</v>
      </c>
      <c r="G223" s="21">
        <f>Table841419410132427323943485356714212835[[#This Row],[VỐN CP]]+Table841419410132427323943485356714212835[[#This Row],[LỢI NHUẬN RÒNG]]</f>
        <v>7156750.903502034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843613.5</v>
      </c>
      <c r="F224" s="21">
        <v>478375.45175101684</v>
      </c>
      <c r="G224" s="21">
        <f>Table841419410132427323943485356714212835[[#This Row],[VỐN CP]]+Table841419410132427323943485356714212835[[#This Row],[LỢI NHUẬN RÒNG]]</f>
        <v>3578375.451751017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1687227</v>
      </c>
      <c r="F225" s="21">
        <v>956750.90350203367</v>
      </c>
      <c r="G225" s="21">
        <f>Table841419410132427323943485356714212835[[#This Row],[VỐN CP]]+Table841419410132427323943485356714212835[[#This Row],[LỢI NHUẬN RÒNG]]</f>
        <v>7156750.903502034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1356880.9</v>
      </c>
      <c r="F226" s="21">
        <v>610206.46218911407</v>
      </c>
      <c r="G226" s="21">
        <f>Table841419410132427323943485356714212835[[#This Row],[VỐN CP]]+Table841419410132427323943485356714212835[[#This Row],[LỢI NHUẬN RÒNG]]</f>
        <v>4310206.4621891137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2713761.8</v>
      </c>
      <c r="F227" s="21">
        <v>1220412.9243782281</v>
      </c>
      <c r="G227" s="21">
        <f>Table841419410132427323943485356714212835[[#This Row],[VỐN CP]]+Table841419410132427323943485356714212835[[#This Row],[LỢI NHUẬN RÒNG]]</f>
        <v>8620412.9243782274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1356880.9</v>
      </c>
      <c r="F228" s="21">
        <v>610206.46218911407</v>
      </c>
      <c r="G228" s="21">
        <f>Table841419410132427323943485356714212835[[#This Row],[VỐN CP]]+Table841419410132427323943485356714212835[[#This Row],[LỢI NHUẬN RÒNG]]</f>
        <v>4310206.4621891137</v>
      </c>
      <c r="H228" s="28"/>
    </row>
    <row r="229" spans="1:10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678440.45</v>
      </c>
      <c r="F229" s="21">
        <v>305103.23109455704</v>
      </c>
      <c r="G229" s="21">
        <f>Table841419410132427323943485356714212835[[#This Row],[VỐN CP]]+Table841419410132427323943485356714212835[[#This Row],[LỢI NHUẬN RÒNG]]</f>
        <v>2155103.2310945569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678440.45</v>
      </c>
      <c r="F230" s="21">
        <v>305103.23109455704</v>
      </c>
      <c r="G230" s="21">
        <f>Table841419410132427323943485356714212835[[#This Row],[VỐN CP]]+Table841419410132427323943485356714212835[[#This Row],[LỢI NHUẬN RÒNG]]</f>
        <v>2155103.2310945569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1356880.9</v>
      </c>
      <c r="F231" s="21">
        <v>610206.46218911407</v>
      </c>
      <c r="G231" s="21">
        <f>Table841419410132427323943485356714212835[[#This Row],[VỐN CP]]+Table841419410132427323943485356714212835[[#This Row],[LỢI NHUẬN RÒNG]]</f>
        <v>4310206.4621891137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678440.45</v>
      </c>
      <c r="F232" s="21">
        <v>305103.23109455704</v>
      </c>
      <c r="G232" s="21">
        <f>Table841419410132427323943485356714212835[[#This Row],[VỐN CP]]+Table841419410132427323943485356714212835[[#This Row],[LỢI NHUẬN RÒNG]]</f>
        <v>2155103.2310945569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1356880.9</v>
      </c>
      <c r="F233" s="21">
        <v>610206.46218911407</v>
      </c>
      <c r="G233" s="21">
        <f>Table841419410132427323943485356714212835[[#This Row],[VỐN CP]]+Table841419410132427323943485356714212835[[#This Row],[LỢI NHUẬN RÒNG]]</f>
        <v>4310206.4621891137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678440.45</v>
      </c>
      <c r="F234" s="11">
        <v>305103.23109455704</v>
      </c>
      <c r="G234" s="21">
        <f>Table841419410132427323943485356714212835[[#This Row],[VỐN CP]]+Table841419410132427323943485356714212835[[#This Row],[LỢI NHUẬN RÒNG]]</f>
        <v>2155103.2310945569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1356880.9</v>
      </c>
      <c r="F235" s="21">
        <v>610206.46218911407</v>
      </c>
      <c r="G235" s="21">
        <f>Table841419410132427323943485356714212835[[#This Row],[VỐN CP]]+Table841419410132427323943485356714212835[[#This Row],[LỢI NHUẬN RÒNG]]</f>
        <v>4310206.4621891137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1356880.9</v>
      </c>
      <c r="F236" s="21">
        <v>610206.46218911407</v>
      </c>
      <c r="G236" s="21">
        <f>Table841419410132427323943485356714212835[[#This Row],[VỐN CP]]+Table841419410132427323943485356714212835[[#This Row],[LỢI NHUẬN RÒNG]]</f>
        <v>4310206.4621891137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1380357</v>
      </c>
      <c r="F237" s="21">
        <v>631687.57488480804</v>
      </c>
      <c r="G237" s="21">
        <f>Table841419410132427323943485356714212835[[#This Row],[VỐN CP]]+Table841419410132427323943485356714212835[[#This Row],[LỢI NHUẬN RÒNG]]</f>
        <v>4131687.5748848082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4141071</v>
      </c>
      <c r="F238" s="21">
        <v>1895062.7246544242</v>
      </c>
      <c r="G238" s="21">
        <f>Table841419410132427323943485356714212835[[#This Row],[VỐN CP]]+Table841419410132427323943485356714212835[[#This Row],[LỢI NHUẬN RÒNG]]</f>
        <v>12395062.724654425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1380357</v>
      </c>
      <c r="F239" s="21">
        <v>631687.57488480804</v>
      </c>
      <c r="G239" s="21">
        <f>Table841419410132427323943485356714212835[[#This Row],[VỐN CP]]+Table841419410132427323943485356714212835[[#This Row],[LỢI NHUẬN RÒNG]]</f>
        <v>4131687.5748848082</v>
      </c>
      <c r="H239" s="28"/>
      <c r="I239" s="11"/>
      <c r="J239" s="11"/>
    </row>
    <row r="240" spans="1:10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690178.5</v>
      </c>
      <c r="F240" s="21">
        <v>315843.78744240402</v>
      </c>
      <c r="G240" s="21">
        <f>Table841419410132427323943485356714212835[[#This Row],[VỐN CP]]+Table841419410132427323943485356714212835[[#This Row],[LỢI NHUẬN RÒNG]]</f>
        <v>2065843.7874424041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1380357</v>
      </c>
      <c r="F241" s="21">
        <v>631687.57488480804</v>
      </c>
      <c r="G241" s="21">
        <f>Table841419410132427323943485356714212835[[#This Row],[VỐN CP]]+Table841419410132427323943485356714212835[[#This Row],[LỢI NHUẬN RÒNG]]</f>
        <v>4131687.5748848082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1380357</v>
      </c>
      <c r="F242" s="21">
        <v>631687.57488480804</v>
      </c>
      <c r="G242" s="21">
        <f>Table841419410132427323943485356714212835[[#This Row],[VỐN CP]]+Table841419410132427323943485356714212835[[#This Row],[LỢI NHUẬN RÒNG]]</f>
        <v>4131687.5748848082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1380357</v>
      </c>
      <c r="F243" s="21">
        <v>631687.57488480804</v>
      </c>
      <c r="G243" s="21">
        <f>Table841419410132427323943485356714212835[[#This Row],[VỐN CP]]+Table841419410132427323943485356714212835[[#This Row],[LỢI NHUẬN RÒNG]]</f>
        <v>4131687.5748848082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1380357</v>
      </c>
      <c r="F244" s="21">
        <v>631687.57488480804</v>
      </c>
      <c r="G244" s="21">
        <f>Table841419410132427323943485356714212835[[#This Row],[VỐN CP]]+Table841419410132427323943485356714212835[[#This Row],[LỢI NHUẬN RÒNG]]</f>
        <v>4131687.5748848082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690178.5</v>
      </c>
      <c r="F245" s="21">
        <v>315843.78744240402</v>
      </c>
      <c r="G245" s="21">
        <f>Table841419410132427323943485356714212835[[#This Row],[VỐN CP]]+Table841419410132427323943485356714212835[[#This Row],[LỢI NHUẬN RÒNG]]</f>
        <v>2065843.7874424041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1226505.5</v>
      </c>
      <c r="F246" s="21">
        <v>266667.90837977978</v>
      </c>
      <c r="G246" s="21">
        <f>Table841419410132427323943485356714212835[[#This Row],[VỐN CP]]+Table841419410132427323943485356714212835[[#This Row],[LỢI NHUẬN RÒNG]]</f>
        <v>5266667.9083797801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2453011</v>
      </c>
      <c r="F247" s="21">
        <v>533335.81675955956</v>
      </c>
      <c r="G247" s="21">
        <f>Table841419410132427323943485356714212835[[#This Row],[VỐN CP]]+Table841419410132427323943485356714212835[[#This Row],[LỢI NHUẬN RÒNG]]</f>
        <v>10533335.81675956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1226505.5</v>
      </c>
      <c r="F248" s="21">
        <v>266667.90837977978</v>
      </c>
      <c r="G248" s="21">
        <f>Table841419410132427323943485356714212835[[#This Row],[VỐN CP]]+Table841419410132427323943485356714212835[[#This Row],[LỢI NHUẬN RÒNG]]</f>
        <v>5266667.9083797801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613252.75</v>
      </c>
      <c r="F249" s="21">
        <v>133333.95418988989</v>
      </c>
      <c r="G249" s="21">
        <f>Table841419410132427323943485356714212835[[#This Row],[VỐN CP]]+Table841419410132427323943485356714212835[[#This Row],[LỢI NHUẬN RÒNG]]</f>
        <v>2633333.9541898901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1226505.5</v>
      </c>
      <c r="F250" s="21">
        <v>266667.90837977978</v>
      </c>
      <c r="G250" s="21">
        <f>Table841419410132427323943485356714212835[[#This Row],[VỐN CP]]+Table841419410132427323943485356714212835[[#This Row],[LỢI NHUẬN RÒNG]]</f>
        <v>5266667.9083797801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613252.75</v>
      </c>
      <c r="F251" s="21">
        <v>133333.95418988989</v>
      </c>
      <c r="G251" s="21">
        <f>Table841419410132427323943485356714212835[[#This Row],[VỐN CP]]+Table841419410132427323943485356714212835[[#This Row],[LỢI NHUẬN RÒNG]]</f>
        <v>2633333.9541898901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1226505.5</v>
      </c>
      <c r="F252" s="21">
        <v>266667.90837977978</v>
      </c>
      <c r="G252" s="21">
        <f>Table841419410132427323943485356714212835[[#This Row],[VỐN CP]]+Table841419410132427323943485356714212835[[#This Row],[LỢI NHUẬN RÒNG]]</f>
        <v>5266667.9083797801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613252.75</v>
      </c>
      <c r="F253" s="21">
        <v>133333.95418988989</v>
      </c>
      <c r="G253" s="21">
        <f>Table841419410132427323943485356714212835[[#This Row],[VỐN CP]]+Table841419410132427323943485356714212835[[#This Row],[LỢI NHUẬN RÒNG]]</f>
        <v>2633333.9541898901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613252.75</v>
      </c>
      <c r="F254" s="21">
        <v>133333.95418988989</v>
      </c>
      <c r="G254" s="21">
        <f>Table841419410132427323943485356714212835[[#This Row],[VỐN CP]]+Table841419410132427323943485356714212835[[#This Row],[LỢI NHUẬN RÒNG]]</f>
        <v>2633333.9541898901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1226505.5</v>
      </c>
      <c r="F255" s="21">
        <v>266667.90837977978</v>
      </c>
      <c r="G255" s="21">
        <f>Table841419410132427323943485356714212835[[#This Row],[VỐN CP]]+Table841419410132427323943485356714212835[[#This Row],[LỢI NHUẬN RÒNG]]</f>
        <v>5266667.9083797801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613252.75</v>
      </c>
      <c r="F256" s="21">
        <v>133333.95418988989</v>
      </c>
      <c r="G256" s="21">
        <f>Table841419410132427323943485356714212835[[#This Row],[VỐN CP]]+Table841419410132427323943485356714212835[[#This Row],[LỢI NHUẬN RÒNG]]</f>
        <v>2633333.9541898901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613252.75</v>
      </c>
      <c r="F257" s="21">
        <v>133333.95418988989</v>
      </c>
      <c r="G257" s="21">
        <f>Table841419410132427323943485356714212835[[#This Row],[VỐN CP]]+Table841419410132427323943485356714212835[[#This Row],[LỢI NHUẬN RÒNG]]</f>
        <v>2633333.9541898901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1180531</v>
      </c>
      <c r="F258" s="21">
        <v>612502.98832821217</v>
      </c>
      <c r="G258" s="21">
        <f>Table841419410132427323943485356714212835[[#This Row],[VỐN CP]]+Table841419410132427323943485356714212835[[#This Row],[LỢI NHUẬN RÒNG]]</f>
        <v>2512502.9883282119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2361062</v>
      </c>
      <c r="F259" s="21">
        <v>1225005.9766564243</v>
      </c>
      <c r="G259" s="21">
        <f>Table841419410132427323943485356714212835[[#This Row],[VỐN CP]]+Table841419410132427323943485356714212835[[#This Row],[LỢI NHUẬN RÒNG]]</f>
        <v>5025005.9766564239</v>
      </c>
      <c r="H259" s="28"/>
      <c r="I259" s="11"/>
      <c r="J259" s="11"/>
    </row>
    <row r="260" spans="1:10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590265.5</v>
      </c>
      <c r="F260" s="21">
        <v>306251.49416410609</v>
      </c>
      <c r="G260" s="21">
        <f>Table841419410132427323943485356714212835[[#This Row],[VỐN CP]]+Table841419410132427323943485356714212835[[#This Row],[LỢI NHUẬN RÒNG]]</f>
        <v>1256251.494164106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1180531</v>
      </c>
      <c r="F261" s="21">
        <v>612502.98832821217</v>
      </c>
      <c r="G261" s="21">
        <f>Table841419410132427323943485356714212835[[#This Row],[VỐN CP]]+Table841419410132427323943485356714212835[[#This Row],[LỢI NHUẬN RÒNG]]</f>
        <v>2512502.9883282119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1770796.5</v>
      </c>
      <c r="F262" s="21">
        <v>918754.48249231814</v>
      </c>
      <c r="G262" s="21">
        <f>Table841419410132427323943485356714212835[[#This Row],[VỐN CP]]+Table841419410132427323943485356714212835[[#This Row],[LỢI NHUẬN RÒNG]]</f>
        <v>3768754.4824923184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1180531</v>
      </c>
      <c r="F263" s="21">
        <v>612502.98832821217</v>
      </c>
      <c r="G263" s="21">
        <f>Table841419410132427323943485356714212835[[#This Row],[VỐN CP]]+Table841419410132427323943485356714212835[[#This Row],[LỢI NHUẬN RÒNG]]</f>
        <v>2512502.9883282119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590265.5</v>
      </c>
      <c r="F264" s="21">
        <v>306251.49416410609</v>
      </c>
      <c r="G264" s="21">
        <f>Table841419410132427323943485356714212835[[#This Row],[VỐN CP]]+Table841419410132427323943485356714212835[[#This Row],[LỢI NHUẬN RÒNG]]</f>
        <v>1256251.494164106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2361062</v>
      </c>
      <c r="F265" s="21">
        <v>1225005.9766564243</v>
      </c>
      <c r="G265" s="21">
        <f>Table841419410132427323943485356714212835[[#This Row],[VỐN CP]]+Table841419410132427323943485356714212835[[#This Row],[LỢI NHUẬN RÒNG]]</f>
        <v>5025005.9766564239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590265.5</v>
      </c>
      <c r="F266" s="21">
        <v>306251.49416410609</v>
      </c>
      <c r="G266" s="21">
        <f>Table841419410132427323943485356714212835[[#This Row],[VỐN CP]]+Table841419410132427323943485356714212835[[#This Row],[LỢI NHUẬN RÒNG]]</f>
        <v>1256251.494164106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1595025.5</v>
      </c>
      <c r="F267" s="21">
        <v>1187496.7179993712</v>
      </c>
      <c r="G267" s="21">
        <f>Table841419410132427323943485356714212835[[#This Row],[VỐN CP]]+Table841419410132427323943485356714212835[[#This Row],[LỢI NHUẬN RÒNG]]</f>
        <v>2687496.7179993712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531675.16666666674</v>
      </c>
      <c r="F268" s="21">
        <v>395832.23933312373</v>
      </c>
      <c r="G268" s="21">
        <f>Table841419410132427323943485356714212835[[#This Row],[VỐN CP]]+Table841419410132427323943485356714212835[[#This Row],[LỢI NHUẬN RÒNG]]</f>
        <v>895832.23933312367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1063350.3333333335</v>
      </c>
      <c r="F269" s="21">
        <v>791664.47866624745</v>
      </c>
      <c r="G269" s="21">
        <f>Table841419410132427323943485356714212835[[#This Row],[VỐN CP]]+Table841419410132427323943485356714212835[[#This Row],[LỢI NHUẬN RÒNG]]</f>
        <v>1791664.4786662473</v>
      </c>
      <c r="H269" s="28"/>
      <c r="I269" s="11"/>
      <c r="J269" s="11"/>
    </row>
    <row r="270" spans="1:10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531675.16666666674</v>
      </c>
      <c r="F270" s="21">
        <v>395832.23933312373</v>
      </c>
      <c r="G270" s="21">
        <f>Table841419410132427323943485356714212835[[#This Row],[VỐN CP]]+Table841419410132427323943485356714212835[[#This Row],[LỢI NHUẬN RÒNG]]</f>
        <v>895832.23933312367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531675.16666666674</v>
      </c>
      <c r="F271" s="21">
        <v>395832.23933312373</v>
      </c>
      <c r="G271" s="21">
        <f>Table841419410132427323943485356714212835[[#This Row],[VỐN CP]]+Table841419410132427323943485356714212835[[#This Row],[LỢI NHUẬN RÒNG]]</f>
        <v>895832.23933312367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531675.16666666674</v>
      </c>
      <c r="F272" s="21">
        <v>395832.23933312373</v>
      </c>
      <c r="G272" s="21">
        <f>Table841419410132427323943485356714212835[[#This Row],[VỐN CP]]+Table841419410132427323943485356714212835[[#This Row],[LỢI NHUẬN RÒNG]]</f>
        <v>895832.23933312367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1595025.5</v>
      </c>
      <c r="F273" s="21">
        <v>1187496.7179993712</v>
      </c>
      <c r="G273" s="21">
        <f>Table841419410132427323943485356714212835[[#This Row],[VỐN CP]]+Table841419410132427323943485356714212835[[#This Row],[LỢI NHUẬN RÒNG]]</f>
        <v>2687496.7179993712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531675.16666666674</v>
      </c>
      <c r="F274" s="21">
        <v>395832.23933312373</v>
      </c>
      <c r="G274" s="21">
        <f>Table841419410132427323943485356714212835[[#This Row],[VỐN CP]]+Table841419410132427323943485356714212835[[#This Row],[LỢI NHUẬN RÒNG]]</f>
        <v>895832.23933312367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1063350.3333333335</v>
      </c>
      <c r="F275" s="21">
        <v>791664.47866624745</v>
      </c>
      <c r="G275" s="21">
        <f>Table841419410132427323943485356714212835[[#This Row],[VỐN CP]]+Table841419410132427323943485356714212835[[#This Row],[LỢI NHUẬN RÒNG]]</f>
        <v>1791664.4786662473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1063350.3333333335</v>
      </c>
      <c r="F276" s="21">
        <v>791664.47866624745</v>
      </c>
      <c r="G276" s="21">
        <f>Table841419410132427323943485356714212835[[#This Row],[VỐN CP]]+Table841419410132427323943485356714212835[[#This Row],[LỢI NHUẬN RÒNG]]</f>
        <v>1791664.4786662473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531675.16666666674</v>
      </c>
      <c r="F277" s="21">
        <v>395832.23933312373</v>
      </c>
      <c r="G277" s="21">
        <f>Table841419410132427323943485356714212835[[#This Row],[VỐN CP]]+Table841419410132427323943485356714212835[[#This Row],[LỢI NHUẬN RÒNG]]</f>
        <v>895832.23933312367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1063350.3333333335</v>
      </c>
      <c r="F278" s="21">
        <v>791664.47866624745</v>
      </c>
      <c r="G278" s="21">
        <f>Table841419410132427323943485356714212835[[#This Row],[VỐN CP]]+Table841419410132427323943485356714212835[[#This Row],[LỢI NHUẬN RÒNG]]</f>
        <v>1791664.4786662473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2523834.7999999998</v>
      </c>
      <c r="F279" s="21">
        <v>1586216.6837231219</v>
      </c>
      <c r="G279" s="21">
        <f>Table841419410132427323943485356714212835[[#This Row],[VỐN CP]]+Table841419410132427323943485356714212835[[#This Row],[LỢI NHUẬN RÒNG]]</f>
        <v>8786216.6837231219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1261917.3999999999</v>
      </c>
      <c r="F280" s="21">
        <v>793108.34186156094</v>
      </c>
      <c r="G280" s="21">
        <f>Table841419410132427323943485356714212835[[#This Row],[VỐN CP]]+Table841419410132427323943485356714212835[[#This Row],[LỢI NHUẬN RÒNG]]</f>
        <v>4393108.3418615609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1261917.3999999999</v>
      </c>
      <c r="F281" s="21">
        <v>793108.34186156094</v>
      </c>
      <c r="G281" s="21">
        <f>Table841419410132427323943485356714212835[[#This Row],[VỐN CP]]+Table841419410132427323943485356714212835[[#This Row],[LỢI NHUẬN RÒNG]]</f>
        <v>4393108.3418615609</v>
      </c>
      <c r="H281" s="28"/>
      <c r="I281" s="11"/>
      <c r="J281" s="11"/>
    </row>
    <row r="282" spans="1:10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630958.69999999995</v>
      </c>
      <c r="F282" s="21">
        <v>396554.17093078047</v>
      </c>
      <c r="G282" s="21">
        <f>Table841419410132427323943485356714212835[[#This Row],[VỐN CP]]+Table841419410132427323943485356714212835[[#This Row],[LỢI NHUẬN RÒNG]]</f>
        <v>2196554.1709307805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630958.69999999995</v>
      </c>
      <c r="F283" s="21">
        <v>396554.17093078047</v>
      </c>
      <c r="G283" s="21">
        <f>Table841419410132427323943485356714212835[[#This Row],[VỐN CP]]+Table841419410132427323943485356714212835[[#This Row],[LỢI NHUẬN RÒNG]]</f>
        <v>2196554.1709307805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630958.69999999995</v>
      </c>
      <c r="F284" s="21">
        <v>396554.17093078047</v>
      </c>
      <c r="G284" s="21">
        <f>Table841419410132427323943485356714212835[[#This Row],[VỐN CP]]+Table841419410132427323943485356714212835[[#This Row],[LỢI NHUẬN RÒNG]]</f>
        <v>2196554.1709307805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1892876.1</v>
      </c>
      <c r="F285" s="21">
        <v>1189662.5127923414</v>
      </c>
      <c r="G285" s="21">
        <f>Table841419410132427323943485356714212835[[#This Row],[VỐN CP]]+Table841419410132427323943485356714212835[[#This Row],[LỢI NHUẬN RÒNG]]</f>
        <v>6589662.5127923414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630958.69999999995</v>
      </c>
      <c r="F286" s="21">
        <v>396554.17093078047</v>
      </c>
      <c r="G286" s="21">
        <f>Table841419410132427323943485356714212835[[#This Row],[VỐN CP]]+Table841419410132427323943485356714212835[[#This Row],[LỢI NHUẬN RÒNG]]</f>
        <v>2196554.1709307805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1892876.1</v>
      </c>
      <c r="F287" s="21">
        <v>1189662.5127923414</v>
      </c>
      <c r="G287" s="21">
        <f>Table841419410132427323943485356714212835[[#This Row],[VỐN CP]]+Table841419410132427323943485356714212835[[#This Row],[LỢI NHUẬN RÒNG]]</f>
        <v>6589662.5127923414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1261917.3999999999</v>
      </c>
      <c r="F288" s="21">
        <v>793108.34186156094</v>
      </c>
      <c r="G288" s="21">
        <f>Table841419410132427323943485356714212835[[#This Row],[VỐN CP]]+Table841419410132427323943485356714212835[[#This Row],[LỢI NHUẬN RÒNG]]</f>
        <v>4393108.3418615609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1963419.8</v>
      </c>
      <c r="F289" s="21">
        <v>1179749.7441521331</v>
      </c>
      <c r="G289" s="21">
        <f>Table841419410132427323943485356714212835[[#This Row],[VỐN CP]]+Table841419410132427323943485356714212835[[#This Row],[LỢI NHUẬN RÒNG]]</f>
        <v>6379749.7441521334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981709.9</v>
      </c>
      <c r="F290" s="21">
        <v>589874.87207606656</v>
      </c>
      <c r="G290" s="21">
        <f>Table841419410132427323943485356714212835[[#This Row],[VỐN CP]]+Table841419410132427323943485356714212835[[#This Row],[LỢI NHUẬN RÒNG]]</f>
        <v>3189874.8720760667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981709.9</v>
      </c>
      <c r="F291" s="21">
        <v>589874.87207606656</v>
      </c>
      <c r="G291" s="21">
        <f>Table841419410132427323943485356714212835[[#This Row],[VỐN CP]]+Table841419410132427323943485356714212835[[#This Row],[LỢI NHUẬN RÒNG]]</f>
        <v>3189874.8720760667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1963419.8</v>
      </c>
      <c r="F292" s="21">
        <v>1179749.7441521331</v>
      </c>
      <c r="G292" s="21">
        <f>Table841419410132427323943485356714212835[[#This Row],[VỐN CP]]+Table841419410132427323943485356714212835[[#This Row],[LỢI NHUẬN RÒNG]]</f>
        <v>6379749.7441521334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490854.95</v>
      </c>
      <c r="F293" s="21">
        <v>294937.43603803328</v>
      </c>
      <c r="G293" s="21">
        <f>Table841419410132427323943485356714212835[[#This Row],[VỐN CP]]+Table841419410132427323943485356714212835[[#This Row],[LỢI NHUẬN RÒNG]]</f>
        <v>1594937.4360380333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490854.95</v>
      </c>
      <c r="F294" s="21">
        <v>294937.43603803328</v>
      </c>
      <c r="G294" s="21">
        <f>Table841419410132427323943485356714212835[[#This Row],[VỐN CP]]+Table841419410132427323943485356714212835[[#This Row],[LỢI NHUẬN RÒNG]]</f>
        <v>1594937.4360380333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490854.95</v>
      </c>
      <c r="F295" s="21">
        <v>294937.43603803328</v>
      </c>
      <c r="G295" s="21">
        <f>Table841419410132427323943485356714212835[[#This Row],[VỐN CP]]+Table841419410132427323943485356714212835[[#This Row],[LỢI NHUẬN RÒNG]]</f>
        <v>1594937.4360380333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1472564.85</v>
      </c>
      <c r="F296" s="21">
        <v>884812.30811409978</v>
      </c>
      <c r="G296" s="21">
        <f>Table841419410132427323943485356714212835[[#This Row],[VỐN CP]]+Table841419410132427323943485356714212835[[#This Row],[LỢI NHUẬN RÒNG]]</f>
        <v>4784812.3081141002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981709.9</v>
      </c>
      <c r="F297" s="21">
        <v>589874.87207606656</v>
      </c>
      <c r="G297" s="21">
        <f>Table841419410132427323943485356714212835[[#This Row],[VỐN CP]]+Table841419410132427323943485356714212835[[#This Row],[LỢI NHUẬN RÒNG]]</f>
        <v>3189874.8720760667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5199812.8000000026</v>
      </c>
      <c r="F298" s="21">
        <v>3262947.2266645837</v>
      </c>
      <c r="G298" s="21">
        <f>Table841419410132427323943485356714212835[[#This Row],[VỐN CP]]+Table841419410132427323943485356714212835[[#This Row],[LỢI NHUẬN RÒNG]]</f>
        <v>22702947.226664584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2599906.4000000013</v>
      </c>
      <c r="F299" s="21">
        <v>1631473.6133322918</v>
      </c>
      <c r="G299" s="21">
        <f>Table841419410132427323943485356714212835[[#This Row],[VỐN CP]]+Table841419410132427323943485356714212835[[#This Row],[LỢI NHUẬN RÒNG]]</f>
        <v>11351473.613332292</v>
      </c>
      <c r="H299" s="28"/>
      <c r="I299" s="11"/>
      <c r="J299" s="11"/>
    </row>
    <row r="300" spans="1:10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866635.46666666714</v>
      </c>
      <c r="F300" s="21">
        <v>543824.53777743061</v>
      </c>
      <c r="G300" s="21">
        <f>Table841419410132427323943485356714212835[[#This Row],[VỐN CP]]+Table841419410132427323943485356714212835[[#This Row],[LỢI NHUẬN RÒNG]]</f>
        <v>3783824.5377774304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2599906.4000000013</v>
      </c>
      <c r="F301" s="21">
        <v>1631473.6133322918</v>
      </c>
      <c r="G301" s="21">
        <f>Table841419410132427323943485356714212835[[#This Row],[VỐN CP]]+Table841419410132427323943485356714212835[[#This Row],[LỢI NHUẬN RÒNG]]</f>
        <v>11351473.613332292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866635.46666666714</v>
      </c>
      <c r="F302" s="21">
        <v>543824.53777743061</v>
      </c>
      <c r="G302" s="21">
        <f>Table841419410132427323943485356714212835[[#This Row],[VỐN CP]]+Table841419410132427323943485356714212835[[#This Row],[LỢI NHUẬN RÒNG]]</f>
        <v>3783824.5377774304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866635.46666666714</v>
      </c>
      <c r="F303" s="21">
        <v>543824.53777743061</v>
      </c>
      <c r="G303" s="21">
        <f>Table841419410132427323943485356714212835[[#This Row],[VỐN CP]]+Table841419410132427323943485356714212835[[#This Row],[LỢI NHUẬN RÒNG]]</f>
        <v>3783824.5377774304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2599906.4000000013</v>
      </c>
      <c r="F304" s="21">
        <v>1631473.6133322918</v>
      </c>
      <c r="G304" s="21">
        <f>Table841419410132427323943485356714212835[[#This Row],[VỐN CP]]+Table841419410132427323943485356714212835[[#This Row],[LỢI NHUẬN RÒNG]]</f>
        <v>11351473.613332292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1733270.9333333343</v>
      </c>
      <c r="F305" s="21">
        <v>1087649.0755548612</v>
      </c>
      <c r="G305" s="21">
        <f>Table841419410132427323943485356714212835[[#This Row],[VỐN CP]]+Table841419410132427323943485356714212835[[#This Row],[LỢI NHUẬN RÒNG]]</f>
        <v>7567649.0755548608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5370749.4000000004</v>
      </c>
      <c r="F306" s="21">
        <v>3298786.8359465026</v>
      </c>
      <c r="G306" s="21">
        <f>Table841419410132427323943485356714212835[[#This Row],[VỐN CP]]+Table841419410132427323943485356714212835[[#This Row],[LỢI NHUẬN RÒNG]]</f>
        <v>15298786.835946502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1790249.8</v>
      </c>
      <c r="F307" s="21">
        <v>1099595.6119821675</v>
      </c>
      <c r="G307" s="21">
        <f>Table841419410132427323943485356714212835[[#This Row],[VỐN CP]]+Table841419410132427323943485356714212835[[#This Row],[LỢI NHUẬN RÒNG]]</f>
        <v>5099595.6119821677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7160999.2000000002</v>
      </c>
      <c r="F308" s="21">
        <v>4398382.4479286699</v>
      </c>
      <c r="G308" s="21">
        <f>Table841419410132427323943485356714212835[[#This Row],[VỐN CP]]+Table841419410132427323943485356714212835[[#This Row],[LỢI NHUẬN RÒNG]]</f>
        <v>20398382.447928671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1790249.8</v>
      </c>
      <c r="F309" s="21">
        <v>1099595.6119821675</v>
      </c>
      <c r="G309" s="21">
        <f>Table841419410132427323943485356714212835[[#This Row],[VỐN CP]]+Table841419410132427323943485356714212835[[#This Row],[LỢI NHUẬN RÒNG]]</f>
        <v>5099595.6119821677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1790249.8</v>
      </c>
      <c r="F310" s="21">
        <v>1099595.6119821675</v>
      </c>
      <c r="G310" s="21">
        <f>Table841419410132427323943485356714212835[[#This Row],[VỐN CP]]+Table841419410132427323943485356714212835[[#This Row],[LỢI NHUẬN RÒNG]]</f>
        <v>5099595.6119821677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3580499.6</v>
      </c>
      <c r="F311" s="21">
        <v>2199191.2239643349</v>
      </c>
      <c r="G311" s="21">
        <f>Table841419410132427323943485356714212835[[#This Row],[VỐN CP]]+Table841419410132427323943485356714212835[[#This Row],[LỢI NHUẬN RÒNG]]</f>
        <v>10199191.223964335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1790249.8</v>
      </c>
      <c r="F312" s="21">
        <v>1099595.6119821675</v>
      </c>
      <c r="G312" s="21">
        <f>Table841419410132427323943485356714212835[[#This Row],[VỐN CP]]+Table841419410132427323943485356714212835[[#This Row],[LỢI NHUẬN RÒNG]]</f>
        <v>5099595.6119821677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3580499.6</v>
      </c>
      <c r="F313" s="21">
        <v>2199191.2239643349</v>
      </c>
      <c r="G313" s="21">
        <f>Table841419410132427323943485356714212835[[#This Row],[VỐN CP]]+Table841419410132427323943485356714212835[[#This Row],[LỢI NHUẬN RÒNG]]</f>
        <v>10199191.223964335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1790249.8</v>
      </c>
      <c r="F314" s="21">
        <v>1099595.6119821675</v>
      </c>
      <c r="G314" s="21">
        <f>Table841419410132427323943485356714212835[[#This Row],[VỐN CP]]+Table841419410132427323943485356714212835[[#This Row],[LỢI NHUẬN RÒNG]]</f>
        <v>5099595.6119821677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7160999.2000000002</v>
      </c>
      <c r="F315" s="21">
        <v>4398382.4479286699</v>
      </c>
      <c r="G315" s="21">
        <f>Table841419410132427323943485356714212835[[#This Row],[VỐN CP]]+Table841419410132427323943485356714212835[[#This Row],[LỢI NHUẬN RÒNG]]</f>
        <v>20398382.447928671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3173026.35</v>
      </c>
      <c r="F316" s="21">
        <v>1502626.9682547415</v>
      </c>
      <c r="G316" s="21">
        <f>Table841419410132427323943485356714212835[[#This Row],[VỐN CP]]+Table841419410132427323943485356714212835[[#This Row],[LỢI NHUẬN RÒNG]]</f>
        <v>9497626.9682547413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1057675.45</v>
      </c>
      <c r="F317" s="21">
        <v>500875.65608491376</v>
      </c>
      <c r="G317" s="21">
        <f>Table841419410132427323943485356714212835[[#This Row],[VỐN CP]]+Table841419410132427323943485356714212835[[#This Row],[LỢI NHUẬN RÒNG]]</f>
        <v>3165875.6560849138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2115350.9</v>
      </c>
      <c r="F318" s="21">
        <v>1001751.3121698275</v>
      </c>
      <c r="G318" s="21">
        <f>Table841419410132427323943485356714212835[[#This Row],[VỐN CP]]+Table841419410132427323943485356714212835[[#This Row],[LỢI NHUẬN RÒNG]]</f>
        <v>6331751.3121698275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1057675.45</v>
      </c>
      <c r="F319" s="21">
        <v>500875.65608491376</v>
      </c>
      <c r="G319" s="21">
        <f>Table841419410132427323943485356714212835[[#This Row],[VỐN CP]]+Table841419410132427323943485356714212835[[#This Row],[LỢI NHUẬN RÒNG]]</f>
        <v>3165875.6560849138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1057675.45</v>
      </c>
      <c r="F320" s="21">
        <v>500875.65608491376</v>
      </c>
      <c r="G320" s="21">
        <f>Table841419410132427323943485356714212835[[#This Row],[VỐN CP]]+Table841419410132427323943485356714212835[[#This Row],[LỢI NHUẬN RÒNG]]</f>
        <v>3165875.6560849138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4230701.8</v>
      </c>
      <c r="F321" s="21">
        <v>2003502.624339655</v>
      </c>
      <c r="G321" s="21">
        <f>Table841419410132427323943485356714212835[[#This Row],[VỐN CP]]+Table841419410132427323943485356714212835[[#This Row],[LỢI NHUẬN RÒNG]]</f>
        <v>12663502.624339655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1057675.45</v>
      </c>
      <c r="F322" s="21">
        <v>500875.65608491376</v>
      </c>
      <c r="G322" s="21">
        <f>Table841419410132427323943485356714212835[[#This Row],[VỐN CP]]+Table841419410132427323943485356714212835[[#This Row],[LỢI NHUẬN RÒNG]]</f>
        <v>3165875.6560849138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1057675.45</v>
      </c>
      <c r="F323" s="21">
        <v>500875.65608491376</v>
      </c>
      <c r="G323" s="21">
        <f>Table841419410132427323943485356714212835[[#This Row],[VỐN CP]]+Table841419410132427323943485356714212835[[#This Row],[LỢI NHUẬN RÒNG]]</f>
        <v>3165875.6560849138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1057675.45</v>
      </c>
      <c r="F324" s="21">
        <v>500875.65608491376</v>
      </c>
      <c r="G324" s="21">
        <f>Table841419410132427323943485356714212835[[#This Row],[VỐN CP]]+Table841419410132427323943485356714212835[[#This Row],[LỢI NHUẬN RÒNG]]</f>
        <v>3165875.6560849138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1057675.45</v>
      </c>
      <c r="F325" s="21">
        <v>500875.65608491376</v>
      </c>
      <c r="G325" s="21">
        <f>Table841419410132427323943485356714212835[[#This Row],[VỐN CP]]+Table841419410132427323943485356714212835[[#This Row],[LỢI NHUẬN RÒNG]]</f>
        <v>3165875.6560849138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1057675.45</v>
      </c>
      <c r="F326" s="21">
        <v>500875.65608491376</v>
      </c>
      <c r="G326" s="21">
        <f>Table841419410132427323943485356714212835[[#This Row],[VỐN CP]]+Table841419410132427323943485356714212835[[#This Row],[LỢI NHUẬN RÒNG]]</f>
        <v>3165875.6560849138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2115350.9</v>
      </c>
      <c r="F327" s="21">
        <v>1001751.3121698275</v>
      </c>
      <c r="G327" s="21">
        <f>Table841419410132427323943485356714212835[[#This Row],[VỐN CP]]+Table841419410132427323943485356714212835[[#This Row],[LỢI NHUẬN RÒNG]]</f>
        <v>6331751.3121698275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1057675.45</v>
      </c>
      <c r="F328" s="21">
        <v>500875.65608491376</v>
      </c>
      <c r="G328" s="21">
        <f>Table841419410132427323943485356714212835[[#This Row],[VỐN CP]]+Table841419410132427323943485356714212835[[#This Row],[LỢI NHUẬN RÒNG]]</f>
        <v>3165875.6560849138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3439431.8</v>
      </c>
      <c r="F329" s="21">
        <v>2545562.9432272734</v>
      </c>
      <c r="G329" s="21">
        <f>Table841419410132427323943485356714212835[[#This Row],[VỐN CP]]+Table841419410132427323943485356714212835[[#This Row],[LỢI NHUẬN RÒNG]]</f>
        <v>13045562.943227272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3439431.8</v>
      </c>
      <c r="F330" s="21">
        <v>2545562.9432272734</v>
      </c>
      <c r="G330" s="21">
        <f>Table841419410132427323943485356714212835[[#This Row],[VỐN CP]]+Table841419410132427323943485356714212835[[#This Row],[LỢI NHUẬN RÒNG]]</f>
        <v>13045562.943227272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5159147.7</v>
      </c>
      <c r="F331" s="21">
        <v>3818344.4148409097</v>
      </c>
      <c r="G331" s="21">
        <f>Table841419410132427323943485356714212835[[#This Row],[VỐN CP]]+Table841419410132427323943485356714212835[[#This Row],[LỢI NHUẬN RÒNG]]</f>
        <v>19568344.414840911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1719715.9</v>
      </c>
      <c r="F332" s="21">
        <v>1272781.4716136367</v>
      </c>
      <c r="G332" s="21">
        <f>Table841419410132427323943485356714212835[[#This Row],[VỐN CP]]+Table841419410132427323943485356714212835[[#This Row],[LỢI NHUẬN RÒNG]]</f>
        <v>6522781.4716136362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1719715.9</v>
      </c>
      <c r="F333" s="21">
        <v>1272781.4716136367</v>
      </c>
      <c r="G333" s="21">
        <f>Table841419410132427323943485356714212835[[#This Row],[VỐN CP]]+Table841419410132427323943485356714212835[[#This Row],[LỢI NHUẬN RÒNG]]</f>
        <v>6522781.4716136362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3439431.8</v>
      </c>
      <c r="F334" s="21">
        <v>2545562.9432272734</v>
      </c>
      <c r="G334" s="21">
        <f>Table841419410132427323943485356714212835[[#This Row],[VỐN CP]]+Table841419410132427323943485356714212835[[#This Row],[LỢI NHUẬN RÒNG]]</f>
        <v>13045562.943227272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1719715.9</v>
      </c>
      <c r="F335" s="21">
        <v>1272781.4716136367</v>
      </c>
      <c r="G335" s="21">
        <f>Table841419410132427323943485356714212835[[#This Row],[VỐN CP]]+Table841419410132427323943485356714212835[[#This Row],[LỢI NHUẬN RÒNG]]</f>
        <v>6522781.4716136362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6878863.5999999996</v>
      </c>
      <c r="F336" s="21">
        <v>5091125.8864545468</v>
      </c>
      <c r="G336" s="21">
        <f>Table841419410132427323943485356714212835[[#This Row],[VỐN CP]]+Table841419410132427323943485356714212835[[#This Row],[LỢI NHUẬN RÒNG]]</f>
        <v>26091125.886454545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6878863.5999999996</v>
      </c>
      <c r="F337" s="21">
        <v>5091125.8864545468</v>
      </c>
      <c r="G337" s="21">
        <f>Table841419410132427323943485356714212835[[#This Row],[VỐN CP]]+Table841419410132427323943485356714212835[[#This Row],[LỢI NHUẬN RÒNG]]</f>
        <v>26091125.886454545</v>
      </c>
      <c r="H337" s="28"/>
      <c r="I337" s="11"/>
      <c r="J337" s="11"/>
    </row>
    <row r="338" spans="1:10" hidden="1" x14ac:dyDescent="0.3">
      <c r="A338" s="23" t="s">
        <v>76</v>
      </c>
      <c r="B338" s="27" t="s">
        <v>9</v>
      </c>
      <c r="C338" s="21">
        <v>20</v>
      </c>
      <c r="D338" s="21">
        <v>5333333.333333334</v>
      </c>
      <c r="E338" s="21">
        <v>2319740.0666666664</v>
      </c>
      <c r="F338" s="21">
        <v>1176386.0830039978</v>
      </c>
      <c r="G338" s="21">
        <f>Table841419410132427323943485356714212835[[#This Row],[VỐN CP]]+Table841419410132427323943485356714212835[[#This Row],[LỢI NHUẬN RÒNG]]</f>
        <v>6509719.4163373318</v>
      </c>
      <c r="H338" s="28"/>
      <c r="I338" s="11"/>
      <c r="J338" s="11"/>
    </row>
    <row r="339" spans="1:10" hidden="1" x14ac:dyDescent="0.3">
      <c r="A339" s="23" t="s">
        <v>76</v>
      </c>
      <c r="B339" s="27" t="s">
        <v>19</v>
      </c>
      <c r="C339" s="21">
        <v>10</v>
      </c>
      <c r="D339" s="21">
        <v>2666666.666666667</v>
      </c>
      <c r="E339" s="21">
        <v>1159870.0333333332</v>
      </c>
      <c r="F339" s="21">
        <v>588193.0415019989</v>
      </c>
      <c r="G339" s="21">
        <f>Table841419410132427323943485356714212835[[#This Row],[VỐN CP]]+Table841419410132427323943485356714212835[[#This Row],[LỢI NHUẬN RÒNG]]</f>
        <v>3254859.7081686659</v>
      </c>
      <c r="H339" s="28"/>
      <c r="I339" s="11"/>
      <c r="J339" s="11"/>
    </row>
    <row r="340" spans="1:10" hidden="1" x14ac:dyDescent="0.3">
      <c r="A340" s="23" t="s">
        <v>76</v>
      </c>
      <c r="B340" s="27" t="s">
        <v>37</v>
      </c>
      <c r="C340" s="21">
        <v>10</v>
      </c>
      <c r="D340" s="21">
        <v>2666666.666666667</v>
      </c>
      <c r="E340" s="21">
        <v>1159870.0333333332</v>
      </c>
      <c r="F340" s="21">
        <v>588193.0415019989</v>
      </c>
      <c r="G340" s="21">
        <f>Table841419410132427323943485356714212835[[#This Row],[VỐN CP]]+Table841419410132427323943485356714212835[[#This Row],[LỢI NHUẬN RÒNG]]</f>
        <v>3254859.7081686659</v>
      </c>
      <c r="H340" s="28"/>
      <c r="I340" s="11"/>
      <c r="J340" s="11"/>
    </row>
    <row r="341" spans="1:10" hidden="1" x14ac:dyDescent="0.3">
      <c r="A341" s="23" t="s">
        <v>76</v>
      </c>
      <c r="B341" s="27" t="s">
        <v>31</v>
      </c>
      <c r="C341" s="21">
        <v>5</v>
      </c>
      <c r="D341" s="21">
        <v>1333333.3333333335</v>
      </c>
      <c r="E341" s="21">
        <v>579935.0166666666</v>
      </c>
      <c r="F341" s="21">
        <v>294096.52075099945</v>
      </c>
      <c r="G341" s="21">
        <f>Table841419410132427323943485356714212835[[#This Row],[VỐN CP]]+Table841419410132427323943485356714212835[[#This Row],[LỢI NHUẬN RÒNG]]</f>
        <v>1627429.8540843329</v>
      </c>
      <c r="H341" s="28"/>
      <c r="I341" s="11"/>
      <c r="J341" s="11"/>
    </row>
    <row r="342" spans="1:10" hidden="1" x14ac:dyDescent="0.3">
      <c r="A342" s="23" t="s">
        <v>76</v>
      </c>
      <c r="B342" s="27" t="s">
        <v>21</v>
      </c>
      <c r="C342" s="21">
        <v>15</v>
      </c>
      <c r="D342" s="21">
        <v>4000000.0000000005</v>
      </c>
      <c r="E342" s="21">
        <v>1739805.0499999998</v>
      </c>
      <c r="F342" s="21">
        <v>882289.56225299835</v>
      </c>
      <c r="G342" s="21">
        <f>Table841419410132427323943485356714212835[[#This Row],[VỐN CP]]+Table841419410132427323943485356714212835[[#This Row],[LỢI NHUẬN RÒNG]]</f>
        <v>4882289.5622529984</v>
      </c>
      <c r="H342" s="28"/>
      <c r="I342" s="11"/>
      <c r="J342" s="11"/>
    </row>
    <row r="343" spans="1:10" hidden="1" x14ac:dyDescent="0.3">
      <c r="A343" s="23" t="s">
        <v>76</v>
      </c>
      <c r="B343" s="27" t="s">
        <v>10</v>
      </c>
      <c r="C343" s="21">
        <v>5</v>
      </c>
      <c r="D343" s="21">
        <v>1333333.3333333335</v>
      </c>
      <c r="E343" s="21">
        <v>579935.0166666666</v>
      </c>
      <c r="F343" s="21">
        <v>294096.52075099945</v>
      </c>
      <c r="G343" s="21">
        <f>Table841419410132427323943485356714212835[[#This Row],[VỐN CP]]+Table841419410132427323943485356714212835[[#This Row],[LỢI NHUẬN RÒNG]]</f>
        <v>1627429.8540843329</v>
      </c>
      <c r="H343" s="28"/>
      <c r="I343" s="11"/>
      <c r="J343" s="11"/>
    </row>
    <row r="344" spans="1:10" hidden="1" x14ac:dyDescent="0.3">
      <c r="A344" s="23" t="s">
        <v>76</v>
      </c>
      <c r="B344" s="27" t="s">
        <v>13</v>
      </c>
      <c r="C344" s="21">
        <v>5</v>
      </c>
      <c r="D344" s="21">
        <v>1333333.3333333335</v>
      </c>
      <c r="E344" s="21">
        <v>579935.0166666666</v>
      </c>
      <c r="F344" s="21">
        <v>294096.52075099945</v>
      </c>
      <c r="G344" s="21">
        <f>Table841419410132427323943485356714212835[[#This Row],[VỐN CP]]+Table841419410132427323943485356714212835[[#This Row],[LỢI NHUẬN RÒNG]]</f>
        <v>1627429.8540843329</v>
      </c>
      <c r="H344" s="28"/>
      <c r="I344" s="11"/>
      <c r="J344" s="11"/>
    </row>
    <row r="345" spans="1:10" hidden="1" x14ac:dyDescent="0.3">
      <c r="A345" s="23" t="s">
        <v>76</v>
      </c>
      <c r="B345" s="27" t="s">
        <v>29</v>
      </c>
      <c r="C345" s="21">
        <v>5</v>
      </c>
      <c r="D345" s="21">
        <v>1333333.3333333335</v>
      </c>
      <c r="E345" s="21">
        <v>579935.0166666666</v>
      </c>
      <c r="F345" s="21">
        <v>294096.52075099945</v>
      </c>
      <c r="G345" s="21">
        <f>Table841419410132427323943485356714212835[[#This Row],[VỐN CP]]+Table841419410132427323943485356714212835[[#This Row],[LỢI NHUẬN RÒNG]]</f>
        <v>1627429.8540843329</v>
      </c>
      <c r="H345" s="28"/>
      <c r="I345" s="11"/>
      <c r="J345" s="11"/>
    </row>
    <row r="346" spans="1:10" hidden="1" x14ac:dyDescent="0.3">
      <c r="A346" s="23" t="s">
        <v>76</v>
      </c>
      <c r="B346" s="27" t="s">
        <v>35</v>
      </c>
      <c r="C346" s="21">
        <v>5</v>
      </c>
      <c r="D346" s="21">
        <v>1333333.3333333335</v>
      </c>
      <c r="E346" s="21">
        <v>579935.0166666666</v>
      </c>
      <c r="F346" s="21">
        <v>294096.52075099945</v>
      </c>
      <c r="G346" s="21">
        <f>Table841419410132427323943485356714212835[[#This Row],[VỐN CP]]+Table841419410132427323943485356714212835[[#This Row],[LỢI NHUẬN RÒNG]]</f>
        <v>1627429.8540843329</v>
      </c>
      <c r="H346" s="28"/>
      <c r="I346" s="11"/>
      <c r="J346" s="11"/>
    </row>
    <row r="347" spans="1:10" hidden="1" x14ac:dyDescent="0.3">
      <c r="A347" s="23" t="s">
        <v>76</v>
      </c>
      <c r="B347" s="27" t="s">
        <v>43</v>
      </c>
      <c r="C347" s="21">
        <v>10</v>
      </c>
      <c r="D347" s="21">
        <v>2666666.666666667</v>
      </c>
      <c r="E347" s="21">
        <v>1159870.0333333332</v>
      </c>
      <c r="F347" s="21">
        <v>588193.0415019989</v>
      </c>
      <c r="G347" s="21">
        <f>Table841419410132427323943485356714212835[[#This Row],[VỐN CP]]+Table841419410132427323943485356714212835[[#This Row],[LỢI NHUẬN RÒNG]]</f>
        <v>3254859.7081686659</v>
      </c>
      <c r="H347" s="28"/>
      <c r="I347" s="11"/>
      <c r="J347" s="11"/>
    </row>
    <row r="348" spans="1:10" hidden="1" x14ac:dyDescent="0.3">
      <c r="A348" s="23" t="s">
        <v>76</v>
      </c>
      <c r="B348" s="27" t="s">
        <v>25</v>
      </c>
      <c r="C348" s="21">
        <v>10</v>
      </c>
      <c r="D348" s="21">
        <v>2666666.666666667</v>
      </c>
      <c r="E348" s="21">
        <v>1159870.0333333332</v>
      </c>
      <c r="F348" s="21">
        <v>588193.0415019989</v>
      </c>
      <c r="G348" s="21">
        <f>Table841419410132427323943485356714212835[[#This Row],[VỐN CP]]+Table841419410132427323943485356714212835[[#This Row],[LỢI NHUẬN RÒNG]]</f>
        <v>3254859.7081686659</v>
      </c>
      <c r="H348" s="28"/>
      <c r="I348" s="11"/>
      <c r="J348" s="11"/>
    </row>
    <row r="349" spans="1:10" hidden="1" x14ac:dyDescent="0.3">
      <c r="A349" s="23" t="s">
        <v>77</v>
      </c>
      <c r="B349" s="27" t="s">
        <v>9</v>
      </c>
      <c r="C349" s="21">
        <v>15</v>
      </c>
      <c r="D349" s="21">
        <v>2925000</v>
      </c>
      <c r="E349" s="21">
        <v>1190061.8999999999</v>
      </c>
      <c r="F349" s="21">
        <v>658507.90513673495</v>
      </c>
      <c r="G349" s="21">
        <f>Table841419410132427323943485356714212835[[#This Row],[VỐN CP]]+Table841419410132427323943485356714212835[[#This Row],[LỢI NHUẬN RÒNG]]</f>
        <v>3583507.9051367352</v>
      </c>
      <c r="H349" s="28"/>
      <c r="I349" s="11"/>
      <c r="J349" s="11"/>
    </row>
    <row r="350" spans="1:10" hidden="1" x14ac:dyDescent="0.3">
      <c r="A350" s="23" t="s">
        <v>77</v>
      </c>
      <c r="B350" s="27" t="s">
        <v>19</v>
      </c>
      <c r="C350" s="21">
        <v>10</v>
      </c>
      <c r="D350" s="21">
        <v>1950000</v>
      </c>
      <c r="E350" s="21">
        <v>793374.6</v>
      </c>
      <c r="F350" s="21">
        <v>439005.27009115665</v>
      </c>
      <c r="G350" s="21">
        <f>Table841419410132427323943485356714212835[[#This Row],[VỐN CP]]+Table841419410132427323943485356714212835[[#This Row],[LỢI NHUẬN RÒNG]]</f>
        <v>2389005.2700911565</v>
      </c>
      <c r="H350" s="28"/>
      <c r="I350" s="11"/>
      <c r="J350" s="11"/>
    </row>
    <row r="351" spans="1:10" hidden="1" x14ac:dyDescent="0.3">
      <c r="A351" s="23" t="s">
        <v>77</v>
      </c>
      <c r="B351" s="27" t="s">
        <v>37</v>
      </c>
      <c r="C351" s="21">
        <v>15</v>
      </c>
      <c r="D351" s="21">
        <v>2925000</v>
      </c>
      <c r="E351" s="21">
        <v>1190061.8999999999</v>
      </c>
      <c r="F351" s="21">
        <v>658507.90513673495</v>
      </c>
      <c r="G351" s="21">
        <f>Table841419410132427323943485356714212835[[#This Row],[VỐN CP]]+Table841419410132427323943485356714212835[[#This Row],[LỢI NHUẬN RÒNG]]</f>
        <v>3583507.9051367352</v>
      </c>
      <c r="H351" s="28"/>
      <c r="I351" s="11"/>
      <c r="J351" s="11"/>
    </row>
    <row r="352" spans="1:10" x14ac:dyDescent="0.3">
      <c r="A352" s="23" t="s">
        <v>77</v>
      </c>
      <c r="B352" s="27" t="s">
        <v>33</v>
      </c>
      <c r="C352" s="21">
        <v>5</v>
      </c>
      <c r="D352" s="21">
        <v>975000</v>
      </c>
      <c r="E352" s="21">
        <v>396687.3</v>
      </c>
      <c r="F352" s="21">
        <v>219502.63504557832</v>
      </c>
      <c r="G352" s="21">
        <f>Table841419410132427323943485356714212835[[#This Row],[VỐN CP]]+Table841419410132427323943485356714212835[[#This Row],[LỢI NHUẬN RÒNG]]</f>
        <v>1194502.6350455782</v>
      </c>
      <c r="H352" s="28"/>
      <c r="I352" s="11"/>
      <c r="J352" s="11"/>
    </row>
    <row r="353" spans="1:10" hidden="1" x14ac:dyDescent="0.3">
      <c r="A353" s="23" t="s">
        <v>77</v>
      </c>
      <c r="B353" s="27" t="s">
        <v>31</v>
      </c>
      <c r="C353" s="21">
        <v>5</v>
      </c>
      <c r="D353" s="21">
        <v>975000</v>
      </c>
      <c r="E353" s="21">
        <v>396687.3</v>
      </c>
      <c r="F353" s="21">
        <v>219502.63504557832</v>
      </c>
      <c r="G353" s="21">
        <f>Table841419410132427323943485356714212835[[#This Row],[VỐN CP]]+Table841419410132427323943485356714212835[[#This Row],[LỢI NHUẬN RÒNG]]</f>
        <v>1194502.6350455782</v>
      </c>
      <c r="H353" s="28"/>
      <c r="I353" s="11"/>
      <c r="J353" s="11"/>
    </row>
    <row r="354" spans="1:10" hidden="1" x14ac:dyDescent="0.3">
      <c r="A354" s="23" t="s">
        <v>77</v>
      </c>
      <c r="B354" s="27" t="s">
        <v>15</v>
      </c>
      <c r="C354" s="21">
        <v>5</v>
      </c>
      <c r="D354" s="21">
        <v>975000</v>
      </c>
      <c r="E354" s="21">
        <v>396687.3</v>
      </c>
      <c r="F354" s="21">
        <v>219502.63504557832</v>
      </c>
      <c r="G354" s="21">
        <f>Table841419410132427323943485356714212835[[#This Row],[VỐN CP]]+Table841419410132427323943485356714212835[[#This Row],[LỢI NHUẬN RÒNG]]</f>
        <v>1194502.6350455782</v>
      </c>
      <c r="H354" s="28"/>
      <c r="I354" s="11"/>
      <c r="J354" s="11"/>
    </row>
    <row r="355" spans="1:10" hidden="1" x14ac:dyDescent="0.3">
      <c r="A355" s="23" t="s">
        <v>77</v>
      </c>
      <c r="B355" s="27" t="s">
        <v>21</v>
      </c>
      <c r="C355" s="21">
        <v>20</v>
      </c>
      <c r="D355" s="21">
        <v>3900000</v>
      </c>
      <c r="E355" s="21">
        <v>1586749.2</v>
      </c>
      <c r="F355" s="21">
        <v>878010.5401823133</v>
      </c>
      <c r="G355" s="21">
        <f>Table841419410132427323943485356714212835[[#This Row],[VỐN CP]]+Table841419410132427323943485356714212835[[#This Row],[LỢI NHUẬN RÒNG]]</f>
        <v>4778010.540182313</v>
      </c>
      <c r="H355" s="28"/>
      <c r="I355" s="11"/>
      <c r="J355" s="11"/>
    </row>
    <row r="356" spans="1:10" hidden="1" x14ac:dyDescent="0.3">
      <c r="A356" s="23" t="s">
        <v>77</v>
      </c>
      <c r="B356" s="27" t="s">
        <v>43</v>
      </c>
      <c r="C356" s="21">
        <v>10</v>
      </c>
      <c r="D356" s="21">
        <v>1950000</v>
      </c>
      <c r="E356" s="21">
        <v>793374.6</v>
      </c>
      <c r="F356" s="21">
        <v>439005.27009115665</v>
      </c>
      <c r="G356" s="21">
        <f>Table841419410132427323943485356714212835[[#This Row],[VỐN CP]]+Table841419410132427323943485356714212835[[#This Row],[LỢI NHUẬN RÒNG]]</f>
        <v>2389005.2700911565</v>
      </c>
      <c r="H356" s="28"/>
      <c r="I356" s="11"/>
      <c r="J356" s="11"/>
    </row>
    <row r="357" spans="1:10" hidden="1" x14ac:dyDescent="0.3">
      <c r="A357" s="23" t="s">
        <v>77</v>
      </c>
      <c r="B357" s="27" t="s">
        <v>45</v>
      </c>
      <c r="C357" s="21">
        <v>5</v>
      </c>
      <c r="D357" s="21">
        <v>975000</v>
      </c>
      <c r="E357" s="21">
        <v>396687.3</v>
      </c>
      <c r="F357" s="21">
        <v>219502.63504557832</v>
      </c>
      <c r="G357" s="21">
        <f>Table841419410132427323943485356714212835[[#This Row],[VỐN CP]]+Table841419410132427323943485356714212835[[#This Row],[LỢI NHUẬN RÒNG]]</f>
        <v>1194502.6350455782</v>
      </c>
      <c r="H357" s="28"/>
      <c r="I357" s="11"/>
      <c r="J357" s="11"/>
    </row>
    <row r="358" spans="1:10" hidden="1" x14ac:dyDescent="0.3">
      <c r="A358" s="23" t="s">
        <v>77</v>
      </c>
      <c r="B358" s="27" t="s">
        <v>25</v>
      </c>
      <c r="C358" s="21">
        <v>10</v>
      </c>
      <c r="D358" s="21">
        <v>1950000</v>
      </c>
      <c r="E358" s="21">
        <v>793374.6</v>
      </c>
      <c r="F358" s="21">
        <v>439005.27009115665</v>
      </c>
      <c r="G358" s="21">
        <f>Table841419410132427323943485356714212835[[#This Row],[VỐN CP]]+Table841419410132427323943485356714212835[[#This Row],[LỢI NHUẬN RÒNG]]</f>
        <v>2389005.2700911565</v>
      </c>
      <c r="H358" s="28"/>
      <c r="I358" s="11"/>
      <c r="J358" s="11"/>
    </row>
    <row r="359" spans="1:10" hidden="1" x14ac:dyDescent="0.3">
      <c r="A359" s="23" t="s">
        <v>78</v>
      </c>
      <c r="B359" s="27" t="s">
        <v>9</v>
      </c>
      <c r="C359" s="21">
        <v>15</v>
      </c>
      <c r="D359" s="21">
        <v>3900000</v>
      </c>
      <c r="E359" s="21">
        <v>658723.19999999995</v>
      </c>
      <c r="F359" s="21">
        <v>249015.70828249789</v>
      </c>
      <c r="G359" s="21">
        <f>Table841419410132427323943485356714212835[[#This Row],[VỐN CP]]+Table841419410132427323943485356714212835[[#This Row],[LỢI NHUẬN RÒNG]]</f>
        <v>4149015.7082824977</v>
      </c>
      <c r="H359" s="28"/>
      <c r="I359" s="11"/>
      <c r="J359" s="11"/>
    </row>
    <row r="360" spans="1:10" hidden="1" x14ac:dyDescent="0.3">
      <c r="A360" s="23" t="s">
        <v>78</v>
      </c>
      <c r="B360" s="27" t="s">
        <v>19</v>
      </c>
      <c r="C360" s="21">
        <v>5</v>
      </c>
      <c r="D360" s="21">
        <v>1300000</v>
      </c>
      <c r="E360" s="21">
        <v>219574.39999999999</v>
      </c>
      <c r="F360" s="21">
        <v>83005.236094165972</v>
      </c>
      <c r="G360" s="21">
        <f>Table841419410132427323943485356714212835[[#This Row],[VỐN CP]]+Table841419410132427323943485356714212835[[#This Row],[LỢI NHUẬN RÒNG]]</f>
        <v>1383005.2360941661</v>
      </c>
      <c r="H360" s="28"/>
      <c r="I360" s="11"/>
      <c r="J360" s="11"/>
    </row>
    <row r="361" spans="1:10" hidden="1" x14ac:dyDescent="0.3">
      <c r="A361" s="23" t="s">
        <v>78</v>
      </c>
      <c r="B361" s="27" t="s">
        <v>37</v>
      </c>
      <c r="C361" s="21">
        <v>15</v>
      </c>
      <c r="D361" s="21">
        <v>3900000</v>
      </c>
      <c r="E361" s="21">
        <v>658723.19999999995</v>
      </c>
      <c r="F361" s="21">
        <v>249015.70828249789</v>
      </c>
      <c r="G361" s="21">
        <f>Table841419410132427323943485356714212835[[#This Row],[VỐN CP]]+Table841419410132427323943485356714212835[[#This Row],[LỢI NHUẬN RÒNG]]</f>
        <v>4149015.7082824977</v>
      </c>
      <c r="H361" s="28"/>
      <c r="I361" s="11"/>
      <c r="J361" s="11"/>
    </row>
    <row r="362" spans="1:10" hidden="1" x14ac:dyDescent="0.3">
      <c r="A362" s="23" t="s">
        <v>78</v>
      </c>
      <c r="B362" s="27" t="s">
        <v>31</v>
      </c>
      <c r="C362" s="21">
        <v>10</v>
      </c>
      <c r="D362" s="21">
        <v>2600000</v>
      </c>
      <c r="E362" s="21">
        <v>439148.79999999999</v>
      </c>
      <c r="F362" s="21">
        <v>166010.47218833194</v>
      </c>
      <c r="G362" s="21">
        <f>Table841419410132427323943485356714212835[[#This Row],[VỐN CP]]+Table841419410132427323943485356714212835[[#This Row],[LỢI NHUẬN RÒNG]]</f>
        <v>2766010.4721883321</v>
      </c>
      <c r="H362" s="28"/>
      <c r="I362" s="11"/>
      <c r="J362" s="11"/>
    </row>
    <row r="363" spans="1:10" hidden="1" x14ac:dyDescent="0.3">
      <c r="A363" s="23" t="s">
        <v>78</v>
      </c>
      <c r="B363" s="27" t="s">
        <v>15</v>
      </c>
      <c r="C363" s="21">
        <v>5</v>
      </c>
      <c r="D363" s="21">
        <v>1300000</v>
      </c>
      <c r="E363" s="21">
        <v>219574.39999999999</v>
      </c>
      <c r="F363" s="21">
        <v>83005.236094165972</v>
      </c>
      <c r="G363" s="21">
        <f>Table841419410132427323943485356714212835[[#This Row],[VỐN CP]]+Table841419410132427323943485356714212835[[#This Row],[LỢI NHUẬN RÒNG]]</f>
        <v>1383005.2360941661</v>
      </c>
      <c r="H363" s="28"/>
      <c r="I363" s="11"/>
      <c r="J363" s="11"/>
    </row>
    <row r="364" spans="1:10" hidden="1" x14ac:dyDescent="0.3">
      <c r="A364" s="23" t="s">
        <v>78</v>
      </c>
      <c r="B364" s="27" t="s">
        <v>21</v>
      </c>
      <c r="C364" s="21">
        <v>20</v>
      </c>
      <c r="D364" s="21">
        <v>5200000</v>
      </c>
      <c r="E364" s="21">
        <v>878297.59999999998</v>
      </c>
      <c r="F364" s="21">
        <v>332020.94437666389</v>
      </c>
      <c r="G364" s="21">
        <f>Table841419410132427323943485356714212835[[#This Row],[VỐN CP]]+Table841419410132427323943485356714212835[[#This Row],[LỢI NHUẬN RÒNG]]</f>
        <v>5532020.9443766642</v>
      </c>
      <c r="H364" s="28"/>
      <c r="I364" s="11"/>
      <c r="J364" s="11"/>
    </row>
    <row r="365" spans="1:10" hidden="1" x14ac:dyDescent="0.3">
      <c r="A365" s="23" t="s">
        <v>78</v>
      </c>
      <c r="B365" s="27" t="s">
        <v>13</v>
      </c>
      <c r="C365" s="21">
        <v>5</v>
      </c>
      <c r="D365" s="21">
        <v>1300000</v>
      </c>
      <c r="E365" s="21">
        <v>219574.39999999999</v>
      </c>
      <c r="F365" s="21">
        <v>83005.236094165972</v>
      </c>
      <c r="G365" s="21">
        <f>Table841419410132427323943485356714212835[[#This Row],[VỐN CP]]+Table841419410132427323943485356714212835[[#This Row],[LỢI NHUẬN RÒNG]]</f>
        <v>1383005.2360941661</v>
      </c>
      <c r="H365" s="28"/>
      <c r="I365" s="11"/>
      <c r="J365" s="11"/>
    </row>
    <row r="366" spans="1:10" hidden="1" x14ac:dyDescent="0.3">
      <c r="A366" s="23" t="s">
        <v>78</v>
      </c>
      <c r="B366" s="27" t="s">
        <v>29</v>
      </c>
      <c r="C366" s="21">
        <v>5</v>
      </c>
      <c r="D366" s="21">
        <v>1300000</v>
      </c>
      <c r="E366" s="21">
        <v>219574.39999999999</v>
      </c>
      <c r="F366" s="21">
        <v>83005.236094165972</v>
      </c>
      <c r="G366" s="21">
        <f>Table841419410132427323943485356714212835[[#This Row],[VỐN CP]]+Table841419410132427323943485356714212835[[#This Row],[LỢI NHUẬN RÒNG]]</f>
        <v>1383005.2360941661</v>
      </c>
      <c r="H366" s="28"/>
      <c r="I366" s="11"/>
      <c r="J366" s="11"/>
    </row>
    <row r="367" spans="1:10" hidden="1" x14ac:dyDescent="0.3">
      <c r="A367" s="23" t="s">
        <v>78</v>
      </c>
      <c r="B367" s="27" t="s">
        <v>43</v>
      </c>
      <c r="C367" s="21">
        <v>5</v>
      </c>
      <c r="D367" s="21">
        <v>1300000</v>
      </c>
      <c r="E367" s="21">
        <v>219574.39999999999</v>
      </c>
      <c r="F367" s="21">
        <v>83005.236094165972</v>
      </c>
      <c r="G367" s="21">
        <f>Table841419410132427323943485356714212835[[#This Row],[VỐN CP]]+Table841419410132427323943485356714212835[[#This Row],[LỢI NHUẬN RÒNG]]</f>
        <v>1383005.2360941661</v>
      </c>
      <c r="H367" s="28"/>
      <c r="I367" s="11"/>
      <c r="J367" s="11"/>
    </row>
    <row r="368" spans="1:10" hidden="1" x14ac:dyDescent="0.3">
      <c r="A368" s="23" t="s">
        <v>78</v>
      </c>
      <c r="B368" s="27" t="s">
        <v>44</v>
      </c>
      <c r="C368" s="21">
        <v>5</v>
      </c>
      <c r="D368" s="21">
        <v>1300000</v>
      </c>
      <c r="E368" s="21">
        <v>219574.39999999999</v>
      </c>
      <c r="F368" s="21">
        <v>83005.236094165972</v>
      </c>
      <c r="G368" s="21">
        <f>Table841419410132427323943485356714212835[[#This Row],[VỐN CP]]+Table841419410132427323943485356714212835[[#This Row],[LỢI NHUẬN RÒNG]]</f>
        <v>1383005.2360941661</v>
      </c>
      <c r="H368" s="28"/>
      <c r="I368" s="11"/>
      <c r="J368" s="11"/>
    </row>
    <row r="369" spans="1:10" hidden="1" x14ac:dyDescent="0.3">
      <c r="A369" s="23" t="s">
        <v>78</v>
      </c>
      <c r="B369" s="27" t="s">
        <v>25</v>
      </c>
      <c r="C369" s="21">
        <v>10</v>
      </c>
      <c r="D369" s="21">
        <v>2600000</v>
      </c>
      <c r="E369" s="21">
        <v>439148.79999999999</v>
      </c>
      <c r="F369" s="21">
        <v>166010.47218833194</v>
      </c>
      <c r="G369" s="21">
        <f>Table841419410132427323943485356714212835[[#This Row],[VỐN CP]]+Table841419410132427323943485356714212835[[#This Row],[LỢI NHUẬN RÒNG]]</f>
        <v>2766010.4721883321</v>
      </c>
      <c r="H369" s="28"/>
      <c r="I369" s="11"/>
      <c r="J369" s="11"/>
    </row>
    <row r="370" spans="1:10" hidden="1" x14ac:dyDescent="0.3">
      <c r="A370" s="23" t="s">
        <v>79</v>
      </c>
      <c r="B370" s="27" t="s">
        <v>9</v>
      </c>
      <c r="C370" s="21">
        <v>30</v>
      </c>
      <c r="D370" s="21">
        <v>18000000</v>
      </c>
      <c r="E370" s="21">
        <v>3919666.5</v>
      </c>
      <c r="F370" s="21">
        <v>1870057.7069153353</v>
      </c>
      <c r="G370" s="21">
        <f>Table841419410132427323943485356714212835[[#This Row],[VỐN CP]]+Table841419410132427323943485356714212835[[#This Row],[LỢI NHUẬN RÒNG]]</f>
        <v>19870057.706915334</v>
      </c>
      <c r="H370" s="28"/>
      <c r="I370" s="11"/>
      <c r="J370" s="11"/>
    </row>
    <row r="371" spans="1:10" hidden="1" x14ac:dyDescent="0.3">
      <c r="A371" s="23" t="s">
        <v>79</v>
      </c>
      <c r="B371" s="27" t="s">
        <v>37</v>
      </c>
      <c r="C371" s="21">
        <v>30</v>
      </c>
      <c r="D371" s="21">
        <v>18000000</v>
      </c>
      <c r="E371" s="21">
        <v>3919666.5</v>
      </c>
      <c r="F371" s="21">
        <v>1870057.7069153353</v>
      </c>
      <c r="G371" s="21">
        <f>Table841419410132427323943485356714212835[[#This Row],[VỐN CP]]+Table841419410132427323943485356714212835[[#This Row],[LỢI NHUẬN RÒNG]]</f>
        <v>19870057.706915334</v>
      </c>
      <c r="H371" s="28"/>
      <c r="I371" s="11"/>
      <c r="J371" s="11"/>
    </row>
    <row r="372" spans="1:10" hidden="1" x14ac:dyDescent="0.3">
      <c r="A372" s="23" t="s">
        <v>79</v>
      </c>
      <c r="B372" s="27" t="s">
        <v>21</v>
      </c>
      <c r="C372" s="21">
        <v>30</v>
      </c>
      <c r="D372" s="21">
        <v>18000000</v>
      </c>
      <c r="E372" s="21">
        <v>3919666.5</v>
      </c>
      <c r="F372" s="21">
        <v>1870057.7069153353</v>
      </c>
      <c r="G372" s="21">
        <f>Table841419410132427323943485356714212835[[#This Row],[VỐN CP]]+Table841419410132427323943485356714212835[[#This Row],[LỢI NHUẬN RÒNG]]</f>
        <v>19870057.706915334</v>
      </c>
      <c r="H372" s="28"/>
      <c r="I372" s="11"/>
      <c r="J372" s="11"/>
    </row>
    <row r="373" spans="1:10" hidden="1" x14ac:dyDescent="0.3">
      <c r="A373" s="23" t="s">
        <v>79</v>
      </c>
      <c r="B373" s="27" t="s">
        <v>10</v>
      </c>
      <c r="C373" s="21">
        <v>10</v>
      </c>
      <c r="D373" s="21">
        <v>6000000</v>
      </c>
      <c r="E373" s="21">
        <v>1306555.5</v>
      </c>
      <c r="F373" s="21">
        <v>623352.5689717785</v>
      </c>
      <c r="G373" s="21">
        <f>Table841419410132427323943485356714212835[[#This Row],[VỐN CP]]+Table841419410132427323943485356714212835[[#This Row],[LỢI NHUẬN RÒNG]]</f>
        <v>6623352.5689717783</v>
      </c>
      <c r="H373" s="28"/>
      <c r="I373" s="11"/>
      <c r="J373" s="11"/>
    </row>
    <row r="374" spans="1:10" hidden="1" x14ac:dyDescent="0.3">
      <c r="A374" s="23" t="s">
        <v>80</v>
      </c>
      <c r="B374" s="27" t="s">
        <v>9</v>
      </c>
      <c r="C374" s="21">
        <v>30</v>
      </c>
      <c r="D374" s="21">
        <v>15000000</v>
      </c>
      <c r="E374" s="21">
        <v>4675373.4000000004</v>
      </c>
      <c r="F374" s="21">
        <v>2993141.6905393749</v>
      </c>
      <c r="G374" s="21">
        <f>Table841419410132427323943485356714212835[[#This Row],[VỐN CP]]+Table841419410132427323943485356714212835[[#This Row],[LỢI NHUẬN RÒNG]]</f>
        <v>17993141.690539375</v>
      </c>
      <c r="H374" s="28"/>
      <c r="I374" s="11"/>
      <c r="J374" s="11"/>
    </row>
    <row r="375" spans="1:10" hidden="1" x14ac:dyDescent="0.3">
      <c r="A375" s="23" t="s">
        <v>80</v>
      </c>
      <c r="B375" s="27" t="s">
        <v>37</v>
      </c>
      <c r="C375" s="21">
        <v>40</v>
      </c>
      <c r="D375" s="21">
        <v>20000000</v>
      </c>
      <c r="E375" s="21">
        <v>6233831.2000000002</v>
      </c>
      <c r="F375" s="21">
        <v>3990855.5873858333</v>
      </c>
      <c r="G375" s="21">
        <f>Table841419410132427323943485356714212835[[#This Row],[VỐN CP]]+Table841419410132427323943485356714212835[[#This Row],[LỢI NHUẬN RÒNG]]</f>
        <v>23990855.587385833</v>
      </c>
      <c r="H375" s="28"/>
      <c r="I375" s="11"/>
      <c r="J375" s="11"/>
    </row>
    <row r="376" spans="1:10" hidden="1" x14ac:dyDescent="0.3">
      <c r="A376" s="23" t="s">
        <v>80</v>
      </c>
      <c r="B376" s="27" t="s">
        <v>21</v>
      </c>
      <c r="C376" s="21">
        <v>20</v>
      </c>
      <c r="D376" s="21">
        <v>10000000</v>
      </c>
      <c r="E376" s="21">
        <v>3116915.6</v>
      </c>
      <c r="F376" s="21">
        <v>1995427.7936929166</v>
      </c>
      <c r="G376" s="21">
        <f>Table841419410132427323943485356714212835[[#This Row],[VỐN CP]]+Table841419410132427323943485356714212835[[#This Row],[LỢI NHUẬN RÒNG]]</f>
        <v>11995427.793692917</v>
      </c>
      <c r="H376" s="28"/>
      <c r="I376" s="11"/>
      <c r="J376" s="11"/>
    </row>
    <row r="377" spans="1:10" hidden="1" x14ac:dyDescent="0.3">
      <c r="A377" s="23" t="s">
        <v>80</v>
      </c>
      <c r="B377" s="27" t="s">
        <v>10</v>
      </c>
      <c r="C377" s="21">
        <v>10</v>
      </c>
      <c r="D377" s="21">
        <v>5000000</v>
      </c>
      <c r="E377" s="21">
        <v>1558457.8</v>
      </c>
      <c r="F377" s="21">
        <v>997713.89684645832</v>
      </c>
      <c r="G377" s="21">
        <f>Table841419410132427323943485356714212835[[#This Row],[VỐN CP]]+Table841419410132427323943485356714212835[[#This Row],[LỢI NHUẬN RÒNG]]</f>
        <v>5997713.8968464583</v>
      </c>
      <c r="H377" s="28"/>
      <c r="I377" s="11"/>
      <c r="J377" s="11"/>
    </row>
    <row r="378" spans="1:10" hidden="1" x14ac:dyDescent="0.3">
      <c r="A378" s="23" t="s">
        <v>81</v>
      </c>
      <c r="B378" s="27" t="s">
        <v>9</v>
      </c>
      <c r="C378" s="21">
        <v>15</v>
      </c>
      <c r="D378" s="21">
        <v>4500000</v>
      </c>
      <c r="E378" s="21">
        <v>1431779.25</v>
      </c>
      <c r="F378" s="21">
        <v>475424.57304877863</v>
      </c>
      <c r="G378" s="21">
        <f>Table841419410132427323943485356714212835[[#This Row],[VỐN CP]]+Table841419410132427323943485356714212835[[#This Row],[LỢI NHUẬN RÒNG]]</f>
        <v>4975424.5730487788</v>
      </c>
      <c r="H378" s="28"/>
      <c r="I378" s="11"/>
      <c r="J378" s="11"/>
    </row>
    <row r="379" spans="1:10" hidden="1" x14ac:dyDescent="0.3">
      <c r="A379" s="23" t="s">
        <v>81</v>
      </c>
      <c r="B379" s="27" t="s">
        <v>19</v>
      </c>
      <c r="C379" s="21">
        <v>5</v>
      </c>
      <c r="D379" s="21">
        <v>1500000</v>
      </c>
      <c r="E379" s="21">
        <v>477259.75</v>
      </c>
      <c r="F379" s="21">
        <v>158474.8576829262</v>
      </c>
      <c r="G379" s="21">
        <f>Table841419410132427323943485356714212835[[#This Row],[VỐN CP]]+Table841419410132427323943485356714212835[[#This Row],[LỢI NHUẬN RÒNG]]</f>
        <v>1658474.8576829261</v>
      </c>
      <c r="H379" s="28"/>
      <c r="I379" s="11"/>
      <c r="J379" s="11"/>
    </row>
    <row r="380" spans="1:10" hidden="1" x14ac:dyDescent="0.3">
      <c r="A380" s="23" t="s">
        <v>81</v>
      </c>
      <c r="B380" s="27" t="s">
        <v>37</v>
      </c>
      <c r="C380" s="21">
        <v>15</v>
      </c>
      <c r="D380" s="21">
        <v>4500000</v>
      </c>
      <c r="E380" s="21">
        <v>1431779.25</v>
      </c>
      <c r="F380" s="21">
        <v>475424.57304877863</v>
      </c>
      <c r="G380" s="21">
        <f>Table841419410132427323943485356714212835[[#This Row],[VỐN CP]]+Table841419410132427323943485356714212835[[#This Row],[LỢI NHUẬN RÒNG]]</f>
        <v>4975424.5730487788</v>
      </c>
      <c r="H380" s="28"/>
      <c r="I380" s="11"/>
      <c r="J380" s="11"/>
    </row>
    <row r="381" spans="1:10" hidden="1" x14ac:dyDescent="0.3">
      <c r="A381" s="23" t="s">
        <v>81</v>
      </c>
      <c r="B381" s="27" t="s">
        <v>31</v>
      </c>
      <c r="C381" s="21">
        <v>5</v>
      </c>
      <c r="D381" s="21">
        <v>1500000</v>
      </c>
      <c r="E381" s="21">
        <v>477259.75</v>
      </c>
      <c r="F381" s="21">
        <v>158474.8576829262</v>
      </c>
      <c r="G381" s="21">
        <f>Table841419410132427323943485356714212835[[#This Row],[VỐN CP]]+Table841419410132427323943485356714212835[[#This Row],[LỢI NHUẬN RÒNG]]</f>
        <v>1658474.8576829261</v>
      </c>
      <c r="H381" s="28"/>
      <c r="I381" s="11"/>
      <c r="J381" s="11"/>
    </row>
    <row r="382" spans="1:10" hidden="1" x14ac:dyDescent="0.3">
      <c r="A382" s="23" t="s">
        <v>81</v>
      </c>
      <c r="B382" s="27" t="s">
        <v>15</v>
      </c>
      <c r="C382" s="21">
        <v>5</v>
      </c>
      <c r="D382" s="21">
        <v>1500000</v>
      </c>
      <c r="E382" s="21">
        <v>477259.75</v>
      </c>
      <c r="F382" s="21">
        <v>158474.8576829262</v>
      </c>
      <c r="G382" s="21">
        <f>Table841419410132427323943485356714212835[[#This Row],[VỐN CP]]+Table841419410132427323943485356714212835[[#This Row],[LỢI NHUẬN RÒNG]]</f>
        <v>1658474.8576829261</v>
      </c>
      <c r="H382" s="28"/>
      <c r="I382" s="11"/>
      <c r="J382" s="11"/>
    </row>
    <row r="383" spans="1:10" hidden="1" x14ac:dyDescent="0.3">
      <c r="A383" s="23" t="s">
        <v>81</v>
      </c>
      <c r="B383" s="27" t="s">
        <v>21</v>
      </c>
      <c r="C383" s="21">
        <v>15</v>
      </c>
      <c r="D383" s="21">
        <v>4500000</v>
      </c>
      <c r="E383" s="21">
        <v>1431779.25</v>
      </c>
      <c r="F383" s="21">
        <v>475424.57304877863</v>
      </c>
      <c r="G383" s="21">
        <f>Table841419410132427323943485356714212835[[#This Row],[VỐN CP]]+Table841419410132427323943485356714212835[[#This Row],[LỢI NHUẬN RÒNG]]</f>
        <v>4975424.5730487788</v>
      </c>
      <c r="H383" s="28"/>
      <c r="I383" s="11"/>
      <c r="J383" s="11"/>
    </row>
    <row r="384" spans="1:10" hidden="1" x14ac:dyDescent="0.3">
      <c r="A384" s="23" t="s">
        <v>81</v>
      </c>
      <c r="B384" s="27" t="s">
        <v>10</v>
      </c>
      <c r="C384" s="21">
        <v>5</v>
      </c>
      <c r="D384" s="21">
        <v>1500000</v>
      </c>
      <c r="E384" s="21">
        <v>477259.75</v>
      </c>
      <c r="F384" s="21">
        <v>158474.8576829262</v>
      </c>
      <c r="G384" s="21">
        <f>Table841419410132427323943485356714212835[[#This Row],[VỐN CP]]+Table841419410132427323943485356714212835[[#This Row],[LỢI NHUẬN RÒNG]]</f>
        <v>1658474.8576829261</v>
      </c>
      <c r="H384" s="28"/>
      <c r="I384" s="11"/>
      <c r="J384" s="11"/>
    </row>
    <row r="385" spans="1:10" hidden="1" x14ac:dyDescent="0.3">
      <c r="A385" s="23" t="s">
        <v>81</v>
      </c>
      <c r="B385" s="27" t="s">
        <v>13</v>
      </c>
      <c r="C385" s="21">
        <v>10</v>
      </c>
      <c r="D385" s="21">
        <v>3000000</v>
      </c>
      <c r="E385" s="21">
        <v>954519.5</v>
      </c>
      <c r="F385" s="21">
        <v>316949.7153658524</v>
      </c>
      <c r="G385" s="21">
        <f>Table841419410132427323943485356714212835[[#This Row],[VỐN CP]]+Table841419410132427323943485356714212835[[#This Row],[LỢI NHUẬN RÒNG]]</f>
        <v>3316949.7153658522</v>
      </c>
      <c r="H385" s="28"/>
      <c r="I385" s="11"/>
      <c r="J385" s="11"/>
    </row>
    <row r="386" spans="1:10" hidden="1" x14ac:dyDescent="0.3">
      <c r="A386" s="23" t="s">
        <v>81</v>
      </c>
      <c r="B386" s="27" t="s">
        <v>35</v>
      </c>
      <c r="C386" s="21">
        <v>5</v>
      </c>
      <c r="D386" s="21">
        <v>1500000</v>
      </c>
      <c r="E386" s="21">
        <v>477259.75</v>
      </c>
      <c r="F386" s="21">
        <v>158474.8576829262</v>
      </c>
      <c r="G386" s="21">
        <f>Table841419410132427323943485356714212835[[#This Row],[VỐN CP]]+Table841419410132427323943485356714212835[[#This Row],[LỢI NHUẬN RÒNG]]</f>
        <v>1658474.8576829261</v>
      </c>
      <c r="H386" s="28"/>
      <c r="I386" s="11"/>
      <c r="J386" s="11"/>
    </row>
    <row r="387" spans="1:10" hidden="1" x14ac:dyDescent="0.3">
      <c r="A387" s="23" t="s">
        <v>81</v>
      </c>
      <c r="B387" s="27" t="s">
        <v>43</v>
      </c>
      <c r="C387" s="21">
        <v>10</v>
      </c>
      <c r="D387" s="21">
        <v>3000000</v>
      </c>
      <c r="E387" s="21">
        <v>954519.5</v>
      </c>
      <c r="F387" s="21">
        <v>316949.7153658524</v>
      </c>
      <c r="G387" s="21">
        <f>Table841419410132427323943485356714212835[[#This Row],[VỐN CP]]+Table841419410132427323943485356714212835[[#This Row],[LỢI NHUẬN RÒNG]]</f>
        <v>3316949.7153658522</v>
      </c>
      <c r="H387" s="28"/>
      <c r="I387" s="11"/>
      <c r="J387" s="11"/>
    </row>
    <row r="388" spans="1:10" hidden="1" x14ac:dyDescent="0.3">
      <c r="A388" s="23" t="s">
        <v>81</v>
      </c>
      <c r="B388" s="27" t="s">
        <v>25</v>
      </c>
      <c r="C388" s="21">
        <v>10</v>
      </c>
      <c r="D388" s="21">
        <v>3000000</v>
      </c>
      <c r="E388" s="21">
        <v>954519.5</v>
      </c>
      <c r="F388" s="21">
        <v>316949.7153658524</v>
      </c>
      <c r="G388" s="21">
        <f>Table841419410132427323943485356714212835[[#This Row],[VỐN CP]]+Table841419410132427323943485356714212835[[#This Row],[LỢI NHUẬN RÒNG]]</f>
        <v>3316949.7153658522</v>
      </c>
      <c r="H388" s="28"/>
      <c r="I388" s="11"/>
      <c r="J388" s="11"/>
    </row>
    <row r="389" spans="1:10" hidden="1" x14ac:dyDescent="0.3">
      <c r="A389" s="23" t="s">
        <v>82</v>
      </c>
      <c r="B389" s="27" t="s">
        <v>9</v>
      </c>
      <c r="C389" s="21">
        <v>25</v>
      </c>
      <c r="D389" s="21">
        <v>4000000</v>
      </c>
      <c r="E389" s="21">
        <v>3955105</v>
      </c>
      <c r="F389" s="21">
        <v>2504787.374077416</v>
      </c>
      <c r="G389" s="21">
        <f>Table841419410132427323943485356714212835[[#This Row],[VỐN CP]]+Table841419410132427323943485356714212835[[#This Row],[LỢI NHUẬN RÒNG]]</f>
        <v>6504787.374077416</v>
      </c>
      <c r="H389" s="28"/>
      <c r="I389" s="11"/>
      <c r="J389" s="11"/>
    </row>
    <row r="390" spans="1:10" hidden="1" x14ac:dyDescent="0.3">
      <c r="A390" s="23" t="s">
        <v>82</v>
      </c>
      <c r="B390" s="27" t="s">
        <v>19</v>
      </c>
      <c r="C390" s="21">
        <v>20</v>
      </c>
      <c r="D390" s="21">
        <v>3200000</v>
      </c>
      <c r="E390" s="21">
        <v>3164084</v>
      </c>
      <c r="F390" s="21">
        <v>2003829.8992619331</v>
      </c>
      <c r="G390" s="21">
        <f>Table841419410132427323943485356714212835[[#This Row],[VỐN CP]]+Table841419410132427323943485356714212835[[#This Row],[LỢI NHUẬN RÒNG]]</f>
        <v>5203829.8992619328</v>
      </c>
      <c r="H390" s="28"/>
      <c r="I390" s="11"/>
      <c r="J390" s="11"/>
    </row>
    <row r="391" spans="1:10" hidden="1" x14ac:dyDescent="0.3">
      <c r="A391" s="23" t="s">
        <v>82</v>
      </c>
      <c r="B391" s="27" t="s">
        <v>37</v>
      </c>
      <c r="C391" s="21">
        <v>25</v>
      </c>
      <c r="D391" s="21">
        <v>4000000</v>
      </c>
      <c r="E391" s="21">
        <v>3955105</v>
      </c>
      <c r="F391" s="21">
        <v>2504787.374077416</v>
      </c>
      <c r="G391" s="21">
        <f>Table841419410132427323943485356714212835[[#This Row],[VỐN CP]]+Table841419410132427323943485356714212835[[#This Row],[LỢI NHUẬN RÒNG]]</f>
        <v>6504787.374077416</v>
      </c>
      <c r="H391" s="28"/>
      <c r="I391" s="11"/>
      <c r="J391" s="11"/>
    </row>
    <row r="392" spans="1:10" hidden="1" x14ac:dyDescent="0.3">
      <c r="A392" s="23" t="s">
        <v>82</v>
      </c>
      <c r="B392" s="27" t="s">
        <v>21</v>
      </c>
      <c r="C392" s="21">
        <v>25</v>
      </c>
      <c r="D392" s="21">
        <v>4000000</v>
      </c>
      <c r="E392" s="21">
        <v>3955105</v>
      </c>
      <c r="F392" s="21">
        <v>2504787.374077416</v>
      </c>
      <c r="G392" s="21">
        <f>Table841419410132427323943485356714212835[[#This Row],[VỐN CP]]+Table841419410132427323943485356714212835[[#This Row],[LỢI NHUẬN RÒNG]]</f>
        <v>6504787.374077416</v>
      </c>
      <c r="H392" s="28"/>
      <c r="I392" s="11"/>
      <c r="J392" s="11"/>
    </row>
    <row r="393" spans="1:10" hidden="1" x14ac:dyDescent="0.3">
      <c r="A393" s="23" t="s">
        <v>82</v>
      </c>
      <c r="B393" s="27" t="s">
        <v>10</v>
      </c>
      <c r="C393" s="21">
        <v>5</v>
      </c>
      <c r="D393" s="21">
        <v>800000</v>
      </c>
      <c r="E393" s="21">
        <v>791021</v>
      </c>
      <c r="F393" s="21">
        <v>500957.47481548326</v>
      </c>
      <c r="G393" s="21">
        <f>Table841419410132427323943485356714212835[[#This Row],[VỐN CP]]+Table841419410132427323943485356714212835[[#This Row],[LỢI NHUẬN RÒNG]]</f>
        <v>1300957.4748154832</v>
      </c>
      <c r="H393" s="28"/>
      <c r="I393" s="11"/>
      <c r="J393" s="11"/>
    </row>
    <row r="394" spans="1:10" hidden="1" x14ac:dyDescent="0.3">
      <c r="A394" s="23" t="s">
        <v>83</v>
      </c>
      <c r="B394" s="27" t="s">
        <v>9</v>
      </c>
      <c r="C394" s="21">
        <v>20</v>
      </c>
      <c r="D394" s="21">
        <v>8200000</v>
      </c>
      <c r="E394" s="21">
        <v>1123974.8</v>
      </c>
      <c r="F394" s="21">
        <v>340551.0953265503</v>
      </c>
      <c r="G394" s="21">
        <f>Table841419410132427323943485356714212835[[#This Row],[VỐN CP]]+Table841419410132427323943485356714212835[[#This Row],[LỢI NHUẬN RÒNG]]</f>
        <v>8540551.0953265503</v>
      </c>
      <c r="H394" s="28"/>
      <c r="I394" s="11"/>
      <c r="J394" s="11"/>
    </row>
    <row r="395" spans="1:10" hidden="1" x14ac:dyDescent="0.3">
      <c r="A395" s="23" t="s">
        <v>83</v>
      </c>
      <c r="B395" s="27" t="s">
        <v>19</v>
      </c>
      <c r="C395" s="21">
        <v>5</v>
      </c>
      <c r="D395" s="21">
        <v>2050000</v>
      </c>
      <c r="E395" s="21">
        <v>280993.7</v>
      </c>
      <c r="F395" s="21">
        <v>85137.773831637576</v>
      </c>
      <c r="G395" s="21">
        <f>Table841419410132427323943485356714212835[[#This Row],[VỐN CP]]+Table841419410132427323943485356714212835[[#This Row],[LỢI NHUẬN RÒNG]]</f>
        <v>2135137.7738316376</v>
      </c>
      <c r="H395" s="28"/>
      <c r="I395" s="11"/>
      <c r="J395" s="11"/>
    </row>
    <row r="396" spans="1:10" hidden="1" x14ac:dyDescent="0.3">
      <c r="A396" s="23" t="s">
        <v>83</v>
      </c>
      <c r="B396" s="27" t="s">
        <v>37</v>
      </c>
      <c r="C396" s="21">
        <v>10</v>
      </c>
      <c r="D396" s="21">
        <v>4100000</v>
      </c>
      <c r="E396" s="21">
        <v>561987.4</v>
      </c>
      <c r="F396" s="21">
        <v>170275.54766327515</v>
      </c>
      <c r="G396" s="21">
        <f>Table841419410132427323943485356714212835[[#This Row],[VỐN CP]]+Table841419410132427323943485356714212835[[#This Row],[LỢI NHUẬN RÒNG]]</f>
        <v>4270275.5476632752</v>
      </c>
      <c r="H396" s="28"/>
      <c r="I396" s="11"/>
      <c r="J396" s="11"/>
    </row>
    <row r="397" spans="1:10" hidden="1" x14ac:dyDescent="0.3">
      <c r="A397" s="23" t="s">
        <v>83</v>
      </c>
      <c r="B397" s="27" t="s">
        <v>31</v>
      </c>
      <c r="C397" s="21">
        <v>20</v>
      </c>
      <c r="D397" s="21">
        <v>8200000</v>
      </c>
      <c r="E397" s="21">
        <v>1123974.8</v>
      </c>
      <c r="F397" s="21">
        <v>340551.0953265503</v>
      </c>
      <c r="G397" s="21">
        <f>Table841419410132427323943485356714212835[[#This Row],[VỐN CP]]+Table841419410132427323943485356714212835[[#This Row],[LỢI NHUẬN RÒNG]]</f>
        <v>8540551.0953265503</v>
      </c>
      <c r="H397" s="28"/>
      <c r="I397" s="11"/>
      <c r="J397" s="11"/>
    </row>
    <row r="398" spans="1:10" hidden="1" x14ac:dyDescent="0.3">
      <c r="A398" s="23" t="s">
        <v>83</v>
      </c>
      <c r="B398" s="27" t="s">
        <v>21</v>
      </c>
      <c r="C398" s="21">
        <v>20</v>
      </c>
      <c r="D398" s="21">
        <v>8200000</v>
      </c>
      <c r="E398" s="21">
        <v>1123974.8</v>
      </c>
      <c r="F398" s="21">
        <v>340551.0953265503</v>
      </c>
      <c r="G398" s="21">
        <f>Table841419410132427323943485356714212835[[#This Row],[VỐN CP]]+Table841419410132427323943485356714212835[[#This Row],[LỢI NHUẬN RÒNG]]</f>
        <v>8540551.0953265503</v>
      </c>
      <c r="H398" s="28"/>
      <c r="I398" s="11"/>
      <c r="J398" s="11"/>
    </row>
    <row r="399" spans="1:10" hidden="1" x14ac:dyDescent="0.3">
      <c r="A399" s="23" t="s">
        <v>83</v>
      </c>
      <c r="B399" s="27" t="s">
        <v>35</v>
      </c>
      <c r="C399" s="21">
        <v>5</v>
      </c>
      <c r="D399" s="21">
        <v>2050000</v>
      </c>
      <c r="E399" s="21">
        <v>280993.7</v>
      </c>
      <c r="F399" s="21">
        <v>85137.773831637576</v>
      </c>
      <c r="G399" s="21">
        <f>Table841419410132427323943485356714212835[[#This Row],[VỐN CP]]+Table841419410132427323943485356714212835[[#This Row],[LỢI NHUẬN RÒNG]]</f>
        <v>2135137.7738316376</v>
      </c>
      <c r="H399" s="28"/>
      <c r="I399" s="11"/>
      <c r="J399" s="11"/>
    </row>
    <row r="400" spans="1:10" hidden="1" x14ac:dyDescent="0.3">
      <c r="A400" s="23" t="s">
        <v>83</v>
      </c>
      <c r="B400" s="27" t="s">
        <v>43</v>
      </c>
      <c r="C400" s="21">
        <v>10</v>
      </c>
      <c r="D400" s="21">
        <v>4100000</v>
      </c>
      <c r="E400" s="21">
        <v>561987.4</v>
      </c>
      <c r="F400" s="21">
        <v>170275.54766327515</v>
      </c>
      <c r="G400" s="21">
        <f>Table841419410132427323943485356714212835[[#This Row],[VỐN CP]]+Table841419410132427323943485356714212835[[#This Row],[LỢI NHUẬN RÒNG]]</f>
        <v>4270275.5476632752</v>
      </c>
      <c r="H400" s="28"/>
      <c r="I400" s="11"/>
      <c r="J400" s="11"/>
    </row>
    <row r="401" spans="1:11" hidden="1" x14ac:dyDescent="0.3">
      <c r="A401" s="23" t="s">
        <v>83</v>
      </c>
      <c r="B401" s="27" t="s">
        <v>25</v>
      </c>
      <c r="C401" s="21">
        <v>10</v>
      </c>
      <c r="D401" s="21">
        <v>4100000</v>
      </c>
      <c r="E401" s="21">
        <v>561987.4</v>
      </c>
      <c r="F401" s="21">
        <v>170275.54766327515</v>
      </c>
      <c r="G401" s="21">
        <f>Table841419410132427323943485356714212835[[#This Row],[VỐN CP]]+Table841419410132427323943485356714212835[[#This Row],[LỢI NHUẬN RÒNG]]</f>
        <v>4270275.5476632752</v>
      </c>
      <c r="H401" s="28"/>
      <c r="I401" s="11"/>
      <c r="J401" s="11"/>
    </row>
    <row r="402" spans="1:11" hidden="1" x14ac:dyDescent="0.3">
      <c r="A402" s="23" t="s">
        <v>84</v>
      </c>
      <c r="B402" s="27" t="s">
        <v>9</v>
      </c>
      <c r="C402" s="21">
        <v>20</v>
      </c>
      <c r="D402" s="21">
        <v>19000000</v>
      </c>
      <c r="E402" s="21">
        <v>4863514.8</v>
      </c>
      <c r="F402" s="21">
        <v>1976960.4005872905</v>
      </c>
      <c r="G402" s="21">
        <f>Table841419410132427323943485356714212835[[#This Row],[VỐN CP]]+Table841419410132427323943485356714212835[[#This Row],[LỢI NHUẬN RÒNG]]</f>
        <v>20976960.400587291</v>
      </c>
      <c r="H402" s="28"/>
      <c r="I402" s="11"/>
      <c r="J402" s="11"/>
    </row>
    <row r="403" spans="1:11" hidden="1" x14ac:dyDescent="0.3">
      <c r="A403" s="23" t="s">
        <v>84</v>
      </c>
      <c r="B403" s="27" t="s">
        <v>19</v>
      </c>
      <c r="C403" s="21">
        <v>10</v>
      </c>
      <c r="D403" s="21">
        <v>9500000</v>
      </c>
      <c r="E403" s="21">
        <v>2431757.4</v>
      </c>
      <c r="F403" s="21">
        <v>988480.20029364526</v>
      </c>
      <c r="G403" s="21">
        <f>Table841419410132427323943485356714212835[[#This Row],[VỐN CP]]+Table841419410132427323943485356714212835[[#This Row],[LỢI NHUẬN RÒNG]]</f>
        <v>10488480.200293645</v>
      </c>
      <c r="H403" s="28"/>
      <c r="I403" s="11"/>
      <c r="J403" s="11"/>
    </row>
    <row r="404" spans="1:11" hidden="1" x14ac:dyDescent="0.3">
      <c r="A404" s="23" t="s">
        <v>84</v>
      </c>
      <c r="B404" s="27" t="s">
        <v>37</v>
      </c>
      <c r="C404" s="21">
        <v>10</v>
      </c>
      <c r="D404" s="21">
        <v>9500000</v>
      </c>
      <c r="E404" s="21">
        <v>2431757.4</v>
      </c>
      <c r="F404" s="21">
        <v>988480.20029364526</v>
      </c>
      <c r="G404" s="21">
        <f>Table841419410132427323943485356714212835[[#This Row],[VỐN CP]]+Table841419410132427323943485356714212835[[#This Row],[LỢI NHUẬN RÒNG]]</f>
        <v>10488480.200293645</v>
      </c>
      <c r="H404" s="28"/>
      <c r="I404" s="11"/>
      <c r="J404" s="11"/>
    </row>
    <row r="405" spans="1:11" hidden="1" x14ac:dyDescent="0.3">
      <c r="A405" s="23" t="s">
        <v>84</v>
      </c>
      <c r="B405" s="27" t="s">
        <v>31</v>
      </c>
      <c r="C405" s="21">
        <v>20</v>
      </c>
      <c r="D405" s="21">
        <v>19000000</v>
      </c>
      <c r="E405" s="21">
        <v>4863514.8</v>
      </c>
      <c r="F405" s="21">
        <v>1976960.4005872905</v>
      </c>
      <c r="G405" s="21">
        <f>Table841419410132427323943485356714212835[[#This Row],[VỐN CP]]+Table841419410132427323943485356714212835[[#This Row],[LỢI NHUẬN RÒNG]]</f>
        <v>20976960.400587291</v>
      </c>
      <c r="H405" s="28"/>
      <c r="I405" s="11"/>
      <c r="J405" s="11"/>
    </row>
    <row r="406" spans="1:11" hidden="1" x14ac:dyDescent="0.3">
      <c r="A406" s="23" t="s">
        <v>84</v>
      </c>
      <c r="B406" s="27" t="s">
        <v>21</v>
      </c>
      <c r="C406" s="21">
        <v>20</v>
      </c>
      <c r="D406" s="21">
        <v>19000000</v>
      </c>
      <c r="E406" s="21">
        <v>4863514.8</v>
      </c>
      <c r="F406" s="21">
        <v>1976960.4005872905</v>
      </c>
      <c r="G406" s="21">
        <f>Table841419410132427323943485356714212835[[#This Row],[VỐN CP]]+Table841419410132427323943485356714212835[[#This Row],[LỢI NHUẬN RÒNG]]</f>
        <v>20976960.400587291</v>
      </c>
      <c r="H406" s="28"/>
      <c r="I406" s="11"/>
      <c r="J406" s="11"/>
    </row>
    <row r="407" spans="1:11" hidden="1" x14ac:dyDescent="0.3">
      <c r="A407" s="23" t="s">
        <v>84</v>
      </c>
      <c r="B407" s="27" t="s">
        <v>29</v>
      </c>
      <c r="C407" s="21">
        <v>5</v>
      </c>
      <c r="D407" s="21">
        <v>4750000</v>
      </c>
      <c r="E407" s="21">
        <v>1215878.7</v>
      </c>
      <c r="F407" s="21">
        <v>494240.10014682263</v>
      </c>
      <c r="G407" s="21">
        <f>Table841419410132427323943485356714212835[[#This Row],[VỐN CP]]+Table841419410132427323943485356714212835[[#This Row],[LỢI NHUẬN RÒNG]]</f>
        <v>5244240.1001468226</v>
      </c>
      <c r="H407" s="28"/>
      <c r="I407" s="11"/>
      <c r="J407" s="11"/>
    </row>
    <row r="408" spans="1:11" hidden="1" x14ac:dyDescent="0.3">
      <c r="A408" s="23" t="s">
        <v>84</v>
      </c>
      <c r="B408" s="27" t="s">
        <v>43</v>
      </c>
      <c r="C408" s="21">
        <v>10</v>
      </c>
      <c r="D408" s="21">
        <v>9500000</v>
      </c>
      <c r="E408" s="21">
        <v>2431757.4</v>
      </c>
      <c r="F408" s="21">
        <v>988480.20029364526</v>
      </c>
      <c r="G408" s="21">
        <f>Table841419410132427323943485356714212835[[#This Row],[VỐN CP]]+Table841419410132427323943485356714212835[[#This Row],[LỢI NHUẬN RÒNG]]</f>
        <v>10488480.200293645</v>
      </c>
      <c r="H408" s="28"/>
      <c r="I408" s="11"/>
      <c r="J408" s="11"/>
    </row>
    <row r="409" spans="1:11" hidden="1" x14ac:dyDescent="0.3">
      <c r="A409" s="23" t="s">
        <v>84</v>
      </c>
      <c r="B409" s="27" t="s">
        <v>25</v>
      </c>
      <c r="C409" s="21">
        <v>5</v>
      </c>
      <c r="D409" s="21">
        <v>4750000</v>
      </c>
      <c r="E409" s="21">
        <v>1215878.7</v>
      </c>
      <c r="F409" s="21">
        <v>494240.10014682263</v>
      </c>
      <c r="G409" s="21">
        <f>Table841419410132427323943485356714212835[[#This Row],[VỐN CP]]+Table841419410132427323943485356714212835[[#This Row],[LỢI NHUẬN RÒNG]]</f>
        <v>5244240.1001468226</v>
      </c>
      <c r="H409" s="28"/>
      <c r="I409" s="11"/>
      <c r="J409" s="11"/>
    </row>
    <row r="410" spans="1:11" x14ac:dyDescent="0.3">
      <c r="A410" s="23"/>
      <c r="B410" s="21"/>
      <c r="C410" s="21"/>
      <c r="D410" s="21">
        <f>SUBTOTAL(109,Table841419410132427323943485356714212835[VỐN CP])</f>
        <v>61358333.333333336</v>
      </c>
      <c r="E410" s="21">
        <f>SUBTOTAL(109,Table841419410132427323943485356714212835[LỢI NHUẬN GỘP])</f>
        <v>22051569.383333333</v>
      </c>
      <c r="F410" s="21">
        <f>SUBTOTAL(109,Table841419410132427323943485356714212835[LỢI NHUẬN RÒNG])</f>
        <v>11933983.594961217</v>
      </c>
      <c r="G410" s="21">
        <f>SUBTOTAL(109,Table841419410132427323943485356714212835[TỔNG NHẬN])</f>
        <v>73292316.928294539</v>
      </c>
      <c r="H410" s="28"/>
    </row>
    <row r="412" spans="1:11" x14ac:dyDescent="0.3">
      <c r="H412" s="11"/>
    </row>
    <row r="414" spans="1:11" x14ac:dyDescent="0.3">
      <c r="G414" s="11" t="s">
        <v>85</v>
      </c>
    </row>
    <row r="416" spans="1:11" x14ac:dyDescent="0.3">
      <c r="G416" s="11">
        <v>8</v>
      </c>
      <c r="K416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3C27-C4AD-440C-A7AD-BFE723107AE7}">
  <sheetPr codeName="Sheet22"/>
  <dimension ref="A1:O427"/>
  <sheetViews>
    <sheetView workbookViewId="0">
      <selection activeCell="F6" sqref="F6:F61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153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1355340.6</v>
      </c>
      <c r="F3" s="18">
        <v>307728.09587445558</v>
      </c>
      <c r="G3" s="12">
        <f>D3+Table84141941013242732394348535671118253039[[#This Row],[LỢI NHUẬN RÒNG]]</f>
        <v>5107728.0958744558</v>
      </c>
      <c r="K3" s="13" t="s">
        <v>10</v>
      </c>
      <c r="L3" s="14">
        <f>SUMIF(Table84141941013242732394348535671118253039[CỔ ĐÔNG],K3,Table84141941013242732394348535671118253039[VỐN CP])</f>
        <v>13900000</v>
      </c>
      <c r="M3" s="14">
        <f>SUMIF(Table84141941013242732394348535671118253039[CỔ ĐÔNG],K3,Table84141941013242732394348535671118253039[LỢI NHUẬN GỘP])</f>
        <v>5077055.75</v>
      </c>
      <c r="N3" s="14">
        <f>SUMIF(Table84141941013242732394348535671118253039[CỔ ĐÔNG],K3,Table84141941013242732394348535671118253039[LỢI NHUẬN RÒNG])</f>
        <v>3091983.4739724877</v>
      </c>
      <c r="O3" s="15">
        <f>SUMIF(Table84141941013242732394348535671118253039[CỔ ĐÔNG],K3,Table84141941013242732394348535671118253039[TỔNG NHẬN])</f>
        <v>16991983.473972484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2710681.2</v>
      </c>
      <c r="F4" s="18">
        <v>615456.19174891117</v>
      </c>
      <c r="G4" s="12">
        <f>D4+Table84141941013242732394348535671118253039[[#This Row],[LỢI NHUẬN RÒNG]]</f>
        <v>10215456.191748912</v>
      </c>
      <c r="K4" s="13" t="s">
        <v>9</v>
      </c>
      <c r="L4" s="14">
        <f>SUMIF(Table84141941013242732394348535671118253039[CỔ ĐÔNG],K4,Table84141941013242732394348535671118253039[VỐN CP])</f>
        <v>54250000</v>
      </c>
      <c r="M4" s="14">
        <f>SUMIF(Table84141941013242732394348535671118253039[CỔ ĐÔNG],K4,Table84141941013242732394348535671118253039[LỢI NHUẬN GỘP])</f>
        <v>17551662.100000001</v>
      </c>
      <c r="N4" s="14">
        <f>SUMIF(Table84141941013242732394348535671118253039[CỔ ĐÔNG],K4,Table84141941013242732394348535671118253039[LỢI NHUẬN RÒNG])</f>
        <v>9396211.8590131812</v>
      </c>
      <c r="O4" s="15">
        <f>SUMIF(Table84141941013242732394348535671118253039[CỔ ĐÔNG],Table95152051114252833404449545781219263140[[#This Row],[CỔ ĐÔNG]],Table84141941013242732394348535671118253039[TỔNG NHẬN])</f>
        <v>63646211.859013185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2033010.9</v>
      </c>
      <c r="F5" s="18">
        <v>461592.14381168335</v>
      </c>
      <c r="G5" s="12">
        <f>D5+Table84141941013242732394348535671118253039[[#This Row],[LỢI NHUẬN RÒNG]]</f>
        <v>7661592.1438116832</v>
      </c>
      <c r="K5" s="13" t="s">
        <v>13</v>
      </c>
      <c r="L5" s="14">
        <f>SUMIF(Table84141941013242732394348535671118253039[CỔ ĐÔNG],K5,Table84141941013242732394348535671118253039[VỐN CP])</f>
        <v>0</v>
      </c>
      <c r="M5" s="14">
        <f>SUMIF(Table84141941013242732394348535671118253039[CỔ ĐÔNG],K5,Table84141941013242732394348535671118253039[LỢI NHUẬN GỘP])</f>
        <v>0</v>
      </c>
      <c r="N5" s="14">
        <f>SUMIF(Table84141941013242732394348535671118253039[CỔ ĐÔNG],K5,Table84141941013242732394348535671118253039[LỢI NHUẬN RÒNG])</f>
        <v>0</v>
      </c>
      <c r="O5" s="15">
        <f>SUMIF(Table84141941013242732394348535671118253039[CỔ ĐÔNG],Table95152051114252833404449545781219263140[[#This Row],[CỔ ĐÔNG]],Table84141941013242732394348535671118253039[TỔNG NHẬN])</f>
        <v>0</v>
      </c>
    </row>
    <row r="6" spans="1:15" ht="15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677670.3</v>
      </c>
      <c r="F6" s="18">
        <v>153864.04793722779</v>
      </c>
      <c r="G6" s="12">
        <f>D6+Table84141941013242732394348535671118253039[[#This Row],[LỢI NHUẬN RÒNG]]</f>
        <v>2553864.0479372279</v>
      </c>
      <c r="K6" s="13" t="s">
        <v>15</v>
      </c>
      <c r="L6" s="14">
        <f>SUMIF(Table84141941013242732394348535671118253039[CỔ ĐÔNG],K6,Table84141941013242732394348535671118253039[VỐN CP])</f>
        <v>0</v>
      </c>
      <c r="M6" s="14">
        <f>SUMIF(Table84141941013242732394348535671118253039[CỔ ĐÔNG],K6,Table84141941013242732394348535671118253039[LỢI NHUẬN GỘP])</f>
        <v>0</v>
      </c>
      <c r="N6" s="14">
        <f>SUMIF(Table84141941013242732394348535671118253039[CỔ ĐÔNG],K6,Table84141941013242732394348535671118253039[LỢI NHUẬN RÒNG])</f>
        <v>0</v>
      </c>
      <c r="O6" s="15">
        <f>SUMIF(Table84141941013242732394348535671118253039[CỔ ĐÔNG],K6,Table84141941013242732394348535671118253039[TỔNG NHẬN])</f>
        <v>0</v>
      </c>
    </row>
    <row r="7" spans="1:15" ht="15" hidden="1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2033010.9</v>
      </c>
      <c r="F7" s="18">
        <v>461592.14381168335</v>
      </c>
      <c r="G7" s="12">
        <f>D7+Table84141941013242732394348535671118253039[[#This Row],[LỢI NHUẬN RÒNG]]</f>
        <v>7661592.1438116832</v>
      </c>
      <c r="I7" s="11"/>
      <c r="K7" s="13" t="s">
        <v>17</v>
      </c>
      <c r="L7" s="14">
        <f>SUMIF(Table84141941013242732394348535671118253039[CỔ ĐÔNG],K7,Table84141941013242732394348535671118253039[VỐN CP])</f>
        <v>0</v>
      </c>
      <c r="M7" s="14">
        <f>SUMIF(Table84141941013242732394348535671118253039[CỔ ĐÔNG],K7,Table84141941013242732394348535671118253039[LỢI NHUẬN GỘP])</f>
        <v>0</v>
      </c>
      <c r="N7" s="14">
        <f>SUMIF(Table84141941013242732394348535671118253039[CỔ ĐÔNG],K7,Table84141941013242732394348535671118253039[LỢI NHUẬN RÒNG])</f>
        <v>0</v>
      </c>
      <c r="O7" s="15">
        <f>SUMIF(Table84141941013242732394348535671118253039[CỔ ĐÔNG],Table95152051114252833404449545781219263140[[#This Row],[CỔ ĐÔNG]],Table84141941013242732394348535671118253039[TỔNG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1355340.6</v>
      </c>
      <c r="F8" s="18">
        <v>307728.09587445558</v>
      </c>
      <c r="G8" s="12">
        <f>D8+Table84141941013242732394348535671118253039[[#This Row],[LỢI NHUẬN RÒNG]]</f>
        <v>5107728.0958744558</v>
      </c>
      <c r="K8" s="13" t="s">
        <v>19</v>
      </c>
      <c r="L8" s="14">
        <f>SUMIF(Table84141941013242732394348535671118253039[CỔ ĐÔNG],K8,Table84141941013242732394348535671118253039[VỐN CP])</f>
        <v>78250000</v>
      </c>
      <c r="M8" s="14">
        <f>SUMIF(Table84141941013242732394348535671118253039[CỔ ĐÔNG],K8,Table84141941013242732394348535671118253039[LỢI NHUẬN GỘP])</f>
        <v>26076598.550000001</v>
      </c>
      <c r="N8" s="14">
        <f>SUMIF(Table84141941013242732394348535671118253039[CỔ ĐÔNG],K8,Table84141941013242732394348535671118253039[LỢI NHUẬN RÒNG])</f>
        <v>13690538.717472538</v>
      </c>
      <c r="O8" s="15">
        <f>SUMIF(Table84141941013242732394348535671118253039[CỔ ĐÔNG],Table95152051114252833404449545781219263140[[#This Row],[CỔ ĐÔNG]],Table84141941013242732394348535671118253039[TỔNG NHẬN])</f>
        <v>91940538.717472538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677670.3</v>
      </c>
      <c r="F9" s="18">
        <v>153864.04793722779</v>
      </c>
      <c r="G9" s="12">
        <f>D9+Table84141941013242732394348535671118253039[[#This Row],[LỢI NHUẬN RÒNG]]</f>
        <v>2553864.0479372279</v>
      </c>
      <c r="K9" s="13" t="s">
        <v>21</v>
      </c>
      <c r="L9" s="14">
        <f>SUMIF(Table84141941013242732394348535671118253039[CỔ ĐÔNG],K9,Table84141941013242732394348535671118253039[VỐN CP])</f>
        <v>46000000</v>
      </c>
      <c r="M9" s="14">
        <f>SUMIF(Table84141941013242732394348535671118253039[CỔ ĐÔNG],K9,Table84141941013242732394348535671118253039[LỢI NHUẬN GỘP])</f>
        <v>15364788.75</v>
      </c>
      <c r="N9" s="14">
        <f>SUMIF(Table84141941013242732394348535671118253039[CỔ ĐÔNG],K9,Table84141941013242732394348535671118253039[LỢI NHUẬN RÒNG])</f>
        <v>8476004.4461893253</v>
      </c>
      <c r="O9" s="15">
        <f>SUMIF(Table84141941013242732394348535671118253039[CỔ ĐÔNG],Table95152051114252833404449545781219263140[[#This Row],[CỔ ĐÔNG]],Table84141941013242732394348535671118253039[TỔNG NHẬN])</f>
        <v>54476004.446189329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1355340.6</v>
      </c>
      <c r="F10" s="18">
        <v>307728.09587445558</v>
      </c>
      <c r="G10" s="12">
        <f>D10+Table84141941013242732394348535671118253039[[#This Row],[LỢI NHUẬN RÒNG]]</f>
        <v>5107728.0958744558</v>
      </c>
      <c r="I10" s="11"/>
      <c r="K10" s="13" t="s">
        <v>23</v>
      </c>
      <c r="L10" s="14">
        <f>SUMIF(Table84141941013242732394348535671118253039[CỔ ĐÔNG],K10,Table84141941013242732394348535671118253039[VỐN CP])</f>
        <v>0</v>
      </c>
      <c r="M10" s="14">
        <f>SUMIF(Table84141941013242732394348535671118253039[CỔ ĐÔNG],K10,Table84141941013242732394348535671118253039[LỢI NHUẬN GỘP])</f>
        <v>0</v>
      </c>
      <c r="N10" s="14">
        <f>SUMIF(Table84141941013242732394348535671118253039[CỔ ĐÔNG],K10,Table84141941013242732394348535671118253039[LỢI NHUẬN RÒNG])</f>
        <v>0</v>
      </c>
      <c r="O10" s="15">
        <f>SUMIF(Table84141941013242732394348535671118253039[CỔ ĐÔNG],Table95152051114252833404449545781219263140[[#This Row],[CỔ ĐÔNG]],Table84141941013242732394348535671118253039[TỔNG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1355340.6</v>
      </c>
      <c r="F11" s="18">
        <v>307728.09587445558</v>
      </c>
      <c r="G11" s="12">
        <f>D11+Table84141941013242732394348535671118253039[[#This Row],[LỢI NHUẬN RÒNG]]</f>
        <v>5107728.0958744558</v>
      </c>
      <c r="K11" s="13" t="s">
        <v>25</v>
      </c>
      <c r="L11" s="14">
        <f>SUMIF(Table84141941013242732394348535671118253039[CỔ ĐÔNG],K11,Table84141941013242732394348535671118253039[VỐN CP])</f>
        <v>30900000</v>
      </c>
      <c r="M11" s="14">
        <f>SUMIF(Table84141941013242732394348535671118253039[CỔ ĐÔNG],K11,Table84141941013242732394348535671118253039[LỢI NHUẬN GỘP])</f>
        <v>10668049.4</v>
      </c>
      <c r="N11" s="14">
        <f>SUMIF(Table84141941013242732394348535671118253039[CỔ ĐÔNG],K11,Table84141941013242732394348535671118253039[LỢI NHUẬN RÒNG])</f>
        <v>6081815.8714969829</v>
      </c>
      <c r="O11" s="15">
        <f>SUMIF(Table84141941013242732394348535671118253039[CỔ ĐÔNG],Table95152051114252833404449545781219263140[[#This Row],[CỔ ĐÔNG]],Table84141941013242732394348535671118253039[TỔNG NHẬN])</f>
        <v>36981815.871496983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D12" s="11">
        <v>2550000</v>
      </c>
      <c r="E12" s="11">
        <v>1440421.65</v>
      </c>
      <c r="F12" s="11">
        <v>1043626.6985014341</v>
      </c>
      <c r="G12" s="12">
        <f>D12+Table84141941013242732394348535671118253039[[#This Row],[LỢI NHUẬN RÒNG]]</f>
        <v>3593626.6985014342</v>
      </c>
      <c r="K12" s="13" t="s">
        <v>27</v>
      </c>
      <c r="L12" s="14">
        <f>SUMIF(Table84141941013242732394348535671118253039[CỔ ĐÔNG],K12,Table84141941013242732394348535671118253039[VỐN CP])</f>
        <v>10800000</v>
      </c>
      <c r="M12" s="14">
        <f>SUMIF(Table84141941013242732394348535671118253039[CỔ ĐÔNG],K12,Table84141941013242732394348535671118253039[LỢI NHUẬN GỘP])</f>
        <v>3627295</v>
      </c>
      <c r="N12" s="14">
        <f>SUMIF(Table84141941013242732394348535671118253039[CỔ ĐÔNG],K12,Table84141941013242732394348535671118253039[LỢI NHUẬN RÒNG])</f>
        <v>1963834.111325291</v>
      </c>
      <c r="O12" s="15">
        <f>SUMIF(Table84141941013242732394348535671118253039[CỔ ĐÔNG],Table95152051114252833404449545781219263140[[#This Row],[CỔ ĐÔNG]],Table84141941013242732394348535671118253039[TỔNG NHẬN])</f>
        <v>12763834.11132529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D13" s="11">
        <v>2550000</v>
      </c>
      <c r="E13" s="11">
        <v>1440421.65</v>
      </c>
      <c r="F13" s="11">
        <v>1043626.6985014341</v>
      </c>
      <c r="G13" s="12">
        <f>D13+Table84141941013242732394348535671118253039[[#This Row],[LỢI NHUẬN RÒNG]]</f>
        <v>3593626.6985014342</v>
      </c>
      <c r="K13" s="13" t="s">
        <v>29</v>
      </c>
      <c r="L13" s="14">
        <f>SUMIF(Table84141941013242732394348535671118253039[CỔ ĐÔNG],K13,Table84141941013242732394348535671118253039[VỐN CP])</f>
        <v>24125000</v>
      </c>
      <c r="M13" s="14">
        <f>SUMIF(Table84141941013242732394348535671118253039[CỔ ĐÔNG],K13,Table84141941013242732394348535671118253039[LỢI NHUẬN GỘP])</f>
        <v>7930305.5999999996</v>
      </c>
      <c r="N13" s="14">
        <f>SUMIF(Table84141941013242732394348535671118253039[CỔ ĐÔNG],K13,Table84141941013242732394348535671118253039[LỢI NHUẬN RÒNG])</f>
        <v>4664677.8074048366</v>
      </c>
      <c r="O13" s="15">
        <f>SUMIF(Table84141941013242732394348535671118253039[CỔ ĐÔNG],Table95152051114252833404449545781219263140[[#This Row],[CỔ ĐÔNG]],Table84141941013242732394348535671118253039[TỔNG NHẬN])</f>
        <v>28789677.807404839</v>
      </c>
    </row>
    <row r="14" spans="1:15" ht="15" customHeight="1" x14ac:dyDescent="0.3">
      <c r="A14" s="10" t="s">
        <v>138</v>
      </c>
      <c r="B14" s="11" t="s">
        <v>33</v>
      </c>
      <c r="C14" s="11">
        <v>5</v>
      </c>
      <c r="D14" s="11">
        <v>850000</v>
      </c>
      <c r="E14" s="11">
        <v>480140.55</v>
      </c>
      <c r="F14" s="11">
        <v>347875.56616714463</v>
      </c>
      <c r="G14" s="12">
        <f>D14+Table84141941013242732394348535671118253039[[#This Row],[LỢI NHUẬN RÒNG]]</f>
        <v>1197875.5661671446</v>
      </c>
      <c r="K14" s="13" t="s">
        <v>31</v>
      </c>
      <c r="L14" s="14">
        <f>SUMIF(Table84141941013242732394348535671118253039[CỔ ĐÔNG],K14,Table84141941013242732394348535671118253039[VỐN CP])</f>
        <v>66125000</v>
      </c>
      <c r="M14" s="14">
        <f>SUMIF(Table84141941013242732394348535671118253039[CỔ ĐÔNG],K14,Table84141941013242732394348535671118253039[LỢI NHUẬN GỘP])</f>
        <v>20603309.849999998</v>
      </c>
      <c r="N14" s="14">
        <f>SUMIF(Table84141941013242732394348535671118253039[CỔ ĐÔNG],K14,Table84141941013242732394348535671118253039[LỢI NHUẬN RÒNG])</f>
        <v>10793350.0955674</v>
      </c>
      <c r="O14" s="15">
        <f>SUMIF(Table84141941013242732394348535671118253039[CỔ ĐÔNG],Table95152051114252833404449545781219263140[[#This Row],[CỔ ĐÔNG]],Table84141941013242732394348535671118253039[TỔNG NHẬN])</f>
        <v>76918350.09556739</v>
      </c>
    </row>
    <row r="15" spans="1:15" ht="15" hidden="1" customHeight="1" x14ac:dyDescent="0.3">
      <c r="A15" s="10" t="s">
        <v>138</v>
      </c>
      <c r="B15" s="11" t="s">
        <v>31</v>
      </c>
      <c r="C15" s="11">
        <v>15</v>
      </c>
      <c r="D15" s="11">
        <v>2550000</v>
      </c>
      <c r="E15" s="11">
        <v>1440421.65</v>
      </c>
      <c r="F15" s="11">
        <v>1043626.6985014341</v>
      </c>
      <c r="G15" s="12">
        <f>D15+Table84141941013242732394348535671118253039[[#This Row],[LỢI NHUẬN RÒNG]]</f>
        <v>3593626.6985014342</v>
      </c>
      <c r="K15" s="13" t="s">
        <v>33</v>
      </c>
      <c r="L15" s="14">
        <f>SUMIF(Table84141941013242732394348535671118253039[CỔ ĐÔNG],K15,Table84141941013242732394348535671118253039[VỐN CP])</f>
        <v>22575000</v>
      </c>
      <c r="M15" s="14">
        <f>SUMIF(Table84141941013242732394348535671118253039[CỔ ĐÔNG],K15,Table84141941013242732394348535671118253039[LỢI NHUẬN GỘP])</f>
        <v>7442324.0999999996</v>
      </c>
      <c r="N15" s="14">
        <f>SUMIF(Table84141941013242732394348535671118253039[CỔ ĐÔNG],K15,Table84141941013242732394348535671118253039[LỢI NHUẬN RÒNG])</f>
        <v>4064064.4400110906</v>
      </c>
      <c r="O15" s="15">
        <f>SUMIF(Table84141941013242732394348535671118253039[CỔ ĐÔNG],Table95152051114252833404449545781219263140[[#This Row],[CỔ ĐÔNG]],Table84141941013242732394348535671118253039[TỔNG NHẬN])</f>
        <v>26639064.440011092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D16" s="11">
        <v>2550000</v>
      </c>
      <c r="E16" s="11">
        <v>1440421.65</v>
      </c>
      <c r="F16" s="11">
        <v>1043626.6985014341</v>
      </c>
      <c r="G16" s="12">
        <f>D16+Table84141941013242732394348535671118253039[[#This Row],[LỢI NHUẬN RÒNG]]</f>
        <v>3593626.6985014342</v>
      </c>
      <c r="K16" s="13" t="s">
        <v>35</v>
      </c>
      <c r="L16" s="14">
        <f>SUMIF(Table84141941013242732394348535671118253039[CỔ ĐÔNG],K16,Table84141941013242732394348535671118253039[VỐN CP])</f>
        <v>0</v>
      </c>
      <c r="M16" s="14">
        <f>SUMIF(Table84141941013242732394348535671118253039[CỔ ĐÔNG],K16,Table84141941013242732394348535671118253039[LỢI NHUẬN GỘP])</f>
        <v>0</v>
      </c>
      <c r="N16" s="14">
        <f>SUMIF(Table84141941013242732394348535671118253039[CỔ ĐÔNG],K16,Table84141941013242732394348535671118253039[LỢI NHUẬN RÒNG])</f>
        <v>0</v>
      </c>
      <c r="O16" s="15">
        <f>SUMIF(Table84141941013242732394348535671118253039[CỔ ĐÔNG],Table95152051114252833404449545781219263140[[#This Row],[CỔ ĐÔNG]],Table84141941013242732394348535671118253039[TỔNG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D17" s="11">
        <v>1700000</v>
      </c>
      <c r="E17" s="11">
        <v>960281.1</v>
      </c>
      <c r="F17" s="11">
        <v>695751.13233428926</v>
      </c>
      <c r="G17" s="12">
        <f>D17+Table84141941013242732394348535671118253039[[#This Row],[LỢI NHUẬN RÒNG]]</f>
        <v>2395751.1323342891</v>
      </c>
      <c r="K17" s="16" t="s">
        <v>37</v>
      </c>
      <c r="L17" s="17">
        <f>SUMIF(Table84141941013242732394348535671118253039[CỔ ĐÔNG],K17,Table84141941013242732394348535671118253039[VỐN CP])</f>
        <v>53400000</v>
      </c>
      <c r="M17" s="17">
        <f>SUMIF(Table84141941013242732394348535671118253039[CỔ ĐÔNG],K17,Table84141941013242732394348535671118253039[LỢI NHUẬN GỘP])</f>
        <v>17883993.850000001</v>
      </c>
      <c r="N17" s="17">
        <f>SUMIF(Table84141941013242732394348535671118253039[CỔ ĐÔNG],K17,Table84141941013242732394348535671118253039[LỢI NHUẬN RÒNG])</f>
        <v>10034508.272203574</v>
      </c>
      <c r="O17" s="15">
        <f>SUMIF(Table84141941013242732394348535671118253039[CỔ ĐÔNG],Table95152051114252833404449545781219263140[[#This Row],[CỔ ĐÔNG]],Table84141941013242732394348535671118253039[TỔNG NHẬN])</f>
        <v>63434508.27220358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D18" s="11">
        <v>1700000</v>
      </c>
      <c r="E18" s="11">
        <v>960281.1</v>
      </c>
      <c r="F18" s="11">
        <v>695751.13233428926</v>
      </c>
      <c r="G18" s="12">
        <f>D18+Table84141941013242732394348535671118253039[[#This Row],[LỢI NHUẬN RÒNG]]</f>
        <v>2395751.1323342891</v>
      </c>
      <c r="K18" s="13" t="s">
        <v>39</v>
      </c>
      <c r="L18" s="17">
        <f>SUMIF(Table84141941013242732394348535671118253039[CỔ ĐÔNG],K18,Table84141941013242732394348535671118253039[VỐN CP])</f>
        <v>0</v>
      </c>
      <c r="M18" s="17">
        <f>SUMIF(Table84141941013242732394348535671118253039[CỔ ĐÔNG],K18,Table84141941013242732394348535671118253039[LỢI NHUẬN GỘP])</f>
        <v>0</v>
      </c>
      <c r="N18" s="17">
        <f>SUMIF(Table84141941013242732394348535671118253039[CỔ ĐÔNG],K18,Table84141941013242732394348535671118253039[LỢI NHUẬN RÒNG])</f>
        <v>0</v>
      </c>
      <c r="O18" s="15">
        <f>SUMIF(Table84141941013242732394348535671118253039[CỔ ĐÔNG],Table95152051114252833404449545781219263140[[#This Row],[CỔ ĐÔNG]],Table84141941013242732394348535671118253039[TỔNG NHẬN])</f>
        <v>0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D19" s="11">
        <v>2550000</v>
      </c>
      <c r="E19" s="11">
        <v>1440421.65</v>
      </c>
      <c r="F19" s="11">
        <v>1043626.6985014341</v>
      </c>
      <c r="G19" s="12">
        <f>D19+Table84141941013242732394348535671118253039[[#This Row],[LỢI NHUẬN RÒNG]]</f>
        <v>3593626.6985014342</v>
      </c>
      <c r="I19" s="11"/>
      <c r="K19" s="13" t="s">
        <v>41</v>
      </c>
      <c r="L19" s="17">
        <f>SUMIF(Table84141941013242732394348535671118253039[CỔ ĐÔNG],K19,Table84141941013242732394348535671118253039[VỐN CP])</f>
        <v>0</v>
      </c>
      <c r="M19" s="17">
        <f>SUMIF(Table84141941013242732394348535671118253039[CỔ ĐÔNG],K19,Table84141941013242732394348535671118253039[LỢI NHUẬN GỘP])</f>
        <v>0</v>
      </c>
      <c r="N19" s="17">
        <f>SUMIF(Table84141941013242732394348535671118253039[CỔ ĐÔNG],K19,Table84141941013242732394348535671118253039[LỢI NHUẬN RÒNG])</f>
        <v>0</v>
      </c>
      <c r="O19" s="15">
        <f>SUMIF(Table84141941013242732394348535671118253039[CỔ ĐÔNG],Table95152051114252833404449545781219263140[[#This Row],[CỔ ĐÔNG]],Table84141941013242732394348535671118253039[TỔNG NHẬN])</f>
        <v>0</v>
      </c>
    </row>
    <row r="20" spans="1:15" ht="15" hidden="1" customHeight="1" x14ac:dyDescent="0.3">
      <c r="A20" s="10" t="s">
        <v>140</v>
      </c>
      <c r="B20" s="11" t="s">
        <v>9</v>
      </c>
      <c r="C20" s="11">
        <v>10</v>
      </c>
      <c r="D20" s="11">
        <v>6200000</v>
      </c>
      <c r="E20" s="11">
        <v>1371022.5</v>
      </c>
      <c r="F20" s="11">
        <v>813203.69832765753</v>
      </c>
      <c r="G20" s="12">
        <f>Table84141941013242732394348535671118253039[[#This Row],[VỐN CP]]+Table84141941013242732394348535671118253039[[#This Row],[LỢI NHUẬN RÒNG]]</f>
        <v>7013203.6983276578</v>
      </c>
      <c r="K20" s="13" t="s">
        <v>42</v>
      </c>
      <c r="L20" s="17">
        <f>SUMIF(Table84141941013242732394348535671118253039[CỔ ĐÔNG],K20,Table84141941013242732394348535671118253039[VỐN CP])</f>
        <v>0</v>
      </c>
      <c r="M20" s="17">
        <f>SUMIF(Table84141941013242732394348535671118253039[CỔ ĐÔNG],K20,Table84141941013242732394348535671118253039[LỢI NHUẬN GỘP])</f>
        <v>0</v>
      </c>
      <c r="N20" s="17">
        <f>SUMIF(Table84141941013242732394348535671118253039[CỔ ĐÔNG],K20,Table84141941013242732394348535671118253039[LỢI NHUẬN RÒNG])</f>
        <v>0</v>
      </c>
      <c r="O20" s="15">
        <f>SUMIF(Table84141941013242732394348535671118253039[CỔ ĐÔNG],Table95152051114252833404449545781219263140[[#This Row],[CỔ ĐÔNG]],Table84141941013242732394348535671118253039[TỔNG NHẬN])</f>
        <v>0</v>
      </c>
    </row>
    <row r="21" spans="1:15" ht="15" hidden="1" customHeight="1" x14ac:dyDescent="0.3">
      <c r="A21" s="10" t="s">
        <v>140</v>
      </c>
      <c r="B21" s="11" t="s">
        <v>19</v>
      </c>
      <c r="C21" s="11">
        <v>10</v>
      </c>
      <c r="D21" s="11">
        <v>6200000</v>
      </c>
      <c r="E21" s="11">
        <v>1371022.5</v>
      </c>
      <c r="F21" s="11">
        <v>813203.69832765753</v>
      </c>
      <c r="G21" s="12">
        <f>Table84141941013242732394348535671118253039[[#This Row],[VỐN CP]]+Table84141941013242732394348535671118253039[[#This Row],[LỢI NHUẬN RÒNG]]</f>
        <v>7013203.6983276578</v>
      </c>
      <c r="K21" s="13" t="s">
        <v>43</v>
      </c>
      <c r="L21" s="17">
        <f>SUMIF(Table84141941013242732394348535671118253039[CỔ ĐÔNG],K21,Table84141941013242732394348535671118253039[VỐN CP])</f>
        <v>51175000</v>
      </c>
      <c r="M21" s="17">
        <f>SUMIF(Table84141941013242732394348535671118253039[CỔ ĐÔNG],K21,Table84141941013242732394348535671118253039[LỢI NHUẬN GỘP])</f>
        <v>16621099.050000001</v>
      </c>
      <c r="N21" s="17">
        <f>SUMIF(Table84141941013242732394348535671118253039[CỔ ĐÔNG],K21,Table84141941013242732394348535671118253039[LỢI NHUẬN RÒNG])</f>
        <v>9024299.7055650987</v>
      </c>
      <c r="O21" s="15">
        <f>SUMIF(Table84141941013242732394348535671118253039[CỔ ĐÔNG],Table95152051114252833404449545781219263140[[#This Row],[CỔ ĐÔNG]],Table84141941013242732394348535671118253039[TỔNG NHẬN])</f>
        <v>60199299.70556511</v>
      </c>
    </row>
    <row r="22" spans="1:15" ht="15" hidden="1" customHeight="1" x14ac:dyDescent="0.3">
      <c r="A22" s="10" t="s">
        <v>140</v>
      </c>
      <c r="B22" s="11" t="s">
        <v>37</v>
      </c>
      <c r="C22" s="18">
        <v>10</v>
      </c>
      <c r="D22" s="18">
        <v>6200000</v>
      </c>
      <c r="E22" s="18">
        <v>1371022.5</v>
      </c>
      <c r="F22" s="18">
        <v>813203.69832765753</v>
      </c>
      <c r="G22" s="12">
        <f>Table84141941013242732394348535671118253039[[#This Row],[VỐN CP]]+Table84141941013242732394348535671118253039[[#This Row],[LỢI NHUẬN RÒNG]]</f>
        <v>7013203.6983276578</v>
      </c>
      <c r="K22" s="13" t="s">
        <v>44</v>
      </c>
      <c r="L22" s="17">
        <f>SUMIF(Table84141941013242732394348535671118253039[CỔ ĐÔNG],K22,Table84141941013242732394348535671118253039[VỐN CP])</f>
        <v>0</v>
      </c>
      <c r="M22" s="17">
        <f>SUMIF(Table84141941013242732394348535671118253039[CỔ ĐÔNG],K22,Table84141941013242732394348535671118253039[LỢI NHUẬN GỘP])</f>
        <v>0</v>
      </c>
      <c r="N22" s="17">
        <f>SUMIF(Table84141941013242732394348535671118253039[CỔ ĐÔNG],K22,Table84141941013242732394348535671118253039[LỢI NHUẬN RÒNG])</f>
        <v>0</v>
      </c>
      <c r="O22" s="15">
        <f>SUMIF(Table84141941013242732394348535671118253039[CỔ ĐÔNG],Table95152051114252833404449545781219263140[[#This Row],[CỔ ĐÔNG]],Table84141941013242732394348535671118253039[TỔNG NHẬN])</f>
        <v>0</v>
      </c>
    </row>
    <row r="23" spans="1:15" ht="15" customHeight="1" x14ac:dyDescent="0.3">
      <c r="A23" s="10" t="s">
        <v>140</v>
      </c>
      <c r="B23" s="11" t="s">
        <v>33</v>
      </c>
      <c r="C23" s="11">
        <v>5</v>
      </c>
      <c r="D23" s="11">
        <v>3100000</v>
      </c>
      <c r="E23" s="11">
        <v>685511.25</v>
      </c>
      <c r="F23" s="11">
        <v>406601.84916382877</v>
      </c>
      <c r="G23" s="12">
        <f>Table84141941013242732394348535671118253039[[#This Row],[VỐN CP]]+Table84141941013242732394348535671118253039[[#This Row],[LỢI NHUẬN RÒNG]]</f>
        <v>3506601.8491638289</v>
      </c>
      <c r="K23" s="13" t="s">
        <v>45</v>
      </c>
      <c r="L23" s="17">
        <f>SUMIF(Table84141941013242732394348535671118253039[CỔ ĐÔNG],K23,Table84141941013242732394348535671118253039[VỐN CP])</f>
        <v>0</v>
      </c>
      <c r="M23" s="17">
        <f>SUMIF(Table84141941013242732394348535671118253039[CỔ ĐÔNG],K23,Table84141941013242732394348535671118253039[LỢI NHUẬN GỘP])</f>
        <v>0</v>
      </c>
      <c r="N23" s="17">
        <f>SUMIF(Table84141941013242732394348535671118253039[CỔ ĐÔNG],K23,Table84141941013242732394348535671118253039[LỢI NHUẬN RÒNG])</f>
        <v>0</v>
      </c>
      <c r="O23" s="15">
        <f>SUMIF(Table84141941013242732394348535671118253039[CỔ ĐÔNG],Table95152051114252833404449545781219263140[[#This Row],[CỔ ĐÔNG]],Table84141941013242732394348535671118253039[TỔNG NHẬN])</f>
        <v>0</v>
      </c>
    </row>
    <row r="24" spans="1:15" ht="15" hidden="1" customHeight="1" x14ac:dyDescent="0.3">
      <c r="A24" s="10" t="s">
        <v>140</v>
      </c>
      <c r="B24" s="11" t="s">
        <v>31</v>
      </c>
      <c r="C24" s="11">
        <v>20</v>
      </c>
      <c r="D24" s="11">
        <v>12400000</v>
      </c>
      <c r="E24" s="11">
        <v>2742045</v>
      </c>
      <c r="F24" s="11">
        <v>1626407.3966553151</v>
      </c>
      <c r="G24" s="12">
        <f>Table84141941013242732394348535671118253039[[#This Row],[VỐN CP]]+Table84141941013242732394348535671118253039[[#This Row],[LỢI NHUẬN RÒNG]]</f>
        <v>14026407.396655316</v>
      </c>
      <c r="K24" s="13" t="s">
        <v>46</v>
      </c>
      <c r="L24" s="17">
        <f>SUMIF(Table84141941013242732394348535671118253039[CỔ ĐÔNG],K24,Table84141941013242732394348535671118253039[VỐN CP])</f>
        <v>0</v>
      </c>
      <c r="M24" s="17">
        <f>SUMIF(Table84141941013242732394348535671118253039[CỔ ĐÔNG],K24,Table84141941013242732394348535671118253039[LỢI NHUẬN GỘP])</f>
        <v>0</v>
      </c>
      <c r="N24" s="17">
        <f>SUMIF(Table84141941013242732394348535671118253039[CỔ ĐÔNG],K24,Table84141941013242732394348535671118253039[LỢI NHUẬN RÒNG])</f>
        <v>0</v>
      </c>
      <c r="O24" s="15">
        <f>SUMIF(Table84141941013242732394348535671118253039[CỔ ĐÔNG],Table95152051114252833404449545781219263140[[#This Row],[CỔ ĐÔNG]],Table84141941013242732394348535671118253039[TỔNG NHẬN])</f>
        <v>0</v>
      </c>
    </row>
    <row r="25" spans="1:15" ht="15" hidden="1" customHeight="1" x14ac:dyDescent="0.3">
      <c r="A25" s="10" t="s">
        <v>140</v>
      </c>
      <c r="B25" s="11" t="s">
        <v>21</v>
      </c>
      <c r="C25" s="11">
        <v>10</v>
      </c>
      <c r="D25" s="11">
        <v>6200000</v>
      </c>
      <c r="E25" s="11">
        <v>1371022.5</v>
      </c>
      <c r="F25" s="11">
        <v>813203.69832765753</v>
      </c>
      <c r="G25" s="12">
        <f>Table84141941013242732394348535671118253039[[#This Row],[VỐN CP]]+Table84141941013242732394348535671118253039[[#This Row],[LỢI NHUẬN RÒNG]]</f>
        <v>7013203.6983276578</v>
      </c>
      <c r="K25" s="13" t="s">
        <v>47</v>
      </c>
      <c r="L25" s="14">
        <f>SUM(L2:L24)</f>
        <v>451500000</v>
      </c>
      <c r="M25" s="14">
        <f>SUM(M2:M24)</f>
        <v>148846482</v>
      </c>
      <c r="N25" s="14">
        <f>SUM(N2:N24)</f>
        <v>81281288.800221816</v>
      </c>
      <c r="O25" s="14">
        <f>SUM(O2:O24)</f>
        <v>532781288.80022174</v>
      </c>
    </row>
    <row r="26" spans="1:15" ht="15" hidden="1" customHeight="1" x14ac:dyDescent="0.3">
      <c r="A26" s="10" t="s">
        <v>140</v>
      </c>
      <c r="B26" s="11" t="s">
        <v>29</v>
      </c>
      <c r="C26" s="11">
        <v>10</v>
      </c>
      <c r="D26" s="11">
        <v>6200000</v>
      </c>
      <c r="E26" s="11">
        <v>1371022.5</v>
      </c>
      <c r="F26" s="11">
        <v>813203.69832765753</v>
      </c>
      <c r="G26" s="12">
        <f>Table84141941013242732394348535671118253039[[#This Row],[VỐN CP]]+Table84141941013242732394348535671118253039[[#This Row],[LỢI NHUẬN RÒNG]]</f>
        <v>7013203.6983276578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140</v>
      </c>
      <c r="B27" s="11" t="s">
        <v>43</v>
      </c>
      <c r="C27" s="11">
        <v>15</v>
      </c>
      <c r="D27" s="11">
        <v>9300000</v>
      </c>
      <c r="E27" s="11">
        <v>2056533.75</v>
      </c>
      <c r="F27" s="11">
        <v>1219805.5474914864</v>
      </c>
      <c r="G27" s="12">
        <f>Table84141941013242732394348535671118253039[[#This Row],[VỐN CP]]+Table84141941013242732394348535671118253039[[#This Row],[LỢI NHUẬN RÒNG]]</f>
        <v>10519805.547491487</v>
      </c>
    </row>
    <row r="28" spans="1:15" ht="15" hidden="1" customHeight="1" x14ac:dyDescent="0.3">
      <c r="A28" s="10" t="s">
        <v>140</v>
      </c>
      <c r="B28" s="11" t="s">
        <v>25</v>
      </c>
      <c r="C28" s="11">
        <v>10</v>
      </c>
      <c r="D28" s="11">
        <v>6200000</v>
      </c>
      <c r="E28" s="11">
        <v>1371022.5</v>
      </c>
      <c r="F28" s="11">
        <v>813203.69832765753</v>
      </c>
      <c r="G28" s="12">
        <f>Table84141941013242732394348535671118253039[[#This Row],[VỐN CP]]+Table84141941013242732394348535671118253039[[#This Row],[LỢI NHUẬN RÒNG]]</f>
        <v>7013203.6983276578</v>
      </c>
      <c r="K28" s="11"/>
    </row>
    <row r="29" spans="1:15" ht="15" hidden="1" customHeight="1" x14ac:dyDescent="0.3">
      <c r="A29" s="10" t="s">
        <v>141</v>
      </c>
      <c r="B29" s="11" t="s">
        <v>9</v>
      </c>
      <c r="C29" s="11">
        <v>10</v>
      </c>
      <c r="D29" s="11">
        <v>5850000</v>
      </c>
      <c r="E29" s="11">
        <v>2101879.2000000002</v>
      </c>
      <c r="F29" s="11">
        <v>979137.9527581766</v>
      </c>
      <c r="G29" s="12">
        <f>Table84141941013242732394348535671118253039[[#This Row],[VỐN CP]]+Table84141941013242732394348535671118253039[[#This Row],[LỢI NHUẬN RÒNG]]</f>
        <v>6829137.9527581763</v>
      </c>
    </row>
    <row r="30" spans="1:15" ht="15" hidden="1" customHeight="1" x14ac:dyDescent="0.3">
      <c r="A30" s="10" t="s">
        <v>141</v>
      </c>
      <c r="B30" s="11" t="s">
        <v>19</v>
      </c>
      <c r="C30" s="11">
        <v>20</v>
      </c>
      <c r="D30" s="11">
        <v>11700000</v>
      </c>
      <c r="E30" s="11">
        <v>4203758.4000000004</v>
      </c>
      <c r="F30" s="11">
        <v>1958275.9055163532</v>
      </c>
      <c r="G30" s="12">
        <f>Table84141941013242732394348535671118253039[[#This Row],[VỐN CP]]+Table84141941013242732394348535671118253039[[#This Row],[LỢI NHUẬN RÒNG]]</f>
        <v>13658275.905516353</v>
      </c>
      <c r="M30" s="11"/>
    </row>
    <row r="31" spans="1:15" ht="15" hidden="1" customHeight="1" x14ac:dyDescent="0.3">
      <c r="A31" s="10" t="s">
        <v>141</v>
      </c>
      <c r="B31" s="11" t="s">
        <v>37</v>
      </c>
      <c r="C31" s="11">
        <v>10</v>
      </c>
      <c r="D31" s="11">
        <v>5850000</v>
      </c>
      <c r="E31" s="11">
        <v>2101879.2000000002</v>
      </c>
      <c r="F31" s="11">
        <v>979137.9527581766</v>
      </c>
      <c r="G31" s="12">
        <f>Table84141941013242732394348535671118253039[[#This Row],[VỐN CP]]+Table84141941013242732394348535671118253039[[#This Row],[LỢI NHUẬN RÒNG]]</f>
        <v>6829137.9527581763</v>
      </c>
    </row>
    <row r="32" spans="1:15" ht="15" customHeight="1" x14ac:dyDescent="0.3">
      <c r="A32" s="10" t="s">
        <v>141</v>
      </c>
      <c r="B32" s="11" t="s">
        <v>33</v>
      </c>
      <c r="C32" s="11">
        <v>5</v>
      </c>
      <c r="D32" s="11">
        <v>2925000</v>
      </c>
      <c r="E32" s="11">
        <v>1050939.6000000001</v>
      </c>
      <c r="F32" s="11">
        <v>489568.9763790883</v>
      </c>
      <c r="G32" s="12">
        <f>Table84141941013242732394348535671118253039[[#This Row],[VỐN CP]]+Table84141941013242732394348535671118253039[[#This Row],[LỢI NHUẬN RÒNG]]</f>
        <v>3414568.9763790881</v>
      </c>
    </row>
    <row r="33" spans="1:12" ht="15" hidden="1" customHeight="1" x14ac:dyDescent="0.3">
      <c r="A33" s="10" t="s">
        <v>141</v>
      </c>
      <c r="B33" s="11" t="s">
        <v>31</v>
      </c>
      <c r="C33" s="11">
        <v>15</v>
      </c>
      <c r="D33" s="11">
        <v>8775000</v>
      </c>
      <c r="E33" s="11">
        <v>3152818.8</v>
      </c>
      <c r="F33" s="11">
        <v>1468706.9291372651</v>
      </c>
      <c r="G33" s="12">
        <f>Table84141941013242732394348535671118253039[[#This Row],[VỐN CP]]+Table84141941013242732394348535671118253039[[#This Row],[LỢI NHUẬN RÒNG]]</f>
        <v>10243706.929137265</v>
      </c>
    </row>
    <row r="34" spans="1:12" ht="15" hidden="1" customHeight="1" x14ac:dyDescent="0.3">
      <c r="A34" s="10" t="s">
        <v>141</v>
      </c>
      <c r="B34" s="11" t="s">
        <v>21</v>
      </c>
      <c r="C34" s="11">
        <v>10</v>
      </c>
      <c r="D34" s="11">
        <v>5850000</v>
      </c>
      <c r="E34" s="11">
        <v>2101879.2000000002</v>
      </c>
      <c r="F34" s="11">
        <v>979137.9527581766</v>
      </c>
      <c r="G34" s="12">
        <f>Table84141941013242732394348535671118253039[[#This Row],[VỐN CP]]+Table84141941013242732394348535671118253039[[#This Row],[LỢI NHUẬN RÒNG]]</f>
        <v>6829137.9527581763</v>
      </c>
    </row>
    <row r="35" spans="1:12" ht="15" hidden="1" customHeight="1" x14ac:dyDescent="0.3">
      <c r="A35" s="10" t="s">
        <v>141</v>
      </c>
      <c r="B35" s="11" t="s">
        <v>29</v>
      </c>
      <c r="C35" s="11">
        <v>5</v>
      </c>
      <c r="D35" s="11">
        <v>2925000</v>
      </c>
      <c r="E35" s="11">
        <v>1050939.6000000001</v>
      </c>
      <c r="F35" s="11">
        <v>489568.9763790883</v>
      </c>
      <c r="G35" s="12">
        <f>Table84141941013242732394348535671118253039[[#This Row],[VỐN CP]]+Table84141941013242732394348535671118253039[[#This Row],[LỢI NHUẬN RÒNG]]</f>
        <v>3414568.9763790881</v>
      </c>
    </row>
    <row r="36" spans="1:12" ht="15" hidden="1" customHeight="1" x14ac:dyDescent="0.3">
      <c r="A36" s="10" t="s">
        <v>141</v>
      </c>
      <c r="B36" s="11" t="s">
        <v>43</v>
      </c>
      <c r="C36" s="11">
        <v>15</v>
      </c>
      <c r="D36" s="11">
        <v>8775000</v>
      </c>
      <c r="E36" s="11">
        <v>3152818.8</v>
      </c>
      <c r="F36" s="11">
        <v>1468706.9291372651</v>
      </c>
      <c r="G36" s="12">
        <f>Table84141941013242732394348535671118253039[[#This Row],[VỐN CP]]+Table84141941013242732394348535671118253039[[#This Row],[LỢI NHUẬN RÒNG]]</f>
        <v>10243706.929137265</v>
      </c>
    </row>
    <row r="37" spans="1:12" ht="15" hidden="1" customHeight="1" x14ac:dyDescent="0.3">
      <c r="A37" s="10" t="s">
        <v>141</v>
      </c>
      <c r="B37" s="11" t="s">
        <v>25</v>
      </c>
      <c r="C37" s="11">
        <v>10</v>
      </c>
      <c r="D37" s="11">
        <v>5850000</v>
      </c>
      <c r="E37" s="11">
        <v>2101879.2000000002</v>
      </c>
      <c r="F37" s="11">
        <v>979137.9527581766</v>
      </c>
      <c r="G37" s="12">
        <f>Table84141941013242732394348535671118253039[[#This Row],[VỐN CP]]+Table84141941013242732394348535671118253039[[#This Row],[LỢI NHUẬN RÒNG]]</f>
        <v>6829137.9527581763</v>
      </c>
      <c r="L37" s="11"/>
    </row>
    <row r="38" spans="1:12" ht="15" hidden="1" customHeight="1" x14ac:dyDescent="0.3">
      <c r="A38" s="10" t="s">
        <v>146</v>
      </c>
      <c r="B38" s="11" t="s">
        <v>9</v>
      </c>
      <c r="C38" s="11">
        <v>15</v>
      </c>
      <c r="D38" s="11">
        <v>19500000</v>
      </c>
      <c r="E38" s="11">
        <v>7673551.9500000002</v>
      </c>
      <c r="F38" s="11">
        <v>4600438.9438747196</v>
      </c>
      <c r="G38" s="12">
        <f>Table84141941013242732394348535671118253039[[#This Row],[VỐN CP]]+Table84141941013242732394348535671118253039[[#This Row],[LỢI NHUẬN RÒNG]]</f>
        <v>24100438.94387472</v>
      </c>
    </row>
    <row r="39" spans="1:12" ht="15" hidden="1" customHeight="1" x14ac:dyDescent="0.3">
      <c r="A39" s="10" t="s">
        <v>146</v>
      </c>
      <c r="B39" s="11" t="s">
        <v>19</v>
      </c>
      <c r="C39" s="11">
        <v>20</v>
      </c>
      <c r="D39" s="11">
        <v>26000000</v>
      </c>
      <c r="E39" s="11">
        <v>10231402.6</v>
      </c>
      <c r="F39" s="11">
        <v>6133918.59183296</v>
      </c>
      <c r="G39" s="12">
        <f>Table84141941013242732394348535671118253039[[#This Row],[VỐN CP]]+Table84141941013242732394348535671118253039[[#This Row],[LỢI NHUẬN RÒNG]]</f>
        <v>32133918.591832958</v>
      </c>
    </row>
    <row r="40" spans="1:12" ht="15" hidden="1" customHeight="1" x14ac:dyDescent="0.3">
      <c r="A40" s="10" t="s">
        <v>146</v>
      </c>
      <c r="B40" s="11" t="s">
        <v>27</v>
      </c>
      <c r="C40" s="11">
        <v>5</v>
      </c>
      <c r="D40" s="11">
        <v>6500000</v>
      </c>
      <c r="E40" s="11">
        <v>2557850.65</v>
      </c>
      <c r="F40" s="11">
        <v>1533479.64795824</v>
      </c>
      <c r="G40" s="12">
        <f>Table84141941013242732394348535671118253039[[#This Row],[VỐN CP]]+Table84141941013242732394348535671118253039[[#This Row],[LỢI NHUẬN RÒNG]]</f>
        <v>8033479.6479582395</v>
      </c>
    </row>
    <row r="41" spans="1:12" ht="15" hidden="1" customHeight="1" x14ac:dyDescent="0.3">
      <c r="A41" s="10" t="s">
        <v>146</v>
      </c>
      <c r="B41" s="11" t="s">
        <v>37</v>
      </c>
      <c r="C41" s="11">
        <v>10</v>
      </c>
      <c r="D41" s="11">
        <v>13000000</v>
      </c>
      <c r="E41" s="11">
        <v>5115701.3</v>
      </c>
      <c r="F41" s="11">
        <v>3066959.29591648</v>
      </c>
      <c r="G41" s="12">
        <f>Table84141941013242732394348535671118253039[[#This Row],[VỐN CP]]+Table84141941013242732394348535671118253039[[#This Row],[LỢI NHUẬN RÒNG]]</f>
        <v>16066959.295916479</v>
      </c>
    </row>
    <row r="42" spans="1:12" ht="15" customHeight="1" x14ac:dyDescent="0.3">
      <c r="A42" s="10" t="s">
        <v>146</v>
      </c>
      <c r="B42" s="11" t="s">
        <v>33</v>
      </c>
      <c r="C42" s="11">
        <v>5</v>
      </c>
      <c r="D42" s="11">
        <v>6500000</v>
      </c>
      <c r="E42" s="11">
        <v>2557850.65</v>
      </c>
      <c r="F42" s="11">
        <v>1533479.64795824</v>
      </c>
      <c r="G42" s="12">
        <f>Table84141941013242732394348535671118253039[[#This Row],[VỐN CP]]+Table84141941013242732394348535671118253039[[#This Row],[LỢI NHUẬN RÒNG]]</f>
        <v>8033479.6479582395</v>
      </c>
    </row>
    <row r="43" spans="1:12" ht="15" hidden="1" customHeight="1" x14ac:dyDescent="0.3">
      <c r="A43" s="10" t="s">
        <v>146</v>
      </c>
      <c r="B43" s="11" t="s">
        <v>31</v>
      </c>
      <c r="C43" s="11">
        <v>10</v>
      </c>
      <c r="D43" s="11">
        <v>13000000</v>
      </c>
      <c r="E43" s="11">
        <v>5115701.3</v>
      </c>
      <c r="F43" s="11">
        <v>3066959.29591648</v>
      </c>
      <c r="G43" s="12">
        <f>Table84141941013242732394348535671118253039[[#This Row],[VỐN CP]]+Table84141941013242732394348535671118253039[[#This Row],[LỢI NHUẬN RÒNG]]</f>
        <v>16066959.295916479</v>
      </c>
    </row>
    <row r="44" spans="1:12" ht="15" hidden="1" customHeight="1" x14ac:dyDescent="0.3">
      <c r="A44" s="10" t="s">
        <v>146</v>
      </c>
      <c r="B44" s="11" t="s">
        <v>21</v>
      </c>
      <c r="C44" s="11">
        <v>10</v>
      </c>
      <c r="D44" s="11">
        <v>13000000</v>
      </c>
      <c r="E44" s="11">
        <v>5115701.3</v>
      </c>
      <c r="F44" s="11">
        <v>3066959.29591648</v>
      </c>
      <c r="G44" s="12">
        <f>Table84141941013242732394348535671118253039[[#This Row],[VỐN CP]]+Table84141941013242732394348535671118253039[[#This Row],[LỢI NHUẬN RÒNG]]</f>
        <v>16066959.295916479</v>
      </c>
    </row>
    <row r="45" spans="1:12" ht="15" hidden="1" customHeight="1" x14ac:dyDescent="0.3">
      <c r="A45" s="10" t="s">
        <v>146</v>
      </c>
      <c r="B45" s="11" t="s">
        <v>10</v>
      </c>
      <c r="C45" s="11">
        <v>5</v>
      </c>
      <c r="D45" s="11">
        <v>6500000</v>
      </c>
      <c r="E45" s="11">
        <v>2557850.65</v>
      </c>
      <c r="F45" s="11">
        <v>1533479.64795824</v>
      </c>
      <c r="G45" s="12">
        <f>Table84141941013242732394348535671118253039[[#This Row],[VỐN CP]]+Table84141941013242732394348535671118253039[[#This Row],[LỢI NHUẬN RÒNG]]</f>
        <v>8033479.6479582395</v>
      </c>
    </row>
    <row r="46" spans="1:12" ht="15" hidden="1" customHeight="1" x14ac:dyDescent="0.3">
      <c r="A46" s="10" t="s">
        <v>146</v>
      </c>
      <c r="B46" s="11" t="s">
        <v>29</v>
      </c>
      <c r="C46" s="11">
        <v>5</v>
      </c>
      <c r="D46" s="11">
        <v>6500000</v>
      </c>
      <c r="E46" s="11">
        <v>2557850.65</v>
      </c>
      <c r="F46" s="11">
        <v>1533479.64795824</v>
      </c>
      <c r="G46" s="12">
        <f>Table84141941013242732394348535671118253039[[#This Row],[VỐN CP]]+Table84141941013242732394348535671118253039[[#This Row],[LỢI NHUẬN RÒNG]]</f>
        <v>8033479.6479582395</v>
      </c>
    </row>
    <row r="47" spans="1:12" ht="15" hidden="1" customHeight="1" x14ac:dyDescent="0.3">
      <c r="A47" s="10" t="s">
        <v>146</v>
      </c>
      <c r="B47" s="11" t="s">
        <v>43</v>
      </c>
      <c r="C47" s="11">
        <v>10</v>
      </c>
      <c r="D47" s="11">
        <v>13000000</v>
      </c>
      <c r="E47" s="11">
        <v>5115701.3</v>
      </c>
      <c r="F47" s="11">
        <v>3066959.29591648</v>
      </c>
      <c r="G47" s="12">
        <f>Table84141941013242732394348535671118253039[[#This Row],[VỐN CP]]+Table84141941013242732394348535671118253039[[#This Row],[LỢI NHUẬN RÒNG]]</f>
        <v>16066959.295916479</v>
      </c>
    </row>
    <row r="48" spans="1:12" ht="15" hidden="1" customHeight="1" x14ac:dyDescent="0.3">
      <c r="A48" s="10" t="s">
        <v>146</v>
      </c>
      <c r="B48" s="11" t="s">
        <v>25</v>
      </c>
      <c r="C48" s="11">
        <v>5</v>
      </c>
      <c r="D48" s="11">
        <v>6500000</v>
      </c>
      <c r="E48" s="11">
        <v>2557850.65</v>
      </c>
      <c r="F48" s="11">
        <v>1533479.64795824</v>
      </c>
      <c r="G48" s="12">
        <f>Table84141941013242732394348535671118253039[[#This Row],[VỐN CP]]+Table84141941013242732394348535671118253039[[#This Row],[LỢI NHUẬN RÒNG]]</f>
        <v>8033479.6479582395</v>
      </c>
    </row>
    <row r="49" spans="1:7" ht="15" hidden="1" customHeight="1" x14ac:dyDescent="0.3">
      <c r="A49" s="10" t="s">
        <v>147</v>
      </c>
      <c r="B49" s="11" t="s">
        <v>9</v>
      </c>
      <c r="C49" s="11">
        <v>15</v>
      </c>
      <c r="D49" s="11">
        <v>12900000</v>
      </c>
      <c r="E49" s="11">
        <v>3208333.05</v>
      </c>
      <c r="F49" s="11">
        <v>1291063.3901011527</v>
      </c>
      <c r="G49" s="12">
        <f>Table84141941013242732394348535671118253039[[#This Row],[VỐN CP]]+Table84141941013242732394348535671118253039[[#This Row],[LỢI NHUẬN RÒNG]]</f>
        <v>14191063.390101153</v>
      </c>
    </row>
    <row r="50" spans="1:7" ht="15" hidden="1" customHeight="1" x14ac:dyDescent="0.3">
      <c r="A50" s="10" t="s">
        <v>147</v>
      </c>
      <c r="B50" s="11" t="s">
        <v>19</v>
      </c>
      <c r="C50" s="11">
        <v>20</v>
      </c>
      <c r="D50" s="11">
        <v>17200000</v>
      </c>
      <c r="E50" s="11">
        <v>4277777.4000000004</v>
      </c>
      <c r="F50" s="11">
        <v>1721417.8534682035</v>
      </c>
      <c r="G50" s="12">
        <f>Table84141941013242732394348535671118253039[[#This Row],[VỐN CP]]+Table84141941013242732394348535671118253039[[#This Row],[LỢI NHUẬN RÒNG]]</f>
        <v>18921417.853468202</v>
      </c>
    </row>
    <row r="51" spans="1:7" ht="15" hidden="1" customHeight="1" x14ac:dyDescent="0.3">
      <c r="A51" s="10" t="s">
        <v>147</v>
      </c>
      <c r="B51" s="11" t="s">
        <v>27</v>
      </c>
      <c r="C51" s="11">
        <v>5</v>
      </c>
      <c r="D51" s="11">
        <v>4300000</v>
      </c>
      <c r="E51" s="11">
        <v>1069444.3500000001</v>
      </c>
      <c r="F51" s="11">
        <v>430354.46336705086</v>
      </c>
      <c r="G51" s="12">
        <f>Table84141941013242732394348535671118253039[[#This Row],[VỐN CP]]+Table84141941013242732394348535671118253039[[#This Row],[LỢI NHUẬN RÒNG]]</f>
        <v>4730354.4633670505</v>
      </c>
    </row>
    <row r="52" spans="1:7" ht="15" hidden="1" customHeight="1" x14ac:dyDescent="0.3">
      <c r="A52" s="10" t="s">
        <v>147</v>
      </c>
      <c r="B52" s="11" t="s">
        <v>37</v>
      </c>
      <c r="C52" s="11">
        <v>10</v>
      </c>
      <c r="D52" s="11">
        <v>8600000</v>
      </c>
      <c r="E52" s="11">
        <v>2138888.7000000002</v>
      </c>
      <c r="F52" s="11">
        <v>860708.92673410173</v>
      </c>
      <c r="G52" s="12">
        <f>Table84141941013242732394348535671118253039[[#This Row],[VỐN CP]]+Table84141941013242732394348535671118253039[[#This Row],[LỢI NHUẬN RÒNG]]</f>
        <v>9460708.926734101</v>
      </c>
    </row>
    <row r="53" spans="1:7" ht="12" customHeight="1" x14ac:dyDescent="0.3">
      <c r="A53" s="10" t="s">
        <v>147</v>
      </c>
      <c r="B53" s="11" t="s">
        <v>33</v>
      </c>
      <c r="C53" s="11">
        <v>5</v>
      </c>
      <c r="D53" s="11">
        <v>4300000</v>
      </c>
      <c r="E53" s="11">
        <v>1069444.3500000001</v>
      </c>
      <c r="F53" s="11">
        <v>430354.46336705086</v>
      </c>
      <c r="G53" s="12">
        <f>Table84141941013242732394348535671118253039[[#This Row],[VỐN CP]]+Table84141941013242732394348535671118253039[[#This Row],[LỢI NHUẬN RÒNG]]</f>
        <v>4730354.4633670505</v>
      </c>
    </row>
    <row r="54" spans="1:7" ht="15" hidden="1" customHeight="1" x14ac:dyDescent="0.3">
      <c r="A54" s="10" t="s">
        <v>147</v>
      </c>
      <c r="B54" s="11" t="s">
        <v>31</v>
      </c>
      <c r="C54" s="11">
        <v>20</v>
      </c>
      <c r="D54" s="11">
        <v>17200000</v>
      </c>
      <c r="E54" s="11">
        <v>4277777.4000000004</v>
      </c>
      <c r="F54" s="11">
        <v>1721417.8534682035</v>
      </c>
      <c r="G54" s="12">
        <f>Table84141941013242732394348535671118253039[[#This Row],[VỐN CP]]+Table84141941013242732394348535671118253039[[#This Row],[LỢI NHUẬN RÒNG]]</f>
        <v>18921417.853468202</v>
      </c>
    </row>
    <row r="55" spans="1:7" ht="15" hidden="1" customHeight="1" x14ac:dyDescent="0.3">
      <c r="A55" s="10" t="s">
        <v>147</v>
      </c>
      <c r="B55" s="11" t="s">
        <v>21</v>
      </c>
      <c r="C55" s="11">
        <v>10</v>
      </c>
      <c r="D55" s="11">
        <v>8600000</v>
      </c>
      <c r="E55" s="11">
        <v>2138888.7000000002</v>
      </c>
      <c r="F55" s="11">
        <v>860708.92673410173</v>
      </c>
      <c r="G55" s="12">
        <f>Table84141941013242732394348535671118253039[[#This Row],[VỐN CP]]+Table84141941013242732394348535671118253039[[#This Row],[LỢI NHUẬN RÒNG]]</f>
        <v>9460708.926734101</v>
      </c>
    </row>
    <row r="56" spans="1:7" ht="15" hidden="1" customHeight="1" x14ac:dyDescent="0.3">
      <c r="A56" s="10" t="s">
        <v>147</v>
      </c>
      <c r="B56" s="11" t="s">
        <v>29</v>
      </c>
      <c r="C56" s="18">
        <v>5</v>
      </c>
      <c r="D56" s="18">
        <v>4300000</v>
      </c>
      <c r="E56" s="18">
        <v>1069444.3500000001</v>
      </c>
      <c r="F56" s="18">
        <v>430354.46336705086</v>
      </c>
      <c r="G56" s="12">
        <f>Table84141941013242732394348535671118253039[[#This Row],[VỐN CP]]+Table84141941013242732394348535671118253039[[#This Row],[LỢI NHUẬN RÒNG]]</f>
        <v>4730354.4633670505</v>
      </c>
    </row>
    <row r="57" spans="1:7" ht="15" hidden="1" customHeight="1" x14ac:dyDescent="0.3">
      <c r="A57" s="10" t="s">
        <v>147</v>
      </c>
      <c r="B57" s="11" t="s">
        <v>43</v>
      </c>
      <c r="C57" s="11">
        <v>10</v>
      </c>
      <c r="D57" s="11">
        <v>8600000</v>
      </c>
      <c r="E57" s="11">
        <v>2138888.7000000002</v>
      </c>
      <c r="F57" s="11">
        <v>860708.92673410173</v>
      </c>
      <c r="G57" s="12">
        <f>Table84141941013242732394348535671118253039[[#This Row],[VỐN CP]]+Table84141941013242732394348535671118253039[[#This Row],[LỢI NHUẬN RÒNG]]</f>
        <v>9460708.926734101</v>
      </c>
    </row>
    <row r="58" spans="1:7" ht="15" hidden="1" customHeight="1" x14ac:dyDescent="0.3">
      <c r="A58" s="10" t="s">
        <v>148</v>
      </c>
      <c r="B58" s="11" t="s">
        <v>9</v>
      </c>
      <c r="C58" s="11">
        <v>10</v>
      </c>
      <c r="D58" s="11">
        <v>5000000</v>
      </c>
      <c r="E58" s="11">
        <v>1841534.8</v>
      </c>
      <c r="F58" s="11">
        <v>1404639.7780770198</v>
      </c>
      <c r="G58" s="12">
        <f>Table84141941013242732394348535671118253039[[#This Row],[VỐN CP]]+Table84141941013242732394348535671118253039[[#This Row],[LỢI NHUẬN RÒNG]]</f>
        <v>6404639.7780770194</v>
      </c>
    </row>
    <row r="59" spans="1:7" ht="15" hidden="1" customHeight="1" x14ac:dyDescent="0.3">
      <c r="A59" s="10" t="s">
        <v>148</v>
      </c>
      <c r="B59" s="11" t="s">
        <v>19</v>
      </c>
      <c r="C59" s="11">
        <v>10</v>
      </c>
      <c r="D59" s="11">
        <v>5000000</v>
      </c>
      <c r="E59" s="11">
        <v>1841534.8</v>
      </c>
      <c r="F59" s="11">
        <v>1404639.7780770198</v>
      </c>
      <c r="G59" s="12">
        <f>Table84141941013242732394348535671118253039[[#This Row],[VỐN CP]]+Table84141941013242732394348535671118253039[[#This Row],[LỢI NHUẬN RÒNG]]</f>
        <v>6404639.7780770194</v>
      </c>
    </row>
    <row r="60" spans="1:7" ht="15" hidden="1" customHeight="1" x14ac:dyDescent="0.3">
      <c r="A60" s="10" t="s">
        <v>148</v>
      </c>
      <c r="B60" s="11" t="s">
        <v>37</v>
      </c>
      <c r="C60" s="11">
        <v>20</v>
      </c>
      <c r="D60" s="11">
        <v>10000000</v>
      </c>
      <c r="E60" s="11">
        <v>3683069.6</v>
      </c>
      <c r="F60" s="11">
        <v>2809279.5561540397</v>
      </c>
      <c r="G60" s="12">
        <f>Table84141941013242732394348535671118253039[[#This Row],[VỐN CP]]+Table84141941013242732394348535671118253039[[#This Row],[LỢI NHUẬN RÒNG]]</f>
        <v>12809279.556154039</v>
      </c>
    </row>
    <row r="61" spans="1:7" ht="15" customHeight="1" x14ac:dyDescent="0.3">
      <c r="A61" s="10" t="s">
        <v>148</v>
      </c>
      <c r="B61" s="11" t="s">
        <v>33</v>
      </c>
      <c r="C61" s="11">
        <v>5</v>
      </c>
      <c r="D61" s="11">
        <v>2500000</v>
      </c>
      <c r="E61" s="11">
        <v>920767.4</v>
      </c>
      <c r="F61" s="11">
        <v>702319.88903850992</v>
      </c>
      <c r="G61" s="12">
        <f>Table84141941013242732394348535671118253039[[#This Row],[VỐN CP]]+Table84141941013242732394348535671118253039[[#This Row],[LỢI NHUẬN RÒNG]]</f>
        <v>3202319.8890385097</v>
      </c>
    </row>
    <row r="62" spans="1:7" ht="15" hidden="1" customHeight="1" x14ac:dyDescent="0.3">
      <c r="A62" s="10" t="s">
        <v>148</v>
      </c>
      <c r="B62" s="11" t="s">
        <v>31</v>
      </c>
      <c r="C62" s="11">
        <v>10</v>
      </c>
      <c r="D62" s="11">
        <v>5000000</v>
      </c>
      <c r="E62" s="11">
        <v>1841534.8</v>
      </c>
      <c r="F62" s="11">
        <v>1404639.7780770198</v>
      </c>
      <c r="G62" s="12">
        <f>Table84141941013242732394348535671118253039[[#This Row],[VỐN CP]]+Table84141941013242732394348535671118253039[[#This Row],[LỢI NHUẬN RÒNG]]</f>
        <v>6404639.7780770194</v>
      </c>
    </row>
    <row r="63" spans="1:7" ht="15" hidden="1" customHeight="1" x14ac:dyDescent="0.3">
      <c r="A63" s="10" t="s">
        <v>148</v>
      </c>
      <c r="B63" s="11" t="s">
        <v>21</v>
      </c>
      <c r="C63" s="11">
        <v>10</v>
      </c>
      <c r="D63" s="11">
        <v>5000000</v>
      </c>
      <c r="E63" s="11">
        <v>1841534.8</v>
      </c>
      <c r="F63" s="11">
        <v>1404639.7780770198</v>
      </c>
      <c r="G63" s="12">
        <f>Table84141941013242732394348535671118253039[[#This Row],[VỐN CP]]+Table84141941013242732394348535671118253039[[#This Row],[LỢI NHUẬN RÒNG]]</f>
        <v>6404639.7780770194</v>
      </c>
    </row>
    <row r="64" spans="1:7" ht="15" hidden="1" customHeight="1" x14ac:dyDescent="0.3">
      <c r="A64" s="10" t="s">
        <v>148</v>
      </c>
      <c r="B64" s="11" t="s">
        <v>10</v>
      </c>
      <c r="C64" s="11">
        <v>10</v>
      </c>
      <c r="D64" s="11">
        <v>5000000</v>
      </c>
      <c r="E64" s="11">
        <v>1841534.8</v>
      </c>
      <c r="F64" s="11">
        <v>1404639.7780770198</v>
      </c>
      <c r="G64" s="12">
        <f>Table84141941013242732394348535671118253039[[#This Row],[VỐN CP]]+Table84141941013242732394348535671118253039[[#This Row],[LỢI NHUẬN RÒNG]]</f>
        <v>6404639.7780770194</v>
      </c>
    </row>
    <row r="65" spans="1:7" ht="15" hidden="1" customHeight="1" x14ac:dyDescent="0.3">
      <c r="A65" s="10" t="s">
        <v>148</v>
      </c>
      <c r="B65" s="11" t="s">
        <v>29</v>
      </c>
      <c r="C65" s="11">
        <v>5</v>
      </c>
      <c r="D65" s="11">
        <v>2500000</v>
      </c>
      <c r="E65" s="11">
        <v>920767.4</v>
      </c>
      <c r="F65" s="11">
        <v>702319.88903850992</v>
      </c>
      <c r="G65" s="12">
        <f>Table84141941013242732394348535671118253039[[#This Row],[VỐN CP]]+Table84141941013242732394348535671118253039[[#This Row],[LỢI NHUẬN RÒNG]]</f>
        <v>3202319.8890385097</v>
      </c>
    </row>
    <row r="66" spans="1:7" ht="15" hidden="1" customHeight="1" x14ac:dyDescent="0.3">
      <c r="A66" s="10" t="s">
        <v>148</v>
      </c>
      <c r="B66" s="11" t="s">
        <v>43</v>
      </c>
      <c r="C66" s="11">
        <v>10</v>
      </c>
      <c r="D66" s="11">
        <v>5000000</v>
      </c>
      <c r="E66" s="11">
        <v>1841534.8</v>
      </c>
      <c r="F66" s="11">
        <v>1404639.7780770198</v>
      </c>
      <c r="G66" s="12">
        <f>Table84141941013242732394348535671118253039[[#This Row],[VỐN CP]]+Table84141941013242732394348535671118253039[[#This Row],[LỢI NHUẬN RÒNG]]</f>
        <v>6404639.7780770194</v>
      </c>
    </row>
    <row r="67" spans="1:7" ht="15" hidden="1" customHeight="1" x14ac:dyDescent="0.3">
      <c r="A67" s="10" t="s">
        <v>148</v>
      </c>
      <c r="B67" s="11" t="s">
        <v>25</v>
      </c>
      <c r="C67" s="11">
        <v>10</v>
      </c>
      <c r="D67" s="18">
        <v>5000000</v>
      </c>
      <c r="E67" s="18">
        <v>1841534.8</v>
      </c>
      <c r="F67" s="18">
        <v>1404639.7780770198</v>
      </c>
      <c r="G67" s="12">
        <f>Table84141941013242732394348535671118253039[[#This Row],[VỐN CP]]+Table84141941013242732394348535671118253039[[#This Row],[LỢI NHUẬN RÒNG]]</f>
        <v>6404639.7780770194</v>
      </c>
    </row>
    <row r="68" spans="1:7" ht="15" hidden="1" customHeight="1" x14ac:dyDescent="0.3">
      <c r="A68" s="10"/>
      <c r="G68" s="12">
        <f>D68+Table84141941013242732394348535671118253039[[#This Row],[LỢI NHUẬN RÒNG]]</f>
        <v>0</v>
      </c>
    </row>
    <row r="69" spans="1:7" ht="15" hidden="1" customHeight="1" x14ac:dyDescent="0.3">
      <c r="A69" s="10"/>
      <c r="G69" s="12">
        <f>D69+Table84141941013242732394348535671118253039[[#This Row],[LỢI NHUẬN RÒNG]]</f>
        <v>0</v>
      </c>
    </row>
    <row r="70" spans="1:7" ht="15" hidden="1" customHeight="1" x14ac:dyDescent="0.3">
      <c r="A70" s="10"/>
      <c r="G70" s="12">
        <f>D70+Table84141941013242732394348535671118253039[[#This Row],[LỢI NHUẬN RÒNG]]</f>
        <v>0</v>
      </c>
    </row>
    <row r="71" spans="1:7" ht="15" hidden="1" customHeight="1" x14ac:dyDescent="0.3">
      <c r="A71" s="10"/>
      <c r="G71" s="12">
        <f>D71+Table84141941013242732394348535671118253039[[#This Row],[LỢI NHUẬN RÒNG]]</f>
        <v>0</v>
      </c>
    </row>
    <row r="72" spans="1:7" ht="15" hidden="1" customHeight="1" x14ac:dyDescent="0.3">
      <c r="A72" s="10"/>
      <c r="G72" s="12">
        <f>D72+Table84141941013242732394348535671118253039[[#This Row],[LỢI NHUẬN RÒNG]]</f>
        <v>0</v>
      </c>
    </row>
    <row r="73" spans="1:7" ht="15" hidden="1" customHeight="1" x14ac:dyDescent="0.3">
      <c r="A73" s="10"/>
      <c r="G73" s="12">
        <f>D73+Table84141941013242732394348535671118253039[[#This Row],[LỢI NHUẬN RÒNG]]</f>
        <v>0</v>
      </c>
    </row>
    <row r="74" spans="1:7" ht="15" hidden="1" customHeight="1" x14ac:dyDescent="0.3">
      <c r="A74" s="10"/>
      <c r="G74" s="12">
        <f>D74+Table84141941013242732394348535671118253039[[#This Row],[LỢI NHUẬN RÒNG]]</f>
        <v>0</v>
      </c>
    </row>
    <row r="75" spans="1:7" ht="15" hidden="1" customHeight="1" x14ac:dyDescent="0.3">
      <c r="A75" s="10"/>
      <c r="G75" s="12">
        <f>D75+Table84141941013242732394348535671118253039[[#This Row],[LỢI NHUẬN RÒNG]]</f>
        <v>0</v>
      </c>
    </row>
    <row r="76" spans="1:7" ht="15" hidden="1" customHeight="1" x14ac:dyDescent="0.3">
      <c r="A76" s="10"/>
      <c r="G76" s="12">
        <f>D76+Table84141941013242732394348535671118253039[[#This Row],[LỢI NHUẬN RÒNG]]</f>
        <v>0</v>
      </c>
    </row>
    <row r="77" spans="1:7" ht="15" hidden="1" customHeight="1" x14ac:dyDescent="0.3">
      <c r="A77" s="10"/>
      <c r="G77" s="12">
        <f>D77+Table84141941013242732394348535671118253039[[#This Row],[LỢI NHUẬN RÒNG]]</f>
        <v>0</v>
      </c>
    </row>
    <row r="78" spans="1:7" ht="15" hidden="1" customHeight="1" x14ac:dyDescent="0.3">
      <c r="A78" s="10"/>
      <c r="G78" s="12"/>
    </row>
    <row r="79" spans="1:7" ht="15" hidden="1" customHeight="1" x14ac:dyDescent="0.3">
      <c r="A79" s="10"/>
      <c r="G79" s="12">
        <f>D79+Table84141941013242732394348535671118253039[[#This Row],[LỢI NHUẬN RÒNG]]</f>
        <v>0</v>
      </c>
    </row>
    <row r="80" spans="1:7" ht="15" hidden="1" customHeight="1" x14ac:dyDescent="0.3">
      <c r="A80" s="10"/>
      <c r="G80" s="12">
        <f>D80+Table84141941013242732394348535671118253039[[#This Row],[LỢI NHUẬN RÒNG]]</f>
        <v>0</v>
      </c>
    </row>
    <row r="81" spans="1:7" ht="15" hidden="1" customHeight="1" x14ac:dyDescent="0.3">
      <c r="A81" s="10"/>
      <c r="G81" s="12">
        <f>D81+Table84141941013242732394348535671118253039[[#This Row],[LỢI NHUẬN RÒNG]]</f>
        <v>0</v>
      </c>
    </row>
    <row r="82" spans="1:7" ht="15" hidden="1" customHeight="1" x14ac:dyDescent="0.3">
      <c r="A82" s="10"/>
      <c r="G82" s="12">
        <f>D82+Table84141941013242732394348535671118253039[[#This Row],[LỢI NHUẬN RÒNG]]</f>
        <v>0</v>
      </c>
    </row>
    <row r="83" spans="1:7" ht="15" hidden="1" customHeight="1" x14ac:dyDescent="0.3">
      <c r="A83" s="10"/>
      <c r="G83" s="12">
        <f>D83+Table84141941013242732394348535671118253039[[#This Row],[LỢI NHUẬN RÒNG]]</f>
        <v>0</v>
      </c>
    </row>
    <row r="84" spans="1:7" ht="15" hidden="1" customHeight="1" x14ac:dyDescent="0.3">
      <c r="A84" s="10"/>
      <c r="G84" s="12">
        <f>D84+Table84141941013242732394348535671118253039[[#This Row],[LỢI NHUẬN RÒNG]]</f>
        <v>0</v>
      </c>
    </row>
    <row r="85" spans="1:7" ht="15" hidden="1" customHeight="1" x14ac:dyDescent="0.3">
      <c r="A85" s="10"/>
      <c r="G85" s="12">
        <f>D85+Table84141941013242732394348535671118253039[[#This Row],[LỢI NHUẬN RÒNG]]</f>
        <v>0</v>
      </c>
    </row>
    <row r="86" spans="1:7" ht="15" hidden="1" customHeight="1" x14ac:dyDescent="0.3">
      <c r="A86" s="20"/>
      <c r="B86" s="21"/>
      <c r="C86" s="21"/>
      <c r="D86" s="21"/>
      <c r="E86" s="21"/>
      <c r="F86" s="21"/>
      <c r="G86" s="12">
        <f>D86+Table84141941013242732394348535671118253039[[#This Row],[LỢI NHUẬN RÒNG]]</f>
        <v>0</v>
      </c>
    </row>
    <row r="87" spans="1:7" ht="15" hidden="1" customHeight="1" x14ac:dyDescent="0.3">
      <c r="A87" s="22"/>
      <c r="B87" s="21"/>
      <c r="C87" s="21"/>
      <c r="D87" s="21"/>
      <c r="E87" s="21"/>
      <c r="F87" s="21"/>
      <c r="G87" s="12">
        <f>D87+Table84141941013242732394348535671118253039[[#This Row],[LỢI NHUẬN RÒNG]]</f>
        <v>0</v>
      </c>
    </row>
    <row r="88" spans="1:7" hidden="1" x14ac:dyDescent="0.3">
      <c r="A88" s="23"/>
      <c r="C88" s="21"/>
      <c r="D88" s="21"/>
      <c r="E88" s="21"/>
      <c r="F88" s="21"/>
      <c r="G88" s="12">
        <f>D88+Table84141941013242732394348535671118253039[[#This Row],[LỢI NHUẬN RÒNG]]</f>
        <v>0</v>
      </c>
    </row>
    <row r="89" spans="1:7" hidden="1" x14ac:dyDescent="0.3">
      <c r="A89" s="23"/>
      <c r="B89" s="21"/>
      <c r="C89" s="21"/>
      <c r="D89" s="21"/>
      <c r="E89" s="21"/>
      <c r="F89" s="21"/>
      <c r="G89" s="12">
        <f>D89+Table84141941013242732394348535671118253039[[#This Row],[LỢI NHUẬN RÒNG]]</f>
        <v>0</v>
      </c>
    </row>
    <row r="90" spans="1:7" hidden="1" x14ac:dyDescent="0.3">
      <c r="A90" s="23"/>
      <c r="B90" s="21"/>
      <c r="C90" s="21"/>
      <c r="D90" s="21"/>
      <c r="E90" s="21"/>
      <c r="F90" s="21"/>
      <c r="G90" s="12">
        <f>D90+Table84141941013242732394348535671118253039[[#This Row],[LỢI NHUẬN RÒNG]]</f>
        <v>0</v>
      </c>
    </row>
    <row r="91" spans="1:7" hidden="1" x14ac:dyDescent="0.3">
      <c r="A91" s="23"/>
      <c r="B91" s="24"/>
      <c r="C91" s="21"/>
      <c r="D91" s="21"/>
      <c r="E91" s="21"/>
      <c r="F91" s="21"/>
      <c r="G91" s="12">
        <f>D91+Table84141941013242732394348535671118253039[[#This Row],[LỢI NHUẬN RÒNG]]</f>
        <v>0</v>
      </c>
    </row>
    <row r="92" spans="1:7" hidden="1" x14ac:dyDescent="0.3">
      <c r="A92" s="23"/>
      <c r="C92" s="21"/>
      <c r="D92" s="21"/>
      <c r="E92" s="21"/>
      <c r="F92" s="21"/>
      <c r="G92" s="12">
        <f>D92+Table84141941013242732394348535671118253039[[#This Row],[LỢI NHUẬN RÒNG]]</f>
        <v>0</v>
      </c>
    </row>
    <row r="93" spans="1:7" hidden="1" x14ac:dyDescent="0.3">
      <c r="A93" s="23"/>
      <c r="B93" s="25"/>
      <c r="C93" s="21"/>
      <c r="D93" s="21"/>
      <c r="E93" s="21"/>
      <c r="F93" s="21"/>
      <c r="G93" s="12">
        <f>D93+Table84141941013242732394348535671118253039[[#This Row],[LỢI NHUẬN RÒNG]]</f>
        <v>0</v>
      </c>
    </row>
    <row r="94" spans="1:7" hidden="1" x14ac:dyDescent="0.3">
      <c r="A94" s="23"/>
      <c r="B94" s="21"/>
      <c r="C94" s="21"/>
      <c r="D94" s="21"/>
      <c r="E94" s="21"/>
      <c r="F94" s="21"/>
      <c r="G94" s="12">
        <f>D94+Table84141941013242732394348535671118253039[[#This Row],[LỢI NHUẬN RÒNG]]</f>
        <v>0</v>
      </c>
    </row>
    <row r="95" spans="1:7" hidden="1" x14ac:dyDescent="0.3">
      <c r="A95" s="23"/>
      <c r="C95" s="21"/>
      <c r="D95" s="21"/>
      <c r="E95" s="21"/>
      <c r="F95" s="21"/>
      <c r="G95" s="12">
        <f>D95+Table84141941013242732394348535671118253039[[#This Row],[LỢI NHUẬN RÒNG]]</f>
        <v>0</v>
      </c>
    </row>
    <row r="96" spans="1:7" hidden="1" x14ac:dyDescent="0.3">
      <c r="A96" s="23"/>
      <c r="B96" s="21"/>
      <c r="C96" s="21"/>
      <c r="D96" s="21"/>
      <c r="E96" s="21"/>
      <c r="F96" s="21"/>
      <c r="G96" s="12">
        <f>D96+Table84141941013242732394348535671118253039[[#This Row],[LỢI NHUẬN RÒNG]]</f>
        <v>0</v>
      </c>
    </row>
    <row r="97" spans="1:7" hidden="1" x14ac:dyDescent="0.3">
      <c r="A97" s="23"/>
      <c r="C97" s="21"/>
      <c r="D97" s="21"/>
      <c r="E97" s="21"/>
      <c r="F97" s="21"/>
      <c r="G97" s="12">
        <f>D97+Table84141941013242732394348535671118253039[[#This Row],[LỢI NHUẬN RÒNG]]</f>
        <v>0</v>
      </c>
    </row>
    <row r="98" spans="1:7" hidden="1" x14ac:dyDescent="0.3">
      <c r="A98" s="23"/>
      <c r="C98" s="21"/>
      <c r="D98" s="21"/>
      <c r="E98" s="21"/>
      <c r="F98" s="21"/>
      <c r="G98" s="12">
        <f>D98+Table84141941013242732394348535671118253039[[#This Row],[LỢI NHUẬN RÒNG]]</f>
        <v>0</v>
      </c>
    </row>
    <row r="99" spans="1:7" hidden="1" x14ac:dyDescent="0.3">
      <c r="A99" s="23"/>
      <c r="C99" s="21"/>
      <c r="D99" s="21"/>
      <c r="E99" s="21"/>
      <c r="F99" s="21"/>
      <c r="G99" s="12">
        <f>D99+Table84141941013242732394348535671118253039[[#This Row],[LỢI NHUẬN RÒNG]]</f>
        <v>0</v>
      </c>
    </row>
    <row r="100" spans="1:7" hidden="1" x14ac:dyDescent="0.3">
      <c r="A100" s="23"/>
      <c r="C100" s="21"/>
      <c r="D100" s="21"/>
      <c r="E100" s="21"/>
      <c r="F100" s="21"/>
      <c r="G100" s="12">
        <f>D100+Table84141941013242732394348535671118253039[[#This Row],[LỢI NHUẬN RÒNG]]</f>
        <v>0</v>
      </c>
    </row>
    <row r="101" spans="1:7" hidden="1" x14ac:dyDescent="0.3">
      <c r="A101" s="23"/>
      <c r="C101" s="21"/>
      <c r="D101" s="21"/>
      <c r="E101" s="21"/>
      <c r="F101" s="21"/>
      <c r="G101" s="12">
        <f>D101+Table84141941013242732394348535671118253039[[#This Row],[LỢI NHUẬN RÒNG]]</f>
        <v>0</v>
      </c>
    </row>
    <row r="102" spans="1:7" hidden="1" x14ac:dyDescent="0.3">
      <c r="A102" s="23"/>
      <c r="B102" s="21"/>
      <c r="C102" s="21"/>
      <c r="D102" s="21"/>
      <c r="E102" s="21"/>
      <c r="F102" s="21"/>
      <c r="G102" s="12">
        <f>D102+Table84141941013242732394348535671118253039[[#This Row],[LỢI NHUẬN RÒNG]]</f>
        <v>0</v>
      </c>
    </row>
    <row r="103" spans="1:7" hidden="1" x14ac:dyDescent="0.3">
      <c r="A103" s="23"/>
      <c r="B103" s="21"/>
      <c r="C103" s="21"/>
      <c r="D103" s="21"/>
      <c r="E103" s="21"/>
      <c r="F103" s="21"/>
      <c r="G103" s="12">
        <f>D103+Table84141941013242732394348535671118253039[[#This Row],[LỢI NHUẬN RÒNG]]</f>
        <v>0</v>
      </c>
    </row>
    <row r="104" spans="1:7" hidden="1" x14ac:dyDescent="0.3">
      <c r="A104" s="23"/>
      <c r="C104" s="21"/>
      <c r="D104" s="21"/>
      <c r="E104" s="21"/>
      <c r="F104" s="21"/>
      <c r="G104" s="12">
        <f>D104+Table84141941013242732394348535671118253039[[#This Row],[LỢI NHUẬN RÒNG]]</f>
        <v>0</v>
      </c>
    </row>
    <row r="105" spans="1:7" hidden="1" x14ac:dyDescent="0.3">
      <c r="A105" s="23"/>
      <c r="B105" s="21"/>
      <c r="C105" s="21"/>
      <c r="D105" s="21"/>
      <c r="E105" s="21"/>
      <c r="F105" s="21"/>
      <c r="G105" s="12">
        <f>D105+Table84141941013242732394348535671118253039[[#This Row],[LỢI NHUẬN RÒNG]]</f>
        <v>0</v>
      </c>
    </row>
    <row r="106" spans="1:7" hidden="1" x14ac:dyDescent="0.3">
      <c r="A106" s="23"/>
      <c r="C106" s="21"/>
      <c r="D106" s="21"/>
      <c r="E106" s="21"/>
      <c r="F106" s="21"/>
      <c r="G106" s="12">
        <f>D106+Table84141941013242732394348535671118253039[[#This Row],[LỢI NHUẬN RÒNG]]</f>
        <v>0</v>
      </c>
    </row>
    <row r="107" spans="1:7" hidden="1" x14ac:dyDescent="0.3">
      <c r="A107" s="23"/>
      <c r="C107" s="21"/>
      <c r="D107" s="21"/>
      <c r="E107" s="21"/>
      <c r="F107" s="21"/>
      <c r="G107" s="12">
        <f>D107+Table84141941013242732394348535671118253039[[#This Row],[LỢI NHUẬN RÒNG]]</f>
        <v>0</v>
      </c>
    </row>
    <row r="108" spans="1:7" hidden="1" x14ac:dyDescent="0.3">
      <c r="A108" s="23"/>
      <c r="C108" s="21"/>
      <c r="D108" s="21"/>
      <c r="E108" s="21"/>
      <c r="F108" s="21"/>
      <c r="G108" s="12">
        <f>D108+Table84141941013242732394348535671118253039[[#This Row],[LỢI NHUẬN RÒNG]]</f>
        <v>0</v>
      </c>
    </row>
    <row r="109" spans="1:7" hidden="1" x14ac:dyDescent="0.3">
      <c r="A109" s="23"/>
      <c r="C109" s="21"/>
      <c r="D109" s="21"/>
      <c r="E109" s="21"/>
      <c r="F109" s="21"/>
      <c r="G109" s="12">
        <f>D109+Table84141941013242732394348535671118253039[[#This Row],[LỢI NHUẬN RÒNG]]</f>
        <v>0</v>
      </c>
    </row>
    <row r="110" spans="1:7" hidden="1" x14ac:dyDescent="0.3">
      <c r="A110" s="23"/>
      <c r="C110" s="21"/>
      <c r="D110" s="21"/>
      <c r="E110" s="21"/>
      <c r="F110" s="21"/>
      <c r="G110" s="12">
        <f>D110+Table84141941013242732394348535671118253039[[#This Row],[LỢI NHUẬN RÒNG]]</f>
        <v>0</v>
      </c>
    </row>
    <row r="111" spans="1:7" hidden="1" x14ac:dyDescent="0.3">
      <c r="A111" s="23"/>
      <c r="B111" s="21"/>
      <c r="C111" s="21"/>
      <c r="D111" s="21"/>
      <c r="E111" s="21"/>
      <c r="F111" s="21"/>
      <c r="G111" s="12">
        <f>D111+Table84141941013242732394348535671118253039[[#This Row],[LỢI NHUẬN RÒNG]]</f>
        <v>0</v>
      </c>
    </row>
    <row r="112" spans="1:7" hidden="1" x14ac:dyDescent="0.3">
      <c r="A112" s="23"/>
      <c r="B112" s="21"/>
      <c r="C112" s="21"/>
      <c r="D112" s="21"/>
      <c r="E112" s="21"/>
      <c r="F112" s="21"/>
      <c r="G112" s="12">
        <f>D112+Table84141941013242732394348535671118253039[[#This Row],[LỢI NHUẬN RÒNG]]</f>
        <v>0</v>
      </c>
    </row>
    <row r="113" spans="1:7" hidden="1" x14ac:dyDescent="0.3">
      <c r="A113" s="23"/>
      <c r="C113" s="21"/>
      <c r="D113" s="21"/>
      <c r="E113" s="21"/>
      <c r="F113" s="21"/>
      <c r="G113" s="12">
        <f>D113+Table84141941013242732394348535671118253039[[#This Row],[LỢI NHUẬN RÒNG]]</f>
        <v>0</v>
      </c>
    </row>
    <row r="114" spans="1:7" hidden="1" x14ac:dyDescent="0.3">
      <c r="A114" s="23"/>
      <c r="B114" s="21"/>
      <c r="C114" s="21"/>
      <c r="D114" s="21"/>
      <c r="E114" s="21"/>
      <c r="F114" s="21"/>
      <c r="G114" s="12">
        <f>D114+Table84141941013242732394348535671118253039[[#This Row],[LỢI NHUẬN RÒNG]]</f>
        <v>0</v>
      </c>
    </row>
    <row r="115" spans="1:7" hidden="1" x14ac:dyDescent="0.3">
      <c r="A115" s="23"/>
      <c r="G115" s="12">
        <f>D115+Table84141941013242732394348535671118253039[[#This Row],[LỢI NHUẬN RÒNG]]</f>
        <v>0</v>
      </c>
    </row>
    <row r="116" spans="1:7" hidden="1" x14ac:dyDescent="0.3">
      <c r="A116" s="23"/>
      <c r="G116" s="12">
        <f>D116+Table84141941013242732394348535671118253039[[#This Row],[LỢI NHUẬN RÒNG]]</f>
        <v>0</v>
      </c>
    </row>
    <row r="117" spans="1:7" hidden="1" x14ac:dyDescent="0.3">
      <c r="A117" s="23"/>
      <c r="G117" s="12">
        <f>D117+Table84141941013242732394348535671118253039[[#This Row],[LỢI NHUẬN RÒNG]]</f>
        <v>0</v>
      </c>
    </row>
    <row r="118" spans="1:7" hidden="1" x14ac:dyDescent="0.3">
      <c r="A118" s="23"/>
      <c r="G118" s="12">
        <f>D118+Table84141941013242732394348535671118253039[[#This Row],[LỢI NHUẬN RÒNG]]</f>
        <v>0</v>
      </c>
    </row>
    <row r="119" spans="1:7" hidden="1" x14ac:dyDescent="0.3">
      <c r="A119" s="23"/>
      <c r="G119" s="12">
        <f>D119+Table84141941013242732394348535671118253039[[#This Row],[LỢI NHUẬN RÒNG]]</f>
        <v>0</v>
      </c>
    </row>
    <row r="120" spans="1:7" hidden="1" x14ac:dyDescent="0.3">
      <c r="A120" s="23"/>
      <c r="B120" s="21"/>
      <c r="C120" s="21"/>
      <c r="D120" s="21"/>
      <c r="E120" s="21"/>
      <c r="F120" s="21"/>
      <c r="G120" s="12">
        <f>D120+Table84141941013242732394348535671118253039[[#This Row],[LỢI NHUẬN RÒNG]]</f>
        <v>0</v>
      </c>
    </row>
    <row r="121" spans="1:7" hidden="1" x14ac:dyDescent="0.3">
      <c r="G121" s="12">
        <f>D121+Table84141941013242732394348535671118253039[[#This Row],[LỢI NHUẬN RÒNG]]</f>
        <v>0</v>
      </c>
    </row>
    <row r="122" spans="1:7" hidden="1" x14ac:dyDescent="0.3">
      <c r="G122" s="12">
        <f>D122+Table84141941013242732394348535671118253039[[#This Row],[LỢI NHUẬN RÒNG]]</f>
        <v>0</v>
      </c>
    </row>
    <row r="123" spans="1:7" hidden="1" x14ac:dyDescent="0.3">
      <c r="G123" s="12">
        <f>D123+Table84141941013242732394348535671118253039[[#This Row],[LỢI NHUẬN RÒNG]]</f>
        <v>0</v>
      </c>
    </row>
    <row r="124" spans="1:7" hidden="1" x14ac:dyDescent="0.3">
      <c r="G124" s="12">
        <f>D124+Table84141941013242732394348535671118253039[[#This Row],[LỢI NHUẬN RÒNG]]</f>
        <v>0</v>
      </c>
    </row>
    <row r="125" spans="1:7" hidden="1" x14ac:dyDescent="0.3">
      <c r="B125" s="24"/>
      <c r="G125" s="12">
        <f>D125+Table84141941013242732394348535671118253039[[#This Row],[LỢI NHUẬN RÒNG]]</f>
        <v>0</v>
      </c>
    </row>
    <row r="126" spans="1:7" hidden="1" x14ac:dyDescent="0.3">
      <c r="G126" s="12">
        <f>D126+Table84141941013242732394348535671118253039[[#This Row],[LỢI NHUẬN RÒNG]]</f>
        <v>0</v>
      </c>
    </row>
    <row r="127" spans="1:7" hidden="1" x14ac:dyDescent="0.3">
      <c r="B127" s="21"/>
      <c r="C127" s="21"/>
      <c r="D127" s="21"/>
      <c r="E127" s="21"/>
      <c r="F127" s="21"/>
      <c r="G127" s="12">
        <f>D127+Table84141941013242732394348535671118253039[[#This Row],[LỢI NHUẬN RÒNG]]</f>
        <v>0</v>
      </c>
    </row>
    <row r="128" spans="1:7" hidden="1" x14ac:dyDescent="0.3">
      <c r="G128" s="12">
        <f>D128+Table84141941013242732394348535671118253039[[#This Row],[LỢI NHUẬN RÒNG]]</f>
        <v>0</v>
      </c>
    </row>
    <row r="129" spans="1:7" hidden="1" x14ac:dyDescent="0.3">
      <c r="G129" s="12">
        <f>D129+Table84141941013242732394348535671118253039[[#This Row],[LỢI NHUẬN RÒNG]]</f>
        <v>0</v>
      </c>
    </row>
    <row r="130" spans="1:7" hidden="1" x14ac:dyDescent="0.3">
      <c r="G130" s="12">
        <f>D130+Table84141941013242732394348535671118253039[[#This Row],[LỢI NHUẬN RÒNG]]</f>
        <v>0</v>
      </c>
    </row>
    <row r="131" spans="1:7" hidden="1" x14ac:dyDescent="0.3">
      <c r="G131" s="12">
        <f>D131+Table84141941013242732394348535671118253039[[#This Row],[LỢI NHUẬN RÒNG]]</f>
        <v>0</v>
      </c>
    </row>
    <row r="132" spans="1:7" hidden="1" x14ac:dyDescent="0.3">
      <c r="B132" s="24"/>
      <c r="G132" s="12">
        <f>D132+Table84141941013242732394348535671118253039[[#This Row],[LỢI NHUẬN RÒNG]]</f>
        <v>0</v>
      </c>
    </row>
    <row r="133" spans="1:7" hidden="1" x14ac:dyDescent="0.3">
      <c r="G133" s="12">
        <f>D133+Table84141941013242732394348535671118253039[[#This Row],[LỢI NHUẬN RÒNG]]</f>
        <v>0</v>
      </c>
    </row>
    <row r="134" spans="1:7" hidden="1" x14ac:dyDescent="0.3">
      <c r="G134" s="12">
        <f>D134+Table84141941013242732394348535671118253039[[#This Row],[LỢI NHUẬN RÒNG]]</f>
        <v>0</v>
      </c>
    </row>
    <row r="135" spans="1:7" hidden="1" x14ac:dyDescent="0.3">
      <c r="G135" s="12">
        <f>D135+Table84141941013242732394348535671118253039[[#This Row],[LỢI NHUẬN RÒNG]]</f>
        <v>0</v>
      </c>
    </row>
    <row r="136" spans="1:7" hidden="1" x14ac:dyDescent="0.3">
      <c r="B136" s="21"/>
      <c r="G136" s="12">
        <f>D136+Table84141941013242732394348535671118253039[[#This Row],[LỢI NHUẬN RÒNG]]</f>
        <v>0</v>
      </c>
    </row>
    <row r="137" spans="1:7" hidden="1" x14ac:dyDescent="0.3">
      <c r="G137" s="12">
        <f>D137+Table84141941013242732394348535671118253039[[#This Row],[LỢI NHUẬN RÒNG]]</f>
        <v>0</v>
      </c>
    </row>
    <row r="138" spans="1:7" hidden="1" x14ac:dyDescent="0.3">
      <c r="G138" s="12">
        <f>D138+Table84141941013242732394348535671118253039[[#This Row],[LỢI NHUẬN RÒNG]]</f>
        <v>0</v>
      </c>
    </row>
    <row r="139" spans="1:7" hidden="1" x14ac:dyDescent="0.3">
      <c r="G139" s="12">
        <f>D139+Table84141941013242732394348535671118253039[[#This Row],[LỢI NHUẬN RÒNG]]</f>
        <v>0</v>
      </c>
    </row>
    <row r="140" spans="1:7" hidden="1" x14ac:dyDescent="0.3">
      <c r="B140" s="24"/>
      <c r="G140" s="12">
        <f>D140+Table84141941013242732394348535671118253039[[#This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D141+Table84141941013242732394348535671118253039[[#This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D142+Table84141941013242732394348535671118253039[[#This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D143+Table84141941013242732394348535671118253039[[#This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D144+Table84141941013242732394348535671118253039[[#This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D145+Table84141941013242732394348535671118253039[[#This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D146+Table84141941013242732394348535671118253039[[#This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D147+Table84141941013242732394348535671118253039[[#This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D148+Table84141941013242732394348535671118253039[[#This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D149+Table84141941013242732394348535671118253039[[#This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D150+Table84141941013242732394348535671118253039[[#This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D151+Table84141941013242732394348535671118253039[[#This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D152+Table84141941013242732394348535671118253039[[#This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D153+Table84141941013242732394348535671118253039[[#This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D154+Table84141941013242732394348535671118253039[[#This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D155+Table84141941013242732394348535671118253039[[#This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D156+Table84141941013242732394348535671118253039[[#This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D157+Table84141941013242732394348535671118253039[[#This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D158+Table84141941013242732394348535671118253039[[#This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D159+Table84141941013242732394348535671118253039[[#This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D160+Table84141941013242732394348535671118253039[[#This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D161+Table84141941013242732394348535671118253039[[#This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D162+Table84141941013242732394348535671118253039[[#This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D163+Table84141941013242732394348535671118253039[[#This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D164+Table84141941013242732394348535671118253039[[#This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D165+Table84141941013242732394348535671118253039[[#This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D166+Table84141941013242732394348535671118253039[[#This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D167+Table84141941013242732394348535671118253039[[#This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D168+Table84141941013242732394348535671118253039[[#This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D169+Table84141941013242732394348535671118253039[[#This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D170+Table84141941013242732394348535671118253039[[#This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D171+Table84141941013242732394348535671118253039[[#This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D172+Table84141941013242732394348535671118253039[[#This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D173+Table84141941013242732394348535671118253039[[#This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D174+Table84141941013242732394348535671118253039[[#This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D175+Table84141941013242732394348535671118253039[[#This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D176+Table84141941013242732394348535671118253039[[#This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D177+Table84141941013242732394348535671118253039[[#This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D178+Table84141941013242732394348535671118253039[[#This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D179+Table84141941013242732394348535671118253039[[#This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D180+Table84141941013242732394348535671118253039[[#This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D181+Table84141941013242732394348535671118253039[[#This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D182+Table84141941013242732394348535671118253039[[#This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D183+Table84141941013242732394348535671118253039[[#This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D184+Table84141941013242732394348535671118253039[[#This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D185+Table84141941013242732394348535671118253039[[#This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D186+Table84141941013242732394348535671118253039[[#This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D187+Table84141941013242732394348535671118253039[[#This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D188+Table84141941013242732394348535671118253039[[#This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D189+Table84141941013242732394348535671118253039[[#This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D190+Table84141941013242732394348535671118253039[[#This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D191+Table84141941013242732394348535671118253039[[#This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D192+Table84141941013242732394348535671118253039[[#This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D193+Table84141941013242732394348535671118253039[[#This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D194+Table84141941013242732394348535671118253039[[#This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D195+Table84141941013242732394348535671118253039[[#This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D196+Table84141941013242732394348535671118253039[[#This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D197+Table84141941013242732394348535671118253039[[#This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D198+Table84141941013242732394348535671118253039[[#This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D199+Table84141941013242732394348535671118253039[[#This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D200+Table84141941013242732394348535671118253039[[#This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D201+Table84141941013242732394348535671118253039[[#This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D202+Table84141941013242732394348535671118253039[[#This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D203+Table84141941013242732394348535671118253039[[#This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D204+Table84141941013242732394348535671118253039[[#This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D205+Table84141941013242732394348535671118253039[[#This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Table84141941013242732394348535671118253039[[#This Row],[VỐN CP]]+Table84141941013242732394348535671118253039[[#This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Table84141941013242732394348535671118253039[[#This Row],[VỐN CP]]+Table84141941013242732394348535671118253039[[#This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Table84141941013242732394348535671118253039[[#This Row],[VỐN CP]]+Table84141941013242732394348535671118253039[[#This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Table84141941013242732394348535671118253039[[#This Row],[VỐN CP]]+Table84141941013242732394348535671118253039[[#This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Table84141941013242732394348535671118253039[[#This Row],[VỐN CP]]+Table84141941013242732394348535671118253039[[#This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Table84141941013242732394348535671118253039[[#This Row],[VỐN CP]]+Table84141941013242732394348535671118253039[[#This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Table84141941013242732394348535671118253039[[#This Row],[VỐN CP]]+Table84141941013242732394348535671118253039[[#This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Table84141941013242732394348535671118253039[[#This Row],[VỐN CP]]+Table84141941013242732394348535671118253039[[#This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Table84141941013242732394348535671118253039[[#This Row],[VỐN CP]]+Table84141941013242732394348535671118253039[[#This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Table84141941013242732394348535671118253039[[#This Row],[VỐN CP]]+Table84141941013242732394348535671118253039[[#This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Table84141941013242732394348535671118253039[[#This Row],[VỐN CP]]+Table84141941013242732394348535671118253039[[#This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Table84141941013242732394348535671118253039[[#This Row],[VỐN CP]]+Table84141941013242732394348535671118253039[[#This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Table84141941013242732394348535671118253039[[#This Row],[VỐN CP]]+Table84141941013242732394348535671118253039[[#This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Table84141941013242732394348535671118253039[[#This Row],[VỐN CP]]+Table84141941013242732394348535671118253039[[#This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Table84141941013242732394348535671118253039[[#This Row],[VỐN CP]]+Table84141941013242732394348535671118253039[[#This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Table84141941013242732394348535671118253039[[#This Row],[VỐN CP]]+Table84141941013242732394348535671118253039[[#This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Table84141941013242732394348535671118253039[[#This Row],[VỐN CP]]+Table84141941013242732394348535671118253039[[#This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Table84141941013242732394348535671118253039[[#This Row],[VỐN CP]]+Table84141941013242732394348535671118253039[[#This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Table84141941013242732394348535671118253039[[#This Row],[VỐN CP]]+Table84141941013242732394348535671118253039[[#This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Table84141941013242732394348535671118253039[[#This Row],[VỐN CP]]+Table84141941013242732394348535671118253039[[#This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Table84141941013242732394348535671118253039[[#This Row],[VỐN CP]]+Table84141941013242732394348535671118253039[[#This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Table84141941013242732394348535671118253039[[#This Row],[VỐN CP]]+Table84141941013242732394348535671118253039[[#This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Table84141941013242732394348535671118253039[[#This Row],[VỐN CP]]+Table84141941013242732394348535671118253039[[#This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Table84141941013242732394348535671118253039[[#This Row],[VỐN CP]]+Table84141941013242732394348535671118253039[[#This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Table84141941013242732394348535671118253039[[#This Row],[VỐN CP]]+Table84141941013242732394348535671118253039[[#This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Table84141941013242732394348535671118253039[[#This Row],[VỐN CP]]+Table84141941013242732394348535671118253039[[#This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Table84141941013242732394348535671118253039[[#This Row],[VỐN CP]]+Table84141941013242732394348535671118253039[[#This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Table84141941013242732394348535671118253039[[#This Row],[VỐN CP]]+Table84141941013242732394348535671118253039[[#This Row],[LỢI NHUẬN RÒNG]]</f>
        <v>0</v>
      </c>
      <c r="H233" s="28"/>
    </row>
    <row r="234" spans="1:10" hidden="1" x14ac:dyDescent="0.3">
      <c r="A234" s="23"/>
      <c r="G234" s="21">
        <f>Table84141941013242732394348535671118253039[[#This Row],[VỐN CP]]+Table84141941013242732394348535671118253039[[#This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Table84141941013242732394348535671118253039[[#This Row],[VỐN CP]]+Table84141941013242732394348535671118253039[[#This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Table84141941013242732394348535671118253039[[#This Row],[VỐN CP]]+Table84141941013242732394348535671118253039[[#This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Table84141941013242732394348535671118253039[[#This Row],[VỐN CP]]+Table84141941013242732394348535671118253039[[#This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Table84141941013242732394348535671118253039[[#This Row],[VỐN CP]]+Table84141941013242732394348535671118253039[[#This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Table84141941013242732394348535671118253039[[#This Row],[VỐN CP]]+Table84141941013242732394348535671118253039[[#This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Table84141941013242732394348535671118253039[[#This Row],[VỐN CP]]+Table84141941013242732394348535671118253039[[#This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Table84141941013242732394348535671118253039[[#This Row],[VỐN CP]]+Table84141941013242732394348535671118253039[[#This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Table84141941013242732394348535671118253039[[#This Row],[VỐN CP]]+Table84141941013242732394348535671118253039[[#This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Table84141941013242732394348535671118253039[[#This Row],[VỐN CP]]+Table84141941013242732394348535671118253039[[#This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Table84141941013242732394348535671118253039[[#This Row],[VỐN CP]]+Table84141941013242732394348535671118253039[[#This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Table84141941013242732394348535671118253039[[#This Row],[VỐN CP]]+Table84141941013242732394348535671118253039[[#This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Table84141941013242732394348535671118253039[[#This Row],[VỐN CP]]+Table84141941013242732394348535671118253039[[#This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Table84141941013242732394348535671118253039[[#This Row],[VỐN CP]]+Table84141941013242732394348535671118253039[[#This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Table84141941013242732394348535671118253039[[#This Row],[VỐN CP]]+Table84141941013242732394348535671118253039[[#This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Table84141941013242732394348535671118253039[[#This Row],[VỐN CP]]+Table84141941013242732394348535671118253039[[#This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Table84141941013242732394348535671118253039[[#This Row],[VỐN CP]]+Table84141941013242732394348535671118253039[[#This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Table84141941013242732394348535671118253039[[#This Row],[VỐN CP]]+Table84141941013242732394348535671118253039[[#This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Table84141941013242732394348535671118253039[[#This Row],[VỐN CP]]+Table84141941013242732394348535671118253039[[#This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Table84141941013242732394348535671118253039[[#This Row],[VỐN CP]]+Table84141941013242732394348535671118253039[[#This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Table84141941013242732394348535671118253039[[#This Row],[VỐN CP]]+Table84141941013242732394348535671118253039[[#This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Table84141941013242732394348535671118253039[[#This Row],[VỐN CP]]+Table84141941013242732394348535671118253039[[#This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Table84141941013242732394348535671118253039[[#This Row],[VỐN CP]]+Table84141941013242732394348535671118253039[[#This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Table84141941013242732394348535671118253039[[#This Row],[VỐN CP]]+Table84141941013242732394348535671118253039[[#This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Table84141941013242732394348535671118253039[[#This Row],[VỐN CP]]+Table84141941013242732394348535671118253039[[#This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Table84141941013242732394348535671118253039[[#This Row],[VỐN CP]]+Table84141941013242732394348535671118253039[[#This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Table84141941013242732394348535671118253039[[#This Row],[VỐN CP]]+Table84141941013242732394348535671118253039[[#This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Table84141941013242732394348535671118253039[[#This Row],[VỐN CP]]+Table84141941013242732394348535671118253039[[#This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Table84141941013242732394348535671118253039[[#This Row],[VỐN CP]]+Table84141941013242732394348535671118253039[[#This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Table84141941013242732394348535671118253039[[#This Row],[VỐN CP]]+Table84141941013242732394348535671118253039[[#This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Table84141941013242732394348535671118253039[[#This Row],[VỐN CP]]+Table84141941013242732394348535671118253039[[#This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Table84141941013242732394348535671118253039[[#This Row],[VỐN CP]]+Table84141941013242732394348535671118253039[[#This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Table84141941013242732394348535671118253039[[#This Row],[VỐN CP]]+Table84141941013242732394348535671118253039[[#This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Table84141941013242732394348535671118253039[[#This Row],[VỐN CP]]+Table84141941013242732394348535671118253039[[#This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Table84141941013242732394348535671118253039[[#This Row],[VỐN CP]]+Table84141941013242732394348535671118253039[[#This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Table84141941013242732394348535671118253039[[#This Row],[VỐN CP]]+Table84141941013242732394348535671118253039[[#This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Table84141941013242732394348535671118253039[[#This Row],[VỐN CP]]+Table84141941013242732394348535671118253039[[#This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Table84141941013242732394348535671118253039[[#This Row],[VỐN CP]]+Table84141941013242732394348535671118253039[[#This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Table84141941013242732394348535671118253039[[#This Row],[VỐN CP]]+Table84141941013242732394348535671118253039[[#This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Table84141941013242732394348535671118253039[[#This Row],[VỐN CP]]+Table84141941013242732394348535671118253039[[#This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Table84141941013242732394348535671118253039[[#This Row],[VỐN CP]]+Table84141941013242732394348535671118253039[[#This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Table84141941013242732394348535671118253039[[#This Row],[VỐN CP]]+Table84141941013242732394348535671118253039[[#This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Table84141941013242732394348535671118253039[[#This Row],[VỐN CP]]+Table84141941013242732394348535671118253039[[#This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Table84141941013242732394348535671118253039[[#This Row],[VỐN CP]]+Table84141941013242732394348535671118253039[[#This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Table84141941013242732394348535671118253039[[#This Row],[VỐN CP]]+Table84141941013242732394348535671118253039[[#This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Table84141941013242732394348535671118253039[[#This Row],[VỐN CP]]+Table84141941013242732394348535671118253039[[#This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Table84141941013242732394348535671118253039[[#This Row],[VỐN CP]]+Table84141941013242732394348535671118253039[[#This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Table84141941013242732394348535671118253039[[#This Row],[VỐN CP]]+Table84141941013242732394348535671118253039[[#This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Table84141941013242732394348535671118253039[[#This Row],[VỐN CP]]+Table84141941013242732394348535671118253039[[#This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Table84141941013242732394348535671118253039[[#This Row],[VỐN CP]]+Table84141941013242732394348535671118253039[[#This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Table84141941013242732394348535671118253039[[#This Row],[VỐN CP]]+Table84141941013242732394348535671118253039[[#This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Table84141941013242732394348535671118253039[[#This Row],[VỐN CP]]+Table84141941013242732394348535671118253039[[#This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Table84141941013242732394348535671118253039[[#This Row],[VỐN CP]]+Table84141941013242732394348535671118253039[[#This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Table84141941013242732394348535671118253039[[#This Row],[VỐN CP]]+Table84141941013242732394348535671118253039[[#This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Table84141941013242732394348535671118253039[[#This Row],[VỐN CP]]+Table84141941013242732394348535671118253039[[#This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Table84141941013242732394348535671118253039[[#This Row],[VỐN CP]]+Table84141941013242732394348535671118253039[[#This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Table84141941013242732394348535671118253039[[#This Row],[VỐN CP]]+Table84141941013242732394348535671118253039[[#This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Table84141941013242732394348535671118253039[[#This Row],[VỐN CP]]+Table84141941013242732394348535671118253039[[#This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Table84141941013242732394348535671118253039[[#This Row],[VỐN CP]]+Table84141941013242732394348535671118253039[[#This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Table84141941013242732394348535671118253039[[#This Row],[VỐN CP]]+Table84141941013242732394348535671118253039[[#This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Table84141941013242732394348535671118253039[[#This Row],[VỐN CP]]+Table84141941013242732394348535671118253039[[#This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Table84141941013242732394348535671118253039[[#This Row],[VỐN CP]]+Table84141941013242732394348535671118253039[[#This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Table84141941013242732394348535671118253039[[#This Row],[VỐN CP]]+Table84141941013242732394348535671118253039[[#This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Table84141941013242732394348535671118253039[[#This Row],[VỐN CP]]+Table84141941013242732394348535671118253039[[#This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Table84141941013242732394348535671118253039[[#This Row],[VỐN CP]]+Table84141941013242732394348535671118253039[[#This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Table84141941013242732394348535671118253039[[#This Row],[VỐN CP]]+Table84141941013242732394348535671118253039[[#This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Table84141941013242732394348535671118253039[[#This Row],[VỐN CP]]+Table84141941013242732394348535671118253039[[#This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Table84141941013242732394348535671118253039[[#This Row],[VỐN CP]]+Table84141941013242732394348535671118253039[[#This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Table84141941013242732394348535671118253039[[#This Row],[VỐN CP]]+Table84141941013242732394348535671118253039[[#This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Table84141941013242732394348535671118253039[[#This Row],[VỐN CP]]+Table84141941013242732394348535671118253039[[#This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Table84141941013242732394348535671118253039[[#This Row],[VỐN CP]]+Table84141941013242732394348535671118253039[[#This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Table84141941013242732394348535671118253039[[#This Row],[VỐN CP]]+Table84141941013242732394348535671118253039[[#This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Table84141941013242732394348535671118253039[[#This Row],[VỐN CP]]+Table84141941013242732394348535671118253039[[#This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Table84141941013242732394348535671118253039[[#This Row],[VỐN CP]]+Table84141941013242732394348535671118253039[[#This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Table84141941013242732394348535671118253039[[#This Row],[VỐN CP]]+Table84141941013242732394348535671118253039[[#This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Table84141941013242732394348535671118253039[[#This Row],[VỐN CP]]+Table84141941013242732394348535671118253039[[#This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Table84141941013242732394348535671118253039[[#This Row],[VỐN CP]]+Table84141941013242732394348535671118253039[[#This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Table84141941013242732394348535671118253039[[#This Row],[VỐN CP]]+Table84141941013242732394348535671118253039[[#This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Table84141941013242732394348535671118253039[[#This Row],[VỐN CP]]+Table84141941013242732394348535671118253039[[#This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Table84141941013242732394348535671118253039[[#This Row],[VỐN CP]]+Table84141941013242732394348535671118253039[[#This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Table84141941013242732394348535671118253039[[#This Row],[VỐN CP]]+Table84141941013242732394348535671118253039[[#This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Table84141941013242732394348535671118253039[[#This Row],[VỐN CP]]+Table84141941013242732394348535671118253039[[#This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Table84141941013242732394348535671118253039[[#This Row],[VỐN CP]]+Table84141941013242732394348535671118253039[[#This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Table84141941013242732394348535671118253039[[#This Row],[VỐN CP]]+Table84141941013242732394348535671118253039[[#This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Table84141941013242732394348535671118253039[[#This Row],[VỐN CP]]+Table84141941013242732394348535671118253039[[#This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Table84141941013242732394348535671118253039[[#This Row],[VỐN CP]]+Table84141941013242732394348535671118253039[[#This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Table84141941013242732394348535671118253039[[#This Row],[VỐN CP]]+Table84141941013242732394348535671118253039[[#This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Table84141941013242732394348535671118253039[[#This Row],[VỐN CP]]+Table84141941013242732394348535671118253039[[#This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Table84141941013242732394348535671118253039[[#This Row],[VỐN CP]]+Table84141941013242732394348535671118253039[[#This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Table84141941013242732394348535671118253039[[#This Row],[VỐN CP]]+Table84141941013242732394348535671118253039[[#This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Table84141941013242732394348535671118253039[[#This Row],[VỐN CP]]+Table84141941013242732394348535671118253039[[#This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Table84141941013242732394348535671118253039[[#This Row],[VỐN CP]]+Table84141941013242732394348535671118253039[[#This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Table84141941013242732394348535671118253039[[#This Row],[VỐN CP]]+Table84141941013242732394348535671118253039[[#This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Table84141941013242732394348535671118253039[[#This Row],[VỐN CP]]+Table84141941013242732394348535671118253039[[#This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Table84141941013242732394348535671118253039[[#This Row],[VỐN CP]]+Table84141941013242732394348535671118253039[[#This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Table84141941013242732394348535671118253039[[#This Row],[VỐN CP]]+Table84141941013242732394348535671118253039[[#This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Table84141941013242732394348535671118253039[[#This Row],[VỐN CP]]+Table84141941013242732394348535671118253039[[#This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Table84141941013242732394348535671118253039[[#This Row],[VỐN CP]]+Table84141941013242732394348535671118253039[[#This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Table84141941013242732394348535671118253039[[#This Row],[VỐN CP]]+Table84141941013242732394348535671118253039[[#This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Table84141941013242732394348535671118253039[[#This Row],[VỐN CP]]+Table84141941013242732394348535671118253039[[#This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Table84141941013242732394348535671118253039[[#This Row],[VỐN CP]]+Table84141941013242732394348535671118253039[[#This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Table84141941013242732394348535671118253039[[#This Row],[VỐN CP]]+Table84141941013242732394348535671118253039[[#This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Table84141941013242732394348535671118253039[[#This Row],[VỐN CP]]+Table84141941013242732394348535671118253039[[#This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Table84141941013242732394348535671118253039[[#This Row],[VỐN CP]]+Table84141941013242732394348535671118253039[[#This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Table84141941013242732394348535671118253039[[#This Row],[VỐN CP]]+Table84141941013242732394348535671118253039[[#This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Table84141941013242732394348535671118253039[[#This Row],[VỐN CP]]+Table84141941013242732394348535671118253039[[#This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Table84141941013242732394348535671118253039[[#This Row],[VỐN CP]]+Table84141941013242732394348535671118253039[[#This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Table84141941013242732394348535671118253039[[#This Row],[VỐN CP]]+Table84141941013242732394348535671118253039[[#This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Table84141941013242732394348535671118253039[[#This Row],[VỐN CP]]+Table84141941013242732394348535671118253039[[#This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Table84141941013242732394348535671118253039[[#This Row],[VỐN CP]]+Table84141941013242732394348535671118253039[[#This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Table84141941013242732394348535671118253039[[#This Row],[VỐN CP]]+Table84141941013242732394348535671118253039[[#This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Table84141941013242732394348535671118253039[[#This Row],[VỐN CP]]+Table84141941013242732394348535671118253039[[#This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Table84141941013242732394348535671118253039[[#This Row],[VỐN CP]]+Table84141941013242732394348535671118253039[[#This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Table84141941013242732394348535671118253039[[#This Row],[VỐN CP]]+Table84141941013242732394348535671118253039[[#This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Table84141941013242732394348535671118253039[[#This Row],[VỐN CP]]+Table84141941013242732394348535671118253039[[#This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Table84141941013242732394348535671118253039[[#This Row],[VỐN CP]]+Table84141941013242732394348535671118253039[[#This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Table84141941013242732394348535671118253039[[#This Row],[VỐN CP]]+Table84141941013242732394348535671118253039[[#This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Table84141941013242732394348535671118253039[[#This Row],[VỐN CP]]+Table84141941013242732394348535671118253039[[#This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Table84141941013242732394348535671118253039[[#This Row],[VỐN CP]]+Table84141941013242732394348535671118253039[[#This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Table84141941013242732394348535671118253039[[#This Row],[VỐN CP]]+Table84141941013242732394348535671118253039[[#This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Table84141941013242732394348535671118253039[[#This Row],[VỐN CP]]+Table84141941013242732394348535671118253039[[#This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Table84141941013242732394348535671118253039[[#This Row],[VỐN CP]]+Table84141941013242732394348535671118253039[[#This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Table84141941013242732394348535671118253039[[#This Row],[VỐN CP]]+Table84141941013242732394348535671118253039[[#This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Table84141941013242732394348535671118253039[[#This Row],[VỐN CP]]+Table84141941013242732394348535671118253039[[#This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Table84141941013242732394348535671118253039[[#This Row],[VỐN CP]]+Table84141941013242732394348535671118253039[[#This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Table84141941013242732394348535671118253039[[#This Row],[VỐN CP]]+Table84141941013242732394348535671118253039[[#This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Table84141941013242732394348535671118253039[[#This Row],[VỐN CP]]+Table84141941013242732394348535671118253039[[#This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Table84141941013242732394348535671118253039[[#This Row],[VỐN CP]]+Table84141941013242732394348535671118253039[[#This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Table84141941013242732394348535671118253039[[#This Row],[VỐN CP]]+Table84141941013242732394348535671118253039[[#This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Table84141941013242732394348535671118253039[[#This Row],[VỐN CP]]+Table84141941013242732394348535671118253039[[#This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Table84141941013242732394348535671118253039[[#This Row],[VỐN CP]]+Table84141941013242732394348535671118253039[[#This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Table84141941013242732394348535671118253039[[#This Row],[VỐN CP]]+Table84141941013242732394348535671118253039[[#This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Table84141941013242732394348535671118253039[[#This Row],[VỐN CP]]+Table84141941013242732394348535671118253039[[#This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Table84141941013242732394348535671118253039[[#This Row],[VỐN CP]]+Table84141941013242732394348535671118253039[[#This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Table84141941013242732394348535671118253039[[#This Row],[VỐN CP]]+Table84141941013242732394348535671118253039[[#This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Table84141941013242732394348535671118253039[[#This Row],[VỐN CP]]+Table84141941013242732394348535671118253039[[#This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Table84141941013242732394348535671118253039[[#This Row],[VỐN CP]]+Table84141941013242732394348535671118253039[[#This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Table84141941013242732394348535671118253039[[#This Row],[VỐN CP]]+Table84141941013242732394348535671118253039[[#This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Table84141941013242732394348535671118253039[[#This Row],[VỐN CP]]+Table84141941013242732394348535671118253039[[#This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Table84141941013242732394348535671118253039[[#This Row],[VỐN CP]]+Table84141941013242732394348535671118253039[[#This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Table84141941013242732394348535671118253039[[#This Row],[VỐN CP]]+Table84141941013242732394348535671118253039[[#This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Table84141941013242732394348535671118253039[[#This Row],[VỐN CP]]+Table84141941013242732394348535671118253039[[#This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Table84141941013242732394348535671118253039[[#This Row],[VỐN CP]]+Table84141941013242732394348535671118253039[[#This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Table84141941013242732394348535671118253039[[#This Row],[VỐN CP]]+Table84141941013242732394348535671118253039[[#This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Table84141941013242732394348535671118253039[[#This Row],[VỐN CP]]+Table84141941013242732394348535671118253039[[#This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Table84141941013242732394348535671118253039[[#This Row],[VỐN CP]]+Table84141941013242732394348535671118253039[[#This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Table84141941013242732394348535671118253039[[#This Row],[VỐN CP]]+Table84141941013242732394348535671118253039[[#This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Table84141941013242732394348535671118253039[[#This Row],[VỐN CP]]+Table84141941013242732394348535671118253039[[#This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Table84141941013242732394348535671118253039[[#This Row],[VỐN CP]]+Table84141941013242732394348535671118253039[[#This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Table84141941013242732394348535671118253039[[#This Row],[VỐN CP]]+Table84141941013242732394348535671118253039[[#This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Table84141941013242732394348535671118253039[[#This Row],[VỐN CP]]+Table84141941013242732394348535671118253039[[#This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Table84141941013242732394348535671118253039[[#This Row],[VỐN CP]]+Table84141941013242732394348535671118253039[[#This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Table84141941013242732394348535671118253039[[#This Row],[VỐN CP]]+Table84141941013242732394348535671118253039[[#This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Table84141941013242732394348535671118253039[[#This Row],[VỐN CP]]+Table84141941013242732394348535671118253039[[#This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Table84141941013242732394348535671118253039[[#This Row],[VỐN CP]]+Table84141941013242732394348535671118253039[[#This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Table84141941013242732394348535671118253039[[#This Row],[VỐN CP]]+Table84141941013242732394348535671118253039[[#This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Table84141941013242732394348535671118253039[[#This Row],[VỐN CP]]+Table84141941013242732394348535671118253039[[#This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Table84141941013242732394348535671118253039[[#This Row],[VỐN CP]]+Table84141941013242732394348535671118253039[[#This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Table84141941013242732394348535671118253039[[#This Row],[VỐN CP]]+Table84141941013242732394348535671118253039[[#This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Table84141941013242732394348535671118253039[[#This Row],[VỐN CP]]+Table84141941013242732394348535671118253039[[#This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Table84141941013242732394348535671118253039[[#This Row],[VỐN CP]]+Table84141941013242732394348535671118253039[[#This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Table84141941013242732394348535671118253039[[#This Row],[VỐN CP]]+Table84141941013242732394348535671118253039[[#This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Table84141941013242732394348535671118253039[[#This Row],[VỐN CP]]+Table84141941013242732394348535671118253039[[#This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Table84141941013242732394348535671118253039[[#This Row],[VỐN CP]]+Table84141941013242732394348535671118253039[[#This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Table84141941013242732394348535671118253039[[#This Row],[VỐN CP]]+Table84141941013242732394348535671118253039[[#This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Table84141941013242732394348535671118253039[[#This Row],[VỐN CP]]+Table84141941013242732394348535671118253039[[#This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Table84141941013242732394348535671118253039[[#This Row],[VỐN CP]]+Table84141941013242732394348535671118253039[[#This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Table84141941013242732394348535671118253039[[#This Row],[VỐN CP]]+Table84141941013242732394348535671118253039[[#This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Table84141941013242732394348535671118253039[[#This Row],[VỐN CP]]+Table84141941013242732394348535671118253039[[#This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Table84141941013242732394348535671118253039[[#This Row],[VỐN CP]]+Table84141941013242732394348535671118253039[[#This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Table84141941013242732394348535671118253039[[#This Row],[VỐN CP]]+Table84141941013242732394348535671118253039[[#This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Table84141941013242732394348535671118253039[[#This Row],[VỐN CP]]+Table84141941013242732394348535671118253039[[#This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Table84141941013242732394348535671118253039[[#This Row],[VỐN CP]]+Table84141941013242732394348535671118253039[[#This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Table84141941013242732394348535671118253039[[#This Row],[VỐN CP]]+Table84141941013242732394348535671118253039[[#This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Table84141941013242732394348535671118253039[[#This Row],[VỐN CP]]+Table84141941013242732394348535671118253039[[#This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Table84141941013242732394348535671118253039[[#This Row],[VỐN CP]]+Table84141941013242732394348535671118253039[[#This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Table84141941013242732394348535671118253039[[#This Row],[VỐN CP]]+Table84141941013242732394348535671118253039[[#This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Table84141941013242732394348535671118253039[[#This Row],[VỐN CP]]+Table84141941013242732394348535671118253039[[#This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Table84141941013242732394348535671118253039[[#This Row],[VỐN CP]]+Table84141941013242732394348535671118253039[[#This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Table84141941013242732394348535671118253039[[#This Row],[VỐN CP]]+Table84141941013242732394348535671118253039[[#This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Table84141941013242732394348535671118253039[[#This Row],[VỐN CP]]+Table84141941013242732394348535671118253039[[#This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Table84141941013242732394348535671118253039[[#This Row],[VỐN CP]]+Table84141941013242732394348535671118253039[[#This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Table84141941013242732394348535671118253039[[#This Row],[VỐN CP]]+Table84141941013242732394348535671118253039[[#This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Table84141941013242732394348535671118253039[[#This Row],[VỐN CP]]+Table84141941013242732394348535671118253039[[#This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Table84141941013242732394348535671118253039[[#This Row],[VỐN CP]]+Table84141941013242732394348535671118253039[[#This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Table84141941013242732394348535671118253039[[#This Row],[VỐN CP]]+Table84141941013242732394348535671118253039[[#This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Table84141941013242732394348535671118253039[[#This Row],[VỐN CP]]+Table84141941013242732394348535671118253039[[#This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SUBTOTAL(109,Table84141941013242732394348535671118253039[VỐN CP])</f>
        <v>22575000</v>
      </c>
      <c r="E421" s="21">
        <f>SUBTOTAL(109,Table84141941013242732394348535671118253039[LỢI NHUẬN GỘP])</f>
        <v>7442324.0999999996</v>
      </c>
      <c r="F421" s="21">
        <f>SUBTOTAL(109,Table84141941013242732394348535671118253039[LỢI NHUẬN RÒNG])</f>
        <v>4064064.4400110906</v>
      </c>
      <c r="G421" s="21">
        <f>SUBTOTAL(109,Table84141941013242732394348535671118253039[TỔNG NHẬN])</f>
        <v>26639064.440011092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B87C-4ED2-4222-B9F7-79866F33DF51}">
  <sheetPr codeName="Sheet23"/>
  <dimension ref="A1:J37"/>
  <sheetViews>
    <sheetView topLeftCell="A22" workbookViewId="0">
      <selection activeCell="E17" sqref="E17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155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Table731218791623303538424752591017243338[[#This Row],[VỐN CP]]+Table951520511142528334044495457815222936[[#This Row],[VỐN CP]]+Table95152051114252833404449545781219263140[[#This Row],[VỐN CP]]</f>
        <v>82184166.666666672</v>
      </c>
      <c r="C3" s="14">
        <f>Table731218791623303538424752591017243338[[#This Row],[LỢI NHUẬN GỘP]]+Table951520511142528334044495457815222936[[#This Row],[LỢI NHUẬN GỘP]]+Table95152051114252833404449545781219263140[[#This Row],[LỢI NHUẬN GỘP]]</f>
        <v>23193267.300000001</v>
      </c>
      <c r="D3" s="14">
        <f>Table731218791623303538424752591017243338[[#This Row],[LỢI NHUẬN RÒNG]]+Table951520511142528334044495457815222936[[#This Row],[LỢI NHUẬN RÒNG]]+Table95152051114252833404449545781219263140[[#This Row],[LỢI NHUẬN RÒNG]]</f>
        <v>10977249.536701741</v>
      </c>
      <c r="E3" s="14">
        <f>Table731218791623303538424752591017243338[[#This Row],[TỔNG NHẬN]]+Table951520511142528334044495457815222936[[#This Row],[TỔNG NHẬN]]+Table95152051114252833404449545781219263140[[#This Row],[TỔNG NHẬN]]</f>
        <v>93161416.203368396</v>
      </c>
      <c r="F3" s="49">
        <f t="shared" ref="F3:F27" si="0">D3/B3</f>
        <v>0.13356890970525637</v>
      </c>
    </row>
    <row r="4" spans="1:10" x14ac:dyDescent="0.3">
      <c r="A4" s="13" t="s">
        <v>87</v>
      </c>
      <c r="B4" s="14">
        <f>Table731218791623303538424752591017243338[[#This Row],[VỐN CP]]</f>
        <v>81893333.333333328</v>
      </c>
      <c r="C4" s="14">
        <f>Table731218791623303538424752591017243338[[#This Row],[LỢI NHUẬN GỘP]]</f>
        <v>28114933.300000001</v>
      </c>
      <c r="D4" s="14">
        <f>Table731218791623303538424752591017243338[[#This Row],[LỢI NHUẬN RÒNG]]</f>
        <v>15366897.89988677</v>
      </c>
      <c r="E4" s="14">
        <f>Table731218791623303538424752591017243338[[#This Row],[TỔNG NHẬN]]</f>
        <v>97260231.2332201</v>
      </c>
      <c r="F4" s="49">
        <f t="shared" si="0"/>
        <v>0.18764528532912861</v>
      </c>
      <c r="I4" s="50"/>
    </row>
    <row r="5" spans="1:10" x14ac:dyDescent="0.3">
      <c r="A5" s="13" t="s">
        <v>9</v>
      </c>
      <c r="B5" s="14">
        <f>Table731218791623303538424752591017243338[[#This Row],[VỐN CP]]+'Tháng 6 nhà S   '!L4+'Tháng 6 nhà G   '!L4</f>
        <v>838209166.66666663</v>
      </c>
      <c r="C5" s="14">
        <f>Table731218791623303538424752591017243338[[#This Row],[LỢI NHUẬN GỘP]]+'Tháng 6 nhà S   '!M4+'Tháng 6 nhà G   '!M4</f>
        <v>266225110.01750001</v>
      </c>
      <c r="D5" s="14">
        <f>Table731218791623303538424752591017243338[[#This Row],[LỢI NHUẬN RÒNG]]+'Tháng 6 nhà S   '!N4+'Tháng 6 nhà G   '!N4</f>
        <v>120814494.06902845</v>
      </c>
      <c r="E5" s="14">
        <f>Table731218791623303538424752591017243338[[#This Row],[TỔNG NHẬN]]+'Tháng 6 nhà S   '!O4+'Tháng 6 nhà G   '!O4</f>
        <v>959023660.735695</v>
      </c>
      <c r="F5" s="49">
        <f t="shared" si="0"/>
        <v>0.14413406447161076</v>
      </c>
      <c r="I5" s="50"/>
    </row>
    <row r="6" spans="1:10" x14ac:dyDescent="0.3">
      <c r="A6" s="13" t="s">
        <v>88</v>
      </c>
      <c r="B6" s="14">
        <f>Table731218791623303538424752591017243338[[#This Row],[VỐN CP]]+'Tháng 6 nhà S   '!L5+'Tháng 6 nhà G   '!L5</f>
        <v>72785833.333333328</v>
      </c>
      <c r="C6" s="14">
        <f>Table731218791623303538424752591017243338[[#This Row],[LỢI NHUẬN GỘP]]+'Tháng 6 nhà S   '!M5+'Tháng 6 nhà G   '!M5</f>
        <v>20337945.393333331</v>
      </c>
      <c r="D6" s="14">
        <f>Table731218791623303538424752591017243338[[#This Row],[LỢI NHUẬN RÒNG]]+'Tháng 6 nhà S   '!N5+'Tháng 6 nhà G   '!N5</f>
        <v>7480725.3970545921</v>
      </c>
      <c r="E6" s="14">
        <f>Table731218791623303538424752591017243338[[#This Row],[TỔNG NHẬN]]+'Tháng 6 nhà S   '!O5+'Tháng 6 nhà G   '!O5</f>
        <v>80266558.730387926</v>
      </c>
      <c r="F6" s="49">
        <f t="shared" si="0"/>
        <v>0.1027772171377845</v>
      </c>
    </row>
    <row r="7" spans="1:10" x14ac:dyDescent="0.3">
      <c r="A7" s="13" t="s">
        <v>89</v>
      </c>
      <c r="B7" s="14">
        <f>Table731218791623303538424752591017243338[[#This Row],[VỐN CP]]+'Tháng 6 nhà S   '!L6</f>
        <v>34338333.333333336</v>
      </c>
      <c r="C7" s="14">
        <f>Table731218791623303538424752591017243338[[#This Row],[LỢI NHUẬN GỘP]]+'Tháng 6 nhà S   '!M6</f>
        <v>12326593.800000001</v>
      </c>
      <c r="D7" s="14">
        <f>Table731218791623303538424752591017243338[[#This Row],[LỢI NHUẬN RÒNG]]+'Tháng 6 nhà S   '!N6</f>
        <v>6412552.2338071354</v>
      </c>
      <c r="E7" s="14">
        <f>Table731218791623303538424752591017243338[[#This Row],[TỔNG NHẬN]]+'Tháng 6 nhà S   '!O6</f>
        <v>40750885.567140467</v>
      </c>
      <c r="F7" s="49">
        <f t="shared" si="0"/>
        <v>0.18674616998904436</v>
      </c>
      <c r="I7" s="50"/>
    </row>
    <row r="8" spans="1:10" x14ac:dyDescent="0.3">
      <c r="A8" s="13" t="s">
        <v>17</v>
      </c>
      <c r="B8" s="14">
        <f>'Tháng 6 nhà S   '!L7+'Tháng 6 nhà G   '!L7</f>
        <v>6795000</v>
      </c>
      <c r="C8" s="14">
        <f>'Tháng 6 nhà S   '!M7+'Tháng 6 nhà G   '!M7</f>
        <v>3004653.55</v>
      </c>
      <c r="D8" s="14">
        <f>'Tháng 6 nhà S   '!N7+'Tháng 6 nhà G   '!N7</f>
        <v>1797296.2855068655</v>
      </c>
      <c r="E8" s="14">
        <f>'Tháng 6 nhà S   '!O7+'Tháng 6 nhà G   '!O7</f>
        <v>8592296.285506865</v>
      </c>
      <c r="F8" s="49">
        <f t="shared" si="0"/>
        <v>0.26450276460733857</v>
      </c>
    </row>
    <row r="9" spans="1:10" x14ac:dyDescent="0.3">
      <c r="A9" s="13" t="s">
        <v>19</v>
      </c>
      <c r="B9" s="14">
        <f>'Tháng 6 nhà T  '!L8+'Tháng 6 nhà S   '!L8+'Tháng 6 nhà G   '!L8</f>
        <v>880376666.66666675</v>
      </c>
      <c r="C9" s="14">
        <f>'Tháng 6 nhà T  '!M8+'Tháng 6 nhà S   '!M8+'Tháng 6 nhà G   '!M8</f>
        <v>278825011.45833337</v>
      </c>
      <c r="D9" s="14">
        <f>'Tháng 6 nhà T  '!N8+'Tháng 6 nhà S   '!N8+'Tháng 6 nhà G   '!N8</f>
        <v>121035469.23729649</v>
      </c>
      <c r="E9" s="14">
        <f>'Tháng 6 nhà T  '!O8+'Tháng 6 nhà S   '!O8+'Tháng 6 nhà G   '!O8</f>
        <v>975922064.29293418</v>
      </c>
      <c r="F9" s="49">
        <f t="shared" si="0"/>
        <v>0.13748145972060802</v>
      </c>
      <c r="I9" s="50"/>
    </row>
    <row r="10" spans="1:10" x14ac:dyDescent="0.3">
      <c r="A10" s="16" t="s">
        <v>21</v>
      </c>
      <c r="B10" s="14">
        <f>'Tháng 6 nhà T  '!L9+'Tháng 6 nhà S   '!L9+'Tháng 6 nhà G   '!L9</f>
        <v>459896666.66666669</v>
      </c>
      <c r="C10" s="14">
        <f>'Tháng 6 nhà T  '!M9+'Tháng 6 nhà S   '!M9+'Tháng 6 nhà G   '!M9</f>
        <v>149015500.94583333</v>
      </c>
      <c r="D10" s="14">
        <f>'Tháng 6 nhà T  '!N9+'Tháng 6 nhà S   '!N9+'Tháng 6 nhà G   '!N9</f>
        <v>71364351.598337844</v>
      </c>
      <c r="E10" s="14">
        <f>'Tháng 6 nhà T  '!O9+'Tháng 6 nhà S   '!O9+'Tháng 6 nhà G   '!O9</f>
        <v>531261018.26500446</v>
      </c>
      <c r="F10" s="49">
        <f t="shared" si="0"/>
        <v>0.15517475287565577</v>
      </c>
      <c r="J10" s="50"/>
    </row>
    <row r="11" spans="1:10" x14ac:dyDescent="0.3">
      <c r="A11" s="13" t="s">
        <v>23</v>
      </c>
      <c r="B11" s="14">
        <f>'Tháng 6 nhà T  '!L10+'Tháng 6 nhà S   '!L10</f>
        <v>51435000</v>
      </c>
      <c r="C11" s="14">
        <f>'Tháng 6 nhà T  '!M10+'Tháng 6 nhà S   '!M10</f>
        <v>16615884.050000001</v>
      </c>
      <c r="D11" s="14">
        <f>'Tháng 6 nhà T  '!N10+'Tháng 6 nhà S   '!N10</f>
        <v>8608829.5230608284</v>
      </c>
      <c r="E11" s="14">
        <f>'Tháng 6 nhà T  '!O10+'Tháng 6 nhà S   '!O10</f>
        <v>60043829.523060828</v>
      </c>
      <c r="F11" s="49">
        <f t="shared" si="0"/>
        <v>0.16737298576962825</v>
      </c>
    </row>
    <row r="12" spans="1:10" x14ac:dyDescent="0.3">
      <c r="A12" s="13" t="s">
        <v>25</v>
      </c>
      <c r="B12" s="14">
        <f>'Tháng 6 nhà T  '!L16+'Tháng 6 nhà S   '!L11+'Tháng 6 nhà G   '!L11</f>
        <v>130080833.33333333</v>
      </c>
      <c r="C12" s="14">
        <f>'Tháng 6 nhà T  '!M16+'Tháng 6 nhà S   '!M11+'Tháng 6 nhà G   '!M11</f>
        <v>47046690.793333337</v>
      </c>
      <c r="D12" s="14">
        <f>'Tháng 6 nhà T  '!N16+'Tháng 6 nhà S   '!N11+'Tháng 6 nhà G   '!N11</f>
        <v>27033911.489847299</v>
      </c>
      <c r="E12" s="14">
        <f>'Tháng 6 nhà T  '!O16+'Tháng 6 nhà S   '!O11+'Tháng 6 nhà G   '!O11</f>
        <v>157114744.82318065</v>
      </c>
      <c r="F12" s="49">
        <f t="shared" si="0"/>
        <v>0.20782394144549068</v>
      </c>
    </row>
    <row r="13" spans="1:10" x14ac:dyDescent="0.3">
      <c r="A13" s="13" t="s">
        <v>27</v>
      </c>
      <c r="B13" s="14">
        <f>'Tháng 6 nhà T  '!L11+'Tháng 6 nhà S   '!L12+'Tháng 6 nhà G   '!L12</f>
        <v>416348333.33333331</v>
      </c>
      <c r="C13" s="14">
        <f>'Tháng 6 nhà T  '!M11+'Tháng 6 nhà S   '!M12+'Tháng 6 nhà G   '!M12</f>
        <v>131083645.67499998</v>
      </c>
      <c r="D13" s="14">
        <f>'Tháng 6 nhà T  '!N11+'Tháng 6 nhà S   '!N12+'Tháng 6 nhà G   '!N12</f>
        <v>53519170.07391008</v>
      </c>
      <c r="E13" s="14">
        <f>'Tháng 6 nhà T  '!O11+'Tháng 6 nhà S   '!O12+'Tháng 6 nhà G   '!O12</f>
        <v>469867503.40724331</v>
      </c>
      <c r="F13" s="49">
        <f t="shared" si="0"/>
        <v>0.1285442159583764</v>
      </c>
    </row>
    <row r="14" spans="1:10" x14ac:dyDescent="0.3">
      <c r="A14" s="13" t="s">
        <v>29</v>
      </c>
      <c r="B14" s="14">
        <f>'Tháng 6 nhà S   '!L13+'Tháng 6 nhà G   '!L13</f>
        <v>62973333.333333328</v>
      </c>
      <c r="C14" s="14">
        <f>'Tháng 6 nhà S   '!M13+'Tháng 6 nhà G   '!M13</f>
        <v>23117743.93333333</v>
      </c>
      <c r="D14" s="14">
        <f>'Tháng 6 nhà S   '!N13+'Tháng 6 nhà G   '!N13</f>
        <v>12256340.167509666</v>
      </c>
      <c r="E14" s="14">
        <f>'Tháng 6 nhà S   '!O13+'Tháng 6 nhà G   '!O13</f>
        <v>75229673.500843003</v>
      </c>
      <c r="F14" s="49">
        <f t="shared" si="0"/>
        <v>0.19462746401931505</v>
      </c>
    </row>
    <row r="15" spans="1:10" x14ac:dyDescent="0.3">
      <c r="A15" s="13" t="s">
        <v>31</v>
      </c>
      <c r="B15" s="14">
        <f>'Tháng 6 nhà T  '!L12+'Tháng 6 nhà S   '!L14+'Tháng 6 nhà G   '!L14</f>
        <v>256273333.33333331</v>
      </c>
      <c r="C15" s="14">
        <f>'Tháng 6 nhà T  '!M12+'Tháng 6 nhà S   '!M14+'Tháng 6 nhà G   '!M14</f>
        <v>81277868.583333313</v>
      </c>
      <c r="D15" s="14">
        <f>'Tháng 6 nhà T  '!N12+'Tháng 6 nhà S   '!N14+'Tháng 6 nhà G   '!N14</f>
        <v>39065389.72845614</v>
      </c>
      <c r="E15" s="14">
        <f>'Tháng 6 nhà T  '!O12+'Tháng 6 nhà S   '!O14+'Tháng 6 nhà G   '!O14</f>
        <v>295338723.06178951</v>
      </c>
      <c r="F15" s="49">
        <f t="shared" si="0"/>
        <v>0.15243642098978749</v>
      </c>
    </row>
    <row r="16" spans="1:10" x14ac:dyDescent="0.3">
      <c r="A16" s="13" t="s">
        <v>91</v>
      </c>
      <c r="B16" s="14">
        <f>'Tháng 6 nhà T  '!L13</f>
        <v>8400000</v>
      </c>
      <c r="C16" s="14">
        <f>'Tháng 6 nhà T  '!M13</f>
        <v>5091593.0666666673</v>
      </c>
      <c r="D16" s="14">
        <f>'Tháng 6 nhà T  '!N13</f>
        <v>2738972.3826865451</v>
      </c>
      <c r="E16" s="14">
        <f>'Tháng 6 nhà T  '!O13</f>
        <v>11138972.382686544</v>
      </c>
      <c r="F16" s="49">
        <f t="shared" si="0"/>
        <v>0.32606814079601726</v>
      </c>
    </row>
    <row r="17" spans="1:6" x14ac:dyDescent="0.3">
      <c r="A17" s="13" t="s">
        <v>33</v>
      </c>
      <c r="B17" s="14">
        <f>'Tháng 6 nhà T  '!L14+'Tháng 6 nhà S   '!L15+'Tháng 6 nhà G   '!L15</f>
        <v>101493333.33333334</v>
      </c>
      <c r="C17" s="14">
        <f>'Tháng 6 nhà T  '!M14+'Tháng 6 nhà S   '!M15+'Tháng 6 nhà G   '!M15</f>
        <v>34266274.233333334</v>
      </c>
      <c r="D17" s="14">
        <f>'Tháng 6 nhà T  '!N14+'Tháng 6 nhà S   '!N15+'Tháng 6 nhà G   '!N15</f>
        <v>17373145.858296864</v>
      </c>
      <c r="E17" s="14">
        <f>'Tháng 6 nhà T  '!O14+'Tháng 6 nhà S   '!O15+'Tháng 6 nhà G   '!O15</f>
        <v>118866479.19163018</v>
      </c>
      <c r="F17" s="49">
        <f t="shared" si="0"/>
        <v>0.17117524164112777</v>
      </c>
    </row>
    <row r="18" spans="1:6" x14ac:dyDescent="0.3">
      <c r="A18" s="13" t="s">
        <v>35</v>
      </c>
      <c r="B18" s="14">
        <f>'Tháng 6 nhà S   '!L16</f>
        <v>51196666.666666672</v>
      </c>
      <c r="C18" s="14">
        <f>'Tháng 6 nhà S   '!M16</f>
        <v>17524156.433333334</v>
      </c>
      <c r="D18" s="14">
        <f>'Tháng 6 nhà S   '!N16</f>
        <v>9012160.1888568569</v>
      </c>
      <c r="E18" s="14">
        <f>'Tháng 6 nhà S   '!O16</f>
        <v>60208826.855523527</v>
      </c>
      <c r="F18" s="49">
        <f t="shared" si="0"/>
        <v>0.17603021398900037</v>
      </c>
    </row>
    <row r="19" spans="1:6" x14ac:dyDescent="0.3">
      <c r="A19" s="16" t="s">
        <v>37</v>
      </c>
      <c r="B19" s="14">
        <f>'Tháng 6 nhà T  '!L15+'Tháng 6 nhà S   '!L17+'Tháng 6 nhà G   '!L17</f>
        <v>253818333.33333331</v>
      </c>
      <c r="C19" s="14">
        <f>'Tháng 6 nhà T  '!M15+'Tháng 6 nhà S   '!M17+'Tháng 6 nhà G   '!M17</f>
        <v>82203436.849999994</v>
      </c>
      <c r="D19" s="14">
        <f>'Tháng 6 nhà T  '!N15+'Tháng 6 nhà S   '!N17+'Tháng 6 nhà G   '!N17</f>
        <v>42614798.401733972</v>
      </c>
      <c r="E19" s="14">
        <f>'Tháng 6 nhà T  '!O15+'Tháng 6 nhà S   '!O17+'Tháng 6 nhà G   '!O17</f>
        <v>296433131.73506731</v>
      </c>
      <c r="F19" s="51">
        <f t="shared" si="0"/>
        <v>0.16789487915267734</v>
      </c>
    </row>
    <row r="20" spans="1:6" x14ac:dyDescent="0.3">
      <c r="A20" s="13" t="s">
        <v>39</v>
      </c>
      <c r="B20" s="14">
        <f>'Tháng 6 nhà S   '!L18</f>
        <v>1583333.3333333335</v>
      </c>
      <c r="C20" s="14">
        <f>'Tháng 6 nhà S   '!M18</f>
        <v>1122654.5166666664</v>
      </c>
      <c r="D20" s="14">
        <f>'Tháng 6 nhà S   '!N18</f>
        <v>753757.21898363531</v>
      </c>
      <c r="E20" s="14">
        <f>'Tháng 6 nhà S   '!O18</f>
        <v>2337090.5523169688</v>
      </c>
      <c r="F20" s="51">
        <f t="shared" si="0"/>
        <v>0.4760571909370328</v>
      </c>
    </row>
    <row r="21" spans="1:6" x14ac:dyDescent="0.3">
      <c r="A21" s="13" t="s">
        <v>41</v>
      </c>
      <c r="B21" s="14">
        <f>'Tháng 6 nhà S   '!L19</f>
        <v>2533333.3333333335</v>
      </c>
      <c r="C21" s="14">
        <f>'Tháng 6 nhà S   '!M19</f>
        <v>1712920.0166666664</v>
      </c>
      <c r="D21" s="14">
        <f>'Tháng 6 nhà S   '!N19</f>
        <v>1060008.7131477413</v>
      </c>
      <c r="E21" s="14">
        <f>'Tháng 6 nhà S   '!O19</f>
        <v>3593342.0464810748</v>
      </c>
      <c r="F21" s="51">
        <f t="shared" si="0"/>
        <v>0.4184244920320031</v>
      </c>
    </row>
    <row r="22" spans="1:6" x14ac:dyDescent="0.3">
      <c r="A22" s="13" t="s">
        <v>42</v>
      </c>
      <c r="B22" s="14">
        <f>'Tháng 6 nhà S   '!L20</f>
        <v>2083333.3333333335</v>
      </c>
      <c r="C22" s="14">
        <f>'Tháng 6 nhà S   '!M20</f>
        <v>1526262.8666666662</v>
      </c>
      <c r="D22" s="14">
        <f>'Tháng 6 nhà S   '!N20</f>
        <v>928480.7157832511</v>
      </c>
      <c r="E22" s="14">
        <f>'Tháng 6 nhà S   '!O20</f>
        <v>3011814.0491165845</v>
      </c>
      <c r="F22" s="51">
        <f t="shared" si="0"/>
        <v>0.44567074357596048</v>
      </c>
    </row>
    <row r="23" spans="1:6" x14ac:dyDescent="0.3">
      <c r="A23" s="13" t="s">
        <v>43</v>
      </c>
      <c r="B23" s="14">
        <f>'Tháng 6 nhà S   '!L21+'Tháng 6 nhà G   '!L21</f>
        <v>141243333.33333334</v>
      </c>
      <c r="C23" s="14">
        <f>'Tháng 6 nhà S   '!M21+'Tháng 6 nhà G   '!M21</f>
        <v>47615822.299999997</v>
      </c>
      <c r="D23" s="14">
        <f>'Tháng 6 nhà S   '!N21+'Tháng 6 nhà G   '!N21</f>
        <v>27041201.154109824</v>
      </c>
      <c r="E23" s="14">
        <f>'Tháng 6 nhà S   '!O21+'Tháng 6 nhà G   '!O21</f>
        <v>168284534.48744315</v>
      </c>
      <c r="F23" s="51">
        <f t="shared" si="0"/>
        <v>0.19145116810782684</v>
      </c>
    </row>
    <row r="24" spans="1:6" x14ac:dyDescent="0.3">
      <c r="A24" s="13" t="s">
        <v>44</v>
      </c>
      <c r="B24" s="14">
        <f>'Tháng 6 nhà S   '!L22</f>
        <v>4700000</v>
      </c>
      <c r="C24" s="14">
        <f>'Tháng 6 nhà S   '!M22</f>
        <v>2738997.2666666666</v>
      </c>
      <c r="D24" s="14">
        <f>'Tháng 6 nhà S   '!N22</f>
        <v>1440787.4573547335</v>
      </c>
      <c r="E24" s="14">
        <f>'Tháng 6 nhà S   '!O22</f>
        <v>6140787.4573547337</v>
      </c>
      <c r="F24" s="51">
        <f t="shared" si="0"/>
        <v>0.30655052284143264</v>
      </c>
    </row>
    <row r="25" spans="1:6" x14ac:dyDescent="0.3">
      <c r="A25" s="13" t="s">
        <v>45</v>
      </c>
      <c r="B25" s="14">
        <f>'Tháng 6 nhà S   '!L23</f>
        <v>12925000</v>
      </c>
      <c r="C25" s="14">
        <f>'Tháng 6 nhà S   '!M23</f>
        <v>4847249.25</v>
      </c>
      <c r="D25" s="14">
        <f>'Tháng 6 nhà S   '!N23</f>
        <v>2378482.4508491536</v>
      </c>
      <c r="E25" s="14">
        <f>'Tháng 6 nhà S   '!O23</f>
        <v>15303482.450849155</v>
      </c>
      <c r="F25" s="49">
        <f t="shared" si="0"/>
        <v>0.18402185306376431</v>
      </c>
    </row>
    <row r="26" spans="1:6" s="52" customFormat="1" x14ac:dyDescent="0.3">
      <c r="A26" s="13" t="s">
        <v>46</v>
      </c>
      <c r="B26" s="14">
        <f>'Tháng 6 nhà S   '!L24+'Tháng 6 nhà G   '!L24</f>
        <v>13350000</v>
      </c>
      <c r="C26" s="14">
        <f>'Tháng 6 nhà S   '!M24+'Tháng 6 nhà G   '!M24</f>
        <v>4247626.1500000004</v>
      </c>
      <c r="D26" s="14">
        <f>'Tháng 6 nhà S   '!N24+'Tháng 6 nhà G   '!N24</f>
        <v>2006542.8140451438</v>
      </c>
      <c r="E26" s="14">
        <f>'Tháng 6 nhà S   '!O24+'Tháng 6 nhà G   '!O24</f>
        <v>15356542.814045142</v>
      </c>
      <c r="F26" s="49">
        <f t="shared" si="0"/>
        <v>0.15030283251274484</v>
      </c>
    </row>
    <row r="27" spans="1:6" x14ac:dyDescent="0.3">
      <c r="A27" s="16" t="s">
        <v>129</v>
      </c>
      <c r="B27" s="14">
        <f>'[1]Tháng 9 nhà S '!L25</f>
        <v>1745166666.6666663</v>
      </c>
      <c r="C27" s="17">
        <f>SUBTOTAL(109,C2:C26)</f>
        <v>1283081841.7499995</v>
      </c>
      <c r="D27" s="17">
        <f>SUBTOTAL(109,D2:D26)</f>
        <v>603081014.59625185</v>
      </c>
      <c r="E27" s="17">
        <f>SUBTOTAL(109,E2:E26)</f>
        <v>4544507609.6518888</v>
      </c>
      <c r="F27" s="51">
        <f t="shared" si="0"/>
        <v>0.34557216002077279</v>
      </c>
    </row>
    <row r="28" spans="1:6" x14ac:dyDescent="0.3">
      <c r="A28" s="16"/>
      <c r="B28" s="17"/>
      <c r="C28" s="17"/>
      <c r="D28" s="17"/>
      <c r="E28" s="17"/>
      <c r="F28" s="51"/>
    </row>
    <row r="30" spans="1:6" x14ac:dyDescent="0.3">
      <c r="B30" s="50"/>
      <c r="C30" s="50"/>
      <c r="D30" s="50"/>
      <c r="E30" s="50"/>
    </row>
    <row r="31" spans="1:6" ht="14.5" x14ac:dyDescent="0.35">
      <c r="B31" s="53"/>
      <c r="C31" s="50"/>
      <c r="D31" s="50"/>
      <c r="E31" s="50"/>
    </row>
    <row r="32" spans="1:6" x14ac:dyDescent="0.3">
      <c r="B32" s="50"/>
      <c r="C32" s="50"/>
      <c r="D32" s="50"/>
      <c r="E32" s="50"/>
      <c r="F32" s="54"/>
    </row>
    <row r="33" spans="2:5" x14ac:dyDescent="0.3">
      <c r="B33" s="50"/>
      <c r="C33" s="50"/>
      <c r="D33" s="50"/>
      <c r="E33" s="50"/>
    </row>
    <row r="34" spans="2:5" x14ac:dyDescent="0.3">
      <c r="B34" s="50"/>
      <c r="C34" s="50"/>
      <c r="D34" s="50"/>
      <c r="E34" s="50"/>
    </row>
    <row r="36" spans="2:5" x14ac:dyDescent="0.3">
      <c r="D36" s="50"/>
    </row>
    <row r="37" spans="2:5" x14ac:dyDescent="0.3">
      <c r="D37" s="5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9C9C-0F80-4CE7-8BC6-09ECF135B934}">
  <sheetPr codeName="Sheet24"/>
  <dimension ref="A1:O161"/>
  <sheetViews>
    <sheetView zoomScale="121" zoomScaleNormal="121" workbookViewId="0">
      <selection activeCell="F20" sqref="F20:F106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157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20995833.333333332</v>
      </c>
      <c r="M3" s="37">
        <f>SUMIF('Tháng 7 nhà T '!$B$4:$B$154,K3,'Tháng 7 nhà T '!$E$4:$E$154)</f>
        <v>7136997.3666666672</v>
      </c>
      <c r="N3" s="37">
        <f>SUMIF('Tháng 7 nhà T '!$B$4:$B$154,K3,'Tháng 7 nhà T '!$F$4:$F$154)</f>
        <v>3944867.5070014158</v>
      </c>
      <c r="O3" s="38">
        <f>SUMIF('Tháng 7 nhà T '!$B$4:$B$154,K3,'Tháng 7 nhà T '!$G$4:$G$154)</f>
        <v>24940700.840334751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5497401</v>
      </c>
      <c r="F4" s="11">
        <v>3755870.0225499924</v>
      </c>
      <c r="G4" s="12">
        <f>Table5211176815222934374146515891623323742[[#This Row],[LỢI NHUẬN RÒNG]]+Table5211176815222934374146515891623323742[[#This Row],[VỐN CP]]</f>
        <v>16955870.022549994</v>
      </c>
      <c r="K4" s="36" t="s">
        <v>87</v>
      </c>
      <c r="L4" s="11">
        <f t="shared" si="0"/>
        <v>81893333.333333328</v>
      </c>
      <c r="M4" s="37">
        <f>SUMIF('Tháng 7 nhà T '!$B$4:$B$154,K4,'Tháng 7 nhà T '!$E$4:$E$154)</f>
        <v>27856515.966666665</v>
      </c>
      <c r="N4" s="37">
        <f>SUMIF('Tháng 7 nhà T '!$B$4:$B$154,K4,'Tháng 7 nhà T '!$F$4:$F$154)</f>
        <v>14565908.011671914</v>
      </c>
      <c r="O4" s="38">
        <f>SUMIF('Tháng 7 nhà T '!$B$4:$B$154,K4,'Tháng 7 nhà T '!$G$4:$G$154)</f>
        <v>96459241.345005244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5497401</v>
      </c>
      <c r="F5" s="11">
        <v>3755870.0225499924</v>
      </c>
      <c r="G5" s="12">
        <f>Table5211176815222934374146515891623323742[[#This Row],[LỢI NHUẬN RÒNG]]+Table5211176815222934374146515891623323742[[#This Row],[VỐN CP]]</f>
        <v>16955870.022549994</v>
      </c>
      <c r="I5" s="11"/>
      <c r="K5" s="36" t="s">
        <v>9</v>
      </c>
      <c r="L5" s="11">
        <f t="shared" si="0"/>
        <v>411114166.66666669</v>
      </c>
      <c r="M5" s="37">
        <f>SUMIF('Tháng 7 nhà T '!$B$4:$B$154,K5,'Tháng 7 nhà T '!$E$4:$E$154)</f>
        <v>165354785.41666669</v>
      </c>
      <c r="N5" s="37">
        <f>SUMIF('Tháng 7 nhà T '!$B$4:$B$154,K5,'Tháng 7 nhà T '!$F$4:$F$154)</f>
        <v>98419065.091645703</v>
      </c>
      <c r="O5" s="38">
        <f>SUMIF('Tháng 7 nhà T '!$B$4:$B$154,K5,'Tháng 7 nhà T '!$G$4:$G$154)</f>
        <v>509533231.75831246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1832467</v>
      </c>
      <c r="F6" s="11">
        <v>1251956.6741833307</v>
      </c>
      <c r="G6" s="12">
        <f>Table5211176815222934374146515891623323742[[#This Row],[LỢI NHUẬN RÒNG]]+Table5211176815222934374146515891623323742[[#This Row],[VỐN CP]]</f>
        <v>5651956.6741833305</v>
      </c>
      <c r="K6" s="36" t="s">
        <v>88</v>
      </c>
      <c r="L6" s="11">
        <f t="shared" si="0"/>
        <v>9733333.333333334</v>
      </c>
      <c r="M6" s="37">
        <f>SUMIF('Tháng 7 nhà T '!$B$4:$B$154,K6,'Tháng 7 nhà T '!$E$4:$E$154)</f>
        <v>3556014.166666666</v>
      </c>
      <c r="N6" s="37">
        <f>SUMIF('Tháng 7 nhà T '!$B$4:$B$154,K6,'Tháng 7 nhà T '!$F$4:$F$154)</f>
        <v>1833800.6996343553</v>
      </c>
      <c r="O6" s="38">
        <f>SUMIF('Tháng 7 nhà T '!$B$4:$B$154,K6,'Tháng 7 nhà T '!$G$4:$G$154)</f>
        <v>11567134.03296769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3664934</v>
      </c>
      <c r="F7" s="11">
        <v>2503913.3483666615</v>
      </c>
      <c r="G7" s="12">
        <f>Table5211176815222934374146515891623323742[[#This Row],[LỢI NHUẬN RÒNG]]+Table5211176815222934374146515891623323742[[#This Row],[VỐN CP]]</f>
        <v>11303913.348366661</v>
      </c>
      <c r="K7" s="36" t="s">
        <v>89</v>
      </c>
      <c r="L7" s="11">
        <f t="shared" si="0"/>
        <v>6666666.666666666</v>
      </c>
      <c r="M7" s="37">
        <f>SUMIF('Tháng 7 nhà T '!$B$4:$B$154,K7,'Tháng 7 nhà T '!$E$4:$E$154)</f>
        <v>2119664.4333333345</v>
      </c>
      <c r="N7" s="37">
        <f>SUMIF('Tháng 7 nhà T '!$B$4:$B$154,K7,'Tháng 7 nhà T '!$F$4:$F$154)</f>
        <v>1267647.8162579343</v>
      </c>
      <c r="O7" s="38">
        <f>SUMIF('Tháng 7 nhà T '!$B$4:$B$154,K7,'Tháng 7 nhà T '!$G$4:$G$154)</f>
        <v>7934314.4829246001</v>
      </c>
    </row>
    <row r="8" spans="1:15" ht="15" hidden="1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1832467</v>
      </c>
      <c r="F8" s="11">
        <v>1251956.6741833307</v>
      </c>
      <c r="G8" s="12">
        <f>Table5211176815222934374146515891623323742[[#This Row],[LỢI NHUẬN RÒNG]]+Table5211176815222934374146515891623323742[[#This Row],[VỐN CP]]</f>
        <v>5651956.6741833305</v>
      </c>
      <c r="K8" s="36" t="s">
        <v>19</v>
      </c>
      <c r="L8" s="11">
        <f t="shared" si="0"/>
        <v>413010000</v>
      </c>
      <c r="M8" s="37">
        <f>SUMIF('Tháng 7 nhà T '!$B$4:$B$154,K8,'Tháng 7 nhà T '!$E$4:$E$154)</f>
        <v>166161106.68333331</v>
      </c>
      <c r="N8" s="37">
        <f>SUMIF('Tháng 7 nhà T '!$B$4:$B$154,K8,'Tháng 7 nhà T '!$F$4:$F$154)</f>
        <v>99065644.519596934</v>
      </c>
      <c r="O8" s="38">
        <f>SUMIF('Tháng 7 nhà T '!$B$4:$B$154,K8,'Tháng 7 nhà T '!$G$4:$G$154)</f>
        <v>512075644.51959699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3179496.6500000013</v>
      </c>
      <c r="F9" s="11">
        <v>1901471.7243869014</v>
      </c>
      <c r="G9" s="12">
        <f>Table5211176815222934374146515891623323742[[#This Row],[LỢI NHUẬN RÒNG]]+Table5211176815222934374146515891623323742[[#This Row],[VỐN CP]]</f>
        <v>11901471.724386901</v>
      </c>
      <c r="K9" s="36" t="s">
        <v>21</v>
      </c>
      <c r="L9" s="11">
        <f t="shared" si="0"/>
        <v>69335000</v>
      </c>
      <c r="M9" s="37">
        <f>SUMIF('Tháng 7 nhà T '!$B$4:$B$154,K9,'Tháng 7 nhà T '!$E$4:$E$154)</f>
        <v>30318750.849999998</v>
      </c>
      <c r="N9" s="37">
        <f>SUMIF('Tháng 7 nhà T '!$B$4:$B$154,K9,'Tháng 7 nhà T '!$F$4:$F$154)</f>
        <v>18170196.981327441</v>
      </c>
      <c r="O9" s="38">
        <f>SUMIF('Tháng 7 nhà T '!$B$4:$B$154,K9,'Tháng 7 nhà T '!$G$4:$G$154)</f>
        <v>87505196.981327429</v>
      </c>
    </row>
    <row r="10" spans="1:15" ht="15" hidden="1" customHeight="1" x14ac:dyDescent="0.35">
      <c r="A10" s="10" t="s">
        <v>90</v>
      </c>
      <c r="B10" s="11" t="s">
        <v>89</v>
      </c>
      <c r="C10" s="11">
        <v>10</v>
      </c>
      <c r="D10" s="11">
        <v>6666666.666666666</v>
      </c>
      <c r="E10" s="11">
        <v>2119664.4333333345</v>
      </c>
      <c r="F10" s="11">
        <v>1267647.8162579343</v>
      </c>
      <c r="G10" s="12">
        <f>Table5211176815222934374146515891623323742[[#This Row],[LỢI NHUẬN RÒNG]]+Table5211176815222934374146515891623323742[[#This Row],[VỐN CP]]</f>
        <v>7934314.4829246001</v>
      </c>
      <c r="K10" s="36" t="s">
        <v>23</v>
      </c>
      <c r="L10" s="11">
        <f t="shared" si="0"/>
        <v>16000000</v>
      </c>
      <c r="M10" s="37">
        <f>SUMIF('Tháng 7 nhà T '!$B$4:$B$154,K10,'Tháng 7 nhà T '!$E$4:$E$154)</f>
        <v>4117369.9</v>
      </c>
      <c r="N10" s="37">
        <f>SUMIF('Tháng 7 nhà T '!$B$4:$B$154,K10,'Tháng 7 nhà T '!$F$4:$F$154)</f>
        <v>1860565.5496609644</v>
      </c>
      <c r="O10" s="38">
        <f>SUMIF('Tháng 7 nhà T '!$B$4:$B$154,K10,'Tháng 7 nhà T '!$G$4:$G$154)</f>
        <v>17860565.549660966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3179496.6500000013</v>
      </c>
      <c r="F11" s="11">
        <v>1901471.7243869014</v>
      </c>
      <c r="G11" s="12">
        <f>Table5211176815222934374146515891623323742[[#This Row],[LỢI NHUẬN RÒNG]]+Table5211176815222934374146515891623323742[[#This Row],[VỐN CP]]</f>
        <v>11901471.724386901</v>
      </c>
      <c r="J11" s="11"/>
      <c r="K11" s="36" t="s">
        <v>27</v>
      </c>
      <c r="L11" s="11">
        <f t="shared" si="0"/>
        <v>326678333.33333331</v>
      </c>
      <c r="M11" s="37">
        <f>SUMIF('Tháng 7 nhà T '!$B$4:$B$154,K11,'Tháng 7 nhà T '!$E$4:$E$154)</f>
        <v>136353469.54999998</v>
      </c>
      <c r="N11" s="37">
        <f>SUMIF('Tháng 7 nhà T '!$B$4:$B$154,K11,'Tháng 7 nhà T '!$F$4:$F$154)</f>
        <v>82222930.896939799</v>
      </c>
      <c r="O11" s="38">
        <f>SUMIF(Table5211176815222934374146515891623323742[CỔ ĐÔNG],K11,Table5211176815222934374146515891623323742[TỔNG NHẬN])</f>
        <v>408901264.23027325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2119664.4333333345</v>
      </c>
      <c r="F12" s="11">
        <v>1267647.8162579343</v>
      </c>
      <c r="G12" s="12">
        <f>Table5211176815222934374146515891623323742[[#This Row],[LỢI NHUẬN RÒNG]]+Table5211176815222934374146515891623323742[[#This Row],[VỐN CP]]</f>
        <v>7934314.4829246001</v>
      </c>
      <c r="K12" s="36" t="s">
        <v>31</v>
      </c>
      <c r="L12" s="11">
        <f t="shared" si="0"/>
        <v>44946666.666666664</v>
      </c>
      <c r="M12" s="37">
        <f>SUMIF('Tháng 7 nhà T '!$B$4:$B$154,K12,'Tháng 7 nhà T '!$E$4:$E$154)</f>
        <v>16063865.233333334</v>
      </c>
      <c r="N12" s="37">
        <f>SUMIF('Tháng 7 nhà T '!$B$4:$B$154,K12,'Tháng 7 nhà T '!$F$4:$F$154)</f>
        <v>9681608.5815453008</v>
      </c>
      <c r="O12" s="38">
        <f>SUMIF('Tháng 7 nhà T '!$B$4:$B$154,K12,'Tháng 7 nhà T '!$G$4:$G$154)</f>
        <v>54628275.248211965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2119664.4333333345</v>
      </c>
      <c r="F13" s="11">
        <v>1267647.8162579343</v>
      </c>
      <c r="G13" s="12">
        <f>Table5211176815222934374146515891623323742[[#This Row],[LỢI NHUẬN RÒNG]]+Table5211176815222934374146515891623323742[[#This Row],[VỐN CP]]</f>
        <v>7934314.4829246001</v>
      </c>
      <c r="K13" s="36" t="s">
        <v>91</v>
      </c>
      <c r="L13" s="11">
        <f t="shared" si="0"/>
        <v>8400000</v>
      </c>
      <c r="M13" s="37">
        <f>SUMIF('Tháng 7 nhà T '!$B$4:$B$154,K13,'Tháng 7 nhà T '!$E$4:$E$154)</f>
        <v>5909850.6666666679</v>
      </c>
      <c r="N13" s="37">
        <f>SUMIF('Tháng 7 nhà T '!$B$4:$B$154,K13,'Tháng 7 nhà T '!$F$4:$F$154)</f>
        <v>4251545.7276305733</v>
      </c>
      <c r="O13" s="38">
        <f>SUMIF('Tháng 7 nhà T '!$B$4:$B$154,K13,'Tháng 7 nhà T '!$G$4:$G$154)</f>
        <v>12651545.727630574</v>
      </c>
    </row>
    <row r="14" spans="1:15" ht="15" hidden="1" customHeight="1" x14ac:dyDescent="0.35">
      <c r="A14" s="10" t="s">
        <v>90</v>
      </c>
      <c r="B14" s="11" t="s">
        <v>31</v>
      </c>
      <c r="C14" s="11">
        <v>10</v>
      </c>
      <c r="D14" s="11">
        <v>6666666.666666666</v>
      </c>
      <c r="E14" s="11">
        <v>2119664.4333333345</v>
      </c>
      <c r="F14" s="11">
        <v>1267647.8162579343</v>
      </c>
      <c r="G14" s="12">
        <f>Table5211176815222934374146515891623323742[[#This Row],[LỢI NHUẬN RÒNG]]+Table5211176815222934374146515891623323742[[#This Row],[VỐN CP]]</f>
        <v>7934314.4829246001</v>
      </c>
      <c r="K14" s="36" t="s">
        <v>33</v>
      </c>
      <c r="L14" s="11">
        <f t="shared" si="0"/>
        <v>17560000</v>
      </c>
      <c r="M14" s="37">
        <f>SUMIF('Tháng 7 nhà T '!$B$4:$B$154,K14,'Tháng 7 nhà T '!$E$4:$E$154)</f>
        <v>4705132.6499999994</v>
      </c>
      <c r="N14" s="37">
        <f>SUMIF('Tháng 7 nhà T '!$B$4:$B$154,K14,'Tháng 7 nhà T '!$F$4:$F$154)</f>
        <v>2369748.5024061678</v>
      </c>
      <c r="O14" s="38">
        <f>SUMIF('Tháng 7 nhà T '!$B$4:$B$154,K14,'Tháng 7 nhà T '!$G$4:$G$154)</f>
        <v>19929748.502406169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4239328.866666669</v>
      </c>
      <c r="F15" s="11">
        <v>2535295.6325158686</v>
      </c>
      <c r="G15" s="12">
        <f>Table5211176815222934374146515891623323742[[#This Row],[LỢI NHUẬN RÒNG]]+Table5211176815222934374146515891623323742[[#This Row],[VỐN CP]]</f>
        <v>15868628.9658492</v>
      </c>
      <c r="K15" s="25" t="s">
        <v>37</v>
      </c>
      <c r="L15" s="21">
        <f t="shared" si="0"/>
        <v>41333333.333333328</v>
      </c>
      <c r="M15" s="39">
        <f>SUMIF('Tháng 7 nhà T '!$B$4:$B$154,K15,'Tháng 7 nhà T '!$E$4:$E$154)</f>
        <v>16111169.766666669</v>
      </c>
      <c r="N15" s="39">
        <f>SUMIF('Tháng 7 nhà T '!$B$4:$B$154,K15,'Tháng 7 nhà T '!$F$4:$F$154)</f>
        <v>9495366.2958081532</v>
      </c>
      <c r="O15" s="40">
        <f>SUMIF('Tháng 7 nhà T '!$B$4:$B$154,K15,'Tháng 7 nhà T '!$G$4:$G$154)</f>
        <v>50828699.62914148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1700676.9</v>
      </c>
      <c r="F16" s="11">
        <v>175430.78938126488</v>
      </c>
      <c r="G16" s="12">
        <f>Table5211176815222934374146515891623323742[[#This Row],[LỢI NHUẬN RÒNG]]+Table5211176815222934374146515891623323742[[#This Row],[VỐN CP]]</f>
        <v>8125430.7893812647</v>
      </c>
      <c r="K16" s="36" t="s">
        <v>25</v>
      </c>
      <c r="L16" s="21">
        <f t="shared" si="0"/>
        <v>2750000</v>
      </c>
      <c r="M16" s="41">
        <f>SUMIF('Tháng 7 nhà T '!$B$4:$B$154,K16,'Tháng 7 nhà T '!$E$4:$E$154)</f>
        <v>764143.35</v>
      </c>
      <c r="N16" s="41">
        <f>SUMIF('Tháng 7 nhà T '!$B$4:$B$154,K16,'Tháng 7 nhà T '!$F$4:$F$154)</f>
        <v>397109.10766063037</v>
      </c>
      <c r="O16" s="42">
        <f>SUMIF('Tháng 7 nhà T '!$B$4:$B$154,K16,'Tháng 7 nhà T '!$G$4:$G$154)</f>
        <v>3147109.1076606303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1700676.9</v>
      </c>
      <c r="F17" s="11">
        <v>175430.78938126488</v>
      </c>
      <c r="G17" s="12">
        <f>Table5211176815222934374146515891623323742[[#This Row],[LỢI NHUẬN RÒNG]]+Table5211176815222934374146515891623323742[[#This Row],[VỐN CP]]</f>
        <v>8125430.7893812647</v>
      </c>
      <c r="K17" s="25" t="s">
        <v>47</v>
      </c>
      <c r="L17" s="21">
        <f>SUM(L2:L16)</f>
        <v>1470416666.6666667</v>
      </c>
      <c r="M17" s="21">
        <f>SUM(M2:M16)</f>
        <v>586528835.99999988</v>
      </c>
      <c r="N17" s="21">
        <f>SUM(N2:N16)</f>
        <v>347546005.28878731</v>
      </c>
      <c r="O17" s="21">
        <f>SUM(O2:O16)</f>
        <v>1817962671.9554541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566892.30000000005</v>
      </c>
      <c r="F18" s="11">
        <v>58476.929793754964</v>
      </c>
      <c r="G18" s="12">
        <f>Table5211176815222934374146515891623323742[[#This Row],[LỢI NHUẬN RÒNG]]+Table5211176815222934374146515891623323742[[#This Row],[VỐN CP]]</f>
        <v>2708476.9297937551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1133784.6000000001</v>
      </c>
      <c r="F19" s="11">
        <v>116953.85958750993</v>
      </c>
      <c r="G19" s="12">
        <f>Table5211176815222934374146515891623323742[[#This Row],[LỢI NHUẬN RÒNG]]+Table5211176815222934374146515891623323742[[#This Row],[VỐN CP]]</f>
        <v>5416953.8595875101</v>
      </c>
    </row>
    <row r="20" spans="1:15" ht="15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566892.30000000005</v>
      </c>
      <c r="F20" s="11">
        <v>58476.929793754964</v>
      </c>
      <c r="G20" s="12">
        <f>Table5211176815222934374146515891623323742[[#This Row],[LỢI NHUẬN RÒNG]]+Table5211176815222934374146515891623323742[[#This Row],[VỐN CP]]</f>
        <v>2708476.9297937551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13750000</v>
      </c>
      <c r="E21" s="11">
        <v>3820716.75</v>
      </c>
      <c r="F21" s="11">
        <v>1985545.5383031517</v>
      </c>
      <c r="G21" s="12">
        <f>Table5211176815222934374146515891623323742[[#This Row],[LỢI NHUẬN RÒNG]]+Table5211176815222934374146515891623323742[[#This Row],[VỐN CP]]</f>
        <v>15735545.538303152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13750000</v>
      </c>
      <c r="E22" s="11">
        <v>3820716.75</v>
      </c>
      <c r="F22" s="11">
        <v>1985545.5383031517</v>
      </c>
      <c r="G22" s="12">
        <f>Table5211176815222934374146515891623323742[[#This Row],[LỢI NHUẬN RÒNG]]+Table5211176815222934374146515891623323742[[#This Row],[VỐN CP]]</f>
        <v>15735545.538303152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2750000</v>
      </c>
      <c r="E23" s="11">
        <v>764143.35</v>
      </c>
      <c r="F23" s="11">
        <v>397109.10766063037</v>
      </c>
      <c r="G23" s="12">
        <f>Table5211176815222934374146515891623323742[[#This Row],[LỢI NHUẬN RÒNG]]+Table5211176815222934374146515891623323742[[#This Row],[VỐN CP]]</f>
        <v>3147109.1076606303</v>
      </c>
    </row>
    <row r="24" spans="1:15" ht="15" customHeight="1" x14ac:dyDescent="0.3">
      <c r="A24" s="10" t="s">
        <v>93</v>
      </c>
      <c r="B24" s="11" t="s">
        <v>33</v>
      </c>
      <c r="C24" s="11">
        <v>5</v>
      </c>
      <c r="D24" s="11">
        <v>2750000</v>
      </c>
      <c r="E24" s="11">
        <v>764143.35</v>
      </c>
      <c r="F24" s="11">
        <v>397109.10766063037</v>
      </c>
      <c r="G24" s="12">
        <f>Table5211176815222934374146515891623323742[[#This Row],[LỢI NHUẬN RÒNG]]+Table5211176815222934374146515891623323742[[#This Row],[VỐN CP]]</f>
        <v>3147109.1076606303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11000000</v>
      </c>
      <c r="E25" s="11">
        <v>3056573.4</v>
      </c>
      <c r="F25" s="11">
        <v>1588436.4306425215</v>
      </c>
      <c r="G25" s="12">
        <f>Table5211176815222934374146515891623323742[[#This Row],[LỢI NHUẬN RÒNG]]+Table5211176815222934374146515891623323742[[#This Row],[VỐN CP]]</f>
        <v>12588436.430642521</v>
      </c>
    </row>
    <row r="26" spans="1:15" ht="15" hidden="1" customHeight="1" x14ac:dyDescent="0.3">
      <c r="A26" s="10" t="s">
        <v>93</v>
      </c>
      <c r="B26" s="11" t="s">
        <v>31</v>
      </c>
      <c r="C26" s="11">
        <v>10</v>
      </c>
      <c r="D26" s="11">
        <v>5500000</v>
      </c>
      <c r="E26" s="11">
        <v>1528286.7</v>
      </c>
      <c r="F26" s="11">
        <v>794218.21532126074</v>
      </c>
      <c r="G26" s="12">
        <f>Table5211176815222934374146515891623323742[[#This Row],[LỢI NHUẬN RÒNG]]+Table5211176815222934374146515891623323742[[#This Row],[VỐN CP]]</f>
        <v>6294218.2153212605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20458600.399999999</v>
      </c>
      <c r="F27" s="11">
        <v>12697035.097249685</v>
      </c>
      <c r="G27" s="12">
        <f>Table5211176815222934374146515891623323742[[#This Row],[LỢI NHUẬN RÒNG]]+Table5211176815222934374146515891623323742[[#This Row],[VỐN CP]]</f>
        <v>57934535.097249687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23381257.600000001</v>
      </c>
      <c r="F28" s="11">
        <v>14510897.253999639</v>
      </c>
      <c r="G28" s="12">
        <f>Table5211176815222934374146515891623323742[[#This Row],[LỢI NHUẬN RÒNG]]+Table5211176815222934374146515891623323742[[#This Row],[VỐN CP]]</f>
        <v>66210897.253999636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5845314.4000000004</v>
      </c>
      <c r="F29" s="11">
        <v>3627724.3134999098</v>
      </c>
      <c r="G29" s="12">
        <f>Table5211176815222934374146515891623323742[[#This Row],[LỢI NHUẬN RÒNG]]+Table5211176815222934374146515891623323742[[#This Row],[VỐN CP]]</f>
        <v>16552724.313499909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5845314.4000000004</v>
      </c>
      <c r="F30" s="11">
        <v>3627724.3134999098</v>
      </c>
      <c r="G30" s="12">
        <f>Table5211176815222934374146515891623323742[[#This Row],[LỢI NHUẬN RÒNG]]+Table5211176815222934374146515891623323742[[#This Row],[VỐN CP]]</f>
        <v>16552724.313499909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2768372.95</v>
      </c>
      <c r="F31" s="11">
        <v>1711928.8977524794</v>
      </c>
      <c r="G31" s="12">
        <f>Table5211176815222934374146515891623323742[[#This Row],[LỢI NHUẬN RÒNG]]+Table5211176815222934374146515891623323742[[#This Row],[VỐN CP]]</f>
        <v>10811928.897752479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2768372.95</v>
      </c>
      <c r="F32" s="11">
        <v>1711928.8977524794</v>
      </c>
      <c r="G32" s="12">
        <f>Table5211176815222934374146515891623323742[[#This Row],[LỢI NHUẬN RÒNG]]+Table5211176815222934374146515891623323742[[#This Row],[VỐN CP]]</f>
        <v>10811928.897752479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1581927.4</v>
      </c>
      <c r="F33" s="11">
        <v>978245.08442998829</v>
      </c>
      <c r="G33" s="12">
        <f>Table5211176815222934374146515891623323742[[#This Row],[LỢI NHUẬN RÒNG]]+Table5211176815222934374146515891623323742[[#This Row],[VỐN CP]]</f>
        <v>6178245.0844299886</v>
      </c>
    </row>
    <row r="34" spans="1:7" ht="15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790963.7</v>
      </c>
      <c r="F34" s="11">
        <v>489122.54221499414</v>
      </c>
      <c r="G34" s="12">
        <f>Table5211176815222934374146515891623323742[[#This Row],[LỢI NHUẬN RÒNG]]+Table5211176815222934374146515891623323742[[#This Row],[VỐN CP]]</f>
        <v>3089122.5422149943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3479806.75</v>
      </c>
      <c r="F35" s="11">
        <v>2378018.4872261616</v>
      </c>
      <c r="G35" s="12">
        <f>Table5211176815222934374146515891623323742[[#This Row],[LỢI NHUẬN RÒNG]]+Table5211176815222934374146515891623323742[[#This Row],[VỐN CP]]</f>
        <v>11478018.487226162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3479806.75</v>
      </c>
      <c r="F36" s="11">
        <v>2378018.4872261616</v>
      </c>
      <c r="G36" s="12">
        <f>Table5211176815222934374146515891623323742[[#This Row],[LỢI NHUẬN RÒNG]]+Table5211176815222934374146515891623323742[[#This Row],[VỐN CP]]</f>
        <v>11478018.487226162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1988461</v>
      </c>
      <c r="F37" s="11">
        <v>1358867.7069863782</v>
      </c>
      <c r="G37" s="12">
        <f>Table5211176815222934374146515891623323742[[#This Row],[LỢI NHUẬN RÒNG]]+Table5211176815222934374146515891623323742[[#This Row],[VỐN CP]]</f>
        <v>6558867.7069863779</v>
      </c>
    </row>
    <row r="38" spans="1:7" ht="15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994230.5</v>
      </c>
      <c r="F38" s="11">
        <v>679433.85349318909</v>
      </c>
      <c r="G38" s="12">
        <f>Table5211176815222934374146515891623323742[[#This Row],[LỢI NHUẬN RÒNG]]+Table5211176815222934374146515891623323742[[#This Row],[VỐN CP]]</f>
        <v>3279433.853493189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3037451.2</v>
      </c>
      <c r="F39" s="11">
        <v>1596967.5914676175</v>
      </c>
      <c r="G39" s="12">
        <f>Table5211176815222934374146515891623323742[[#This Row],[LỢI NHUẬN RÒNG]]+Table5211176815222934374146515891623323742[[#This Row],[VỐN CP]]</f>
        <v>6396967.5914676171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4556176.8</v>
      </c>
      <c r="F40" s="11">
        <v>2395451.3872014261</v>
      </c>
      <c r="G40" s="12">
        <f>Table5211176815222934374146515891623323742[[#This Row],[LỢI NHUẬN RÒNG]]+Table5211176815222934374146515891623323742[[#This Row],[VỐN CP]]</f>
        <v>9595451.3872014266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4556176.8</v>
      </c>
      <c r="F41" s="11">
        <v>2395451.3872014261</v>
      </c>
      <c r="G41" s="12">
        <f>Table5211176815222934374146515891623323742[[#This Row],[LỢI NHUẬN RÒNG]]+Table5211176815222934374146515891623323742[[#This Row],[VỐN CP]]</f>
        <v>9595451.3872014266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3037451.2</v>
      </c>
      <c r="F42" s="11">
        <v>1596967.5914676175</v>
      </c>
      <c r="G42" s="12">
        <f>Table5211176815222934374146515891623323742[[#This Row],[LỢI NHUẬN RÒNG]]+Table5211176815222934374146515891623323742[[#This Row],[VỐN CP]]</f>
        <v>6396967.5914676171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2293009.2000000002</v>
      </c>
      <c r="F43" s="11">
        <v>1322779.8868595555</v>
      </c>
      <c r="G43" s="12">
        <f>Table5211176815222934374146515891623323742[[#This Row],[LỢI NHUẬN RÒNG]]+Table5211176815222934374146515891623323742[[#This Row],[VỐN CP]]</f>
        <v>5122779.8868595557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2866261.5</v>
      </c>
      <c r="F44" s="11">
        <v>1653474.8585744444</v>
      </c>
      <c r="G44" s="12">
        <f>Table5211176815222934374146515891623323742[[#This Row],[LỢI NHUẬN RÒNG]]+Table5211176815222934374146515891623323742[[#This Row],[VỐN CP]]</f>
        <v>6653474.8585744444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2866261.5</v>
      </c>
      <c r="F45" s="11">
        <v>1653474.8585744444</v>
      </c>
      <c r="G45" s="12">
        <f>Table5211176815222934374146515891623323742[[#This Row],[LỢI NHUẬN RÒNG]]+Table5211176815222934374146515891623323742[[#This Row],[VỐN CP]]</f>
        <v>6653474.8585744444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3439513.8</v>
      </c>
      <c r="F46" s="11">
        <v>1984169.8302893334</v>
      </c>
      <c r="G46" s="12">
        <f>Table5211176815222934374146515891623323742[[#This Row],[LỢI NHUẬN RÒNG]]+Table5211176815222934374146515891623323742[[#This Row],[VỐN CP]]</f>
        <v>7684169.8302893331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1412749.8</v>
      </c>
      <c r="F47" s="11">
        <v>752665.25488764199</v>
      </c>
      <c r="G47" s="12">
        <f>Table5211176815222934374146515891623323742[[#This Row],[LỢI NHUẬN RÒNG]]+Table5211176815222934374146515891623323742[[#This Row],[VỐN CP]]</f>
        <v>6152665.2548876423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2119124.7000000002</v>
      </c>
      <c r="F48" s="11">
        <v>1128997.882331463</v>
      </c>
      <c r="G48" s="12">
        <f>Table5211176815222934374146515891623323742[[#This Row],[LỢI NHUẬN RÒNG]]+Table5211176815222934374146515891623323742[[#This Row],[VỐN CP]]</f>
        <v>9228997.8823314626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2119124.7000000002</v>
      </c>
      <c r="F49" s="11">
        <v>1128997.882331463</v>
      </c>
      <c r="G49" s="12">
        <f>Table5211176815222934374146515891623323742[[#This Row],[LỢI NHUẬN RÒNG]]+Table5211176815222934374146515891623323742[[#This Row],[VỐN CP]]</f>
        <v>9228997.8823314626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1412749.8</v>
      </c>
      <c r="F50" s="11">
        <v>752665.25488764199</v>
      </c>
      <c r="G50" s="12">
        <f>Table5211176815222934374146515891623323742[[#This Row],[LỢI NHUẬN RÒNG]]+Table5211176815222934374146515891623323742[[#This Row],[VỐN CP]]</f>
        <v>6152665.2548876423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2988182.6</v>
      </c>
      <c r="F51" s="11">
        <v>1555513.1207324415</v>
      </c>
      <c r="G51" s="12">
        <f>Table5211176815222934374146515891623323742[[#This Row],[LỢI NHUẬN RÒNG]]+Table5211176815222934374146515891623323742[[#This Row],[VỐN CP]]</f>
        <v>8155513.1207324415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4482273.9000000004</v>
      </c>
      <c r="F52" s="11">
        <v>2333269.6810986623</v>
      </c>
      <c r="G52" s="12">
        <f>Table5211176815222934374146515891623323742[[#This Row],[LỢI NHUẬN RÒNG]]+Table5211176815222934374146515891623323742[[#This Row],[VỐN CP]]</f>
        <v>12233269.681098662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4482273.9000000004</v>
      </c>
      <c r="F53" s="11">
        <v>2333269.6810986623</v>
      </c>
      <c r="G53" s="12">
        <f>Table5211176815222934374146515891623323742[[#This Row],[LỢI NHUẬN RÒNG]]+Table5211176815222934374146515891623323742[[#This Row],[VỐN CP]]</f>
        <v>12233269.681098662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2988182.6</v>
      </c>
      <c r="F54" s="11">
        <v>1555513.1207324415</v>
      </c>
      <c r="G54" s="12">
        <f>Table5211176815222934374146515891623323742[[#This Row],[LỢI NHUẬN RÒNG]]+Table5211176815222934374146515891623323742[[#This Row],[VỐN CP]]</f>
        <v>8155513.1207324415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7113767.0999999996</v>
      </c>
      <c r="F55" s="11">
        <v>5029538.3961448791</v>
      </c>
      <c r="G55" s="12">
        <f>Table5211176815222934374146515891623323742[[#This Row],[LỢI NHUẬN RÒNG]]+Table5211176815222934374146515891623323742[[#This Row],[VỐN CP]]</f>
        <v>19279538.396144878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5928139.25</v>
      </c>
      <c r="F56" s="11">
        <v>4191281.9967873991</v>
      </c>
      <c r="G56" s="12">
        <f>Table5211176815222934374146515891623323742[[#This Row],[LỢI NHUẬN RÒNG]]+Table5211176815222934374146515891623323742[[#This Row],[VỐN CP]]</f>
        <v>16066281.996787399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5928139.25</v>
      </c>
      <c r="F57" s="11">
        <v>4191281.9967873991</v>
      </c>
      <c r="G57" s="12">
        <f>Table5211176815222934374146515891623323742[[#This Row],[LỢI NHUẬN RÒNG]]+Table5211176815222934374146515891623323742[[#This Row],[VỐN CP]]</f>
        <v>16066281.996787399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4742511.4000000004</v>
      </c>
      <c r="F58" s="11">
        <v>3353025.5974299191</v>
      </c>
      <c r="G58" s="12">
        <f>Table5211176815222934374146515891623323742[[#This Row],[LỢI NHUẬN RÒNG]]+Table5211176815222934374146515891623323742[[#This Row],[VỐN CP]]</f>
        <v>12853025.59742992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4992077.4000000004</v>
      </c>
      <c r="F59" s="11">
        <v>2769809.8797739954</v>
      </c>
      <c r="G59" s="12">
        <f>Table5211176815222934374146515891623323742[[#This Row],[LỢI NHUẬN RÒNG]]+Table5211176815222934374146515891623323742[[#This Row],[VỐN CP]]</f>
        <v>22719809.879773997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4160064.5</v>
      </c>
      <c r="F60" s="11">
        <v>2308174.8998116627</v>
      </c>
      <c r="G60" s="12">
        <f>Table5211176815222934374146515891623323742[[#This Row],[LỢI NHUẬN RÒNG]]+Table5211176815222934374146515891623323742[[#This Row],[VỐN CP]]</f>
        <v>18933174.899811663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4160064.5</v>
      </c>
      <c r="F61" s="11">
        <v>2308174.8998116627</v>
      </c>
      <c r="G61" s="12">
        <f>Table5211176815222934374146515891623323742[[#This Row],[LỢI NHUẬN RÒNG]]+Table5211176815222934374146515891623323742[[#This Row],[VỐN CP]]</f>
        <v>18933174.899811663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3328051.6</v>
      </c>
      <c r="F62" s="11">
        <v>1846539.9198493301</v>
      </c>
      <c r="G62" s="12">
        <f>Table5211176815222934374146515891623323742[[#This Row],[LỢI NHUẬN RÒNG]]+Table5211176815222934374146515891623323742[[#This Row],[VỐN CP]]</f>
        <v>15146539.919849331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2075289</v>
      </c>
      <c r="F63" s="11">
        <v>954277.33390391245</v>
      </c>
      <c r="G63" s="12">
        <f>Table5211176815222934374146515891623323742[[#This Row],[LỢI NHUẬN RÒNG]]+Table5211176815222934374146515891623323742[[#This Row],[VỐN CP]]</f>
        <v>8454277.3339039125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2075289</v>
      </c>
      <c r="F64" s="11">
        <v>954277.33390391245</v>
      </c>
      <c r="G64" s="12">
        <f>Table5211176815222934374146515891623323742[[#This Row],[LỢI NHUẬN RÒNG]]+Table5211176815222934374146515891623323742[[#This Row],[VỐN CP]]</f>
        <v>8454277.3339039125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4150578</v>
      </c>
      <c r="F65" s="11">
        <v>1908554.6678078249</v>
      </c>
      <c r="G65" s="12">
        <f>Table5211176815222934374146515891623323742[[#This Row],[LỢI NHUẬN RÒNG]]+Table5211176815222934374146515891623323742[[#This Row],[VỐN CP]]</f>
        <v>16908554.667807825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5937947</v>
      </c>
      <c r="F66" s="11">
        <v>3857754.6691716909</v>
      </c>
      <c r="G66" s="12">
        <f>Table5211176815222934374146515891623323742[[#This Row],[LỢI NHUẬN RÒNG]]+Table5211176815222934374146515891623323742[[#This Row],[VỐN CP]]</f>
        <v>13857754.669171691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5937947</v>
      </c>
      <c r="F67" s="11">
        <v>3857754.6691716909</v>
      </c>
      <c r="G67" s="12">
        <f>Table5211176815222934374146515891623323742[[#This Row],[LỢI NHUẬN RÒNG]]+Table5211176815222934374146515891623323742[[#This Row],[VỐN CP]]</f>
        <v>13857754.669171691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11875894</v>
      </c>
      <c r="F68" s="11">
        <v>7715509.3383433819</v>
      </c>
      <c r="G68" s="12">
        <f>Table5211176815222934374146515891623323742[[#This Row],[LỢI NHUẬN RÒNG]]+Table5211176815222934374146515891623323742[[#This Row],[VỐN CP]]</f>
        <v>27715509.338343382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3887198</v>
      </c>
      <c r="F69" s="11">
        <v>2587078.0016107066</v>
      </c>
      <c r="G69" s="12">
        <f>Table5211176815222934374146515891623323742[[#This Row],[LỢI NHUẬN RÒNG]]+Table5211176815222934374146515891623323742[[#This Row],[VỐN CP]]</f>
        <v>13437078.001610707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3887198</v>
      </c>
      <c r="F70" s="11">
        <v>2587078.0016107066</v>
      </c>
      <c r="G70" s="12">
        <f>Table5211176815222934374146515891623323742[[#This Row],[LỢI NHUẬN RÒNG]]+Table5211176815222934374146515891623323742[[#This Row],[VỐN CP]]</f>
        <v>13437078.001610707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2221256</v>
      </c>
      <c r="F71" s="11">
        <v>1478330.2866346897</v>
      </c>
      <c r="G71" s="12">
        <f>Table5211176815222934374146515891623323742[[#This Row],[LỢI NHUẬN RÒNG]]+Table5211176815222934374146515891623323742[[#This Row],[VỐN CP]]</f>
        <v>7678330.2866346892</v>
      </c>
    </row>
    <row r="72" spans="1:7" ht="15" hidden="1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1110628</v>
      </c>
      <c r="F72" s="11">
        <v>739165.14331734483</v>
      </c>
      <c r="G72" s="12">
        <f>Table5211176815222934374146515891623323742[[#This Row],[LỢI NHUẬN RÒNG]]+Table5211176815222934374146515891623323742[[#This Row],[VỐN CP]]</f>
        <v>3839165.1433173446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4809154.5999999996</v>
      </c>
      <c r="F73" s="11">
        <v>3332614.3720093579</v>
      </c>
      <c r="G73" s="12">
        <f>Table5211176815222934374146515891623323742[[#This Row],[LỢI NHUẬN RÒNG]]+Table5211176815222934374146515891623323742[[#This Row],[VỐN CP]]</f>
        <v>8132614.3720093574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4809154.5999999996</v>
      </c>
      <c r="F74" s="11">
        <v>3332614.3720093579</v>
      </c>
      <c r="G74" s="12">
        <f>Table5211176815222934374146515891623323742[[#This Row],[LỢI NHUẬN RÒNG]]+Table5211176815222934374146515891623323742[[#This Row],[VỐN CP]]</f>
        <v>8132614.3720093574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12022886.5</v>
      </c>
      <c r="F75" s="11">
        <v>8331535.9300233945</v>
      </c>
      <c r="G75" s="12">
        <f>Table5211176815222934374146515891623323742[[#This Row],[LỢI NHUẬN RÒNG]]+Table5211176815222934374146515891623323742[[#This Row],[VỐN CP]]</f>
        <v>20331535.930023395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2404577.2999999998</v>
      </c>
      <c r="F76" s="11">
        <v>1666307.186004679</v>
      </c>
      <c r="G76" s="12">
        <f>Table5211176815222934374146515891623323742[[#This Row],[LỢI NHUẬN RÒNG]]+Table5211176815222934374146515891623323742[[#This Row],[VỐN CP]]</f>
        <v>4066307.1860046787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7010546.7333333353</v>
      </c>
      <c r="F77" s="11">
        <v>5170477.0832517892</v>
      </c>
      <c r="G77" s="12">
        <f>Table5211176815222934374146515891623323742[[#This Row],[LỢI NHUẬN RÒNG]]+Table5211176815222934374146515891623323742[[#This Row],[VỐN CP]]</f>
        <v>17170477.083251789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7010546.7333333353</v>
      </c>
      <c r="F78" s="11">
        <v>5170477.0832517892</v>
      </c>
      <c r="G78" s="12">
        <f>Table5211176815222934374146515891623323742[[#This Row],[LỢI NHUẬN RÒNG]]+Table5211176815222934374146515891623323742[[#This Row],[VỐN CP]]</f>
        <v>17170477.083251789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17526366.833333336</v>
      </c>
      <c r="F79" s="11">
        <v>12926192.708129473</v>
      </c>
      <c r="G79" s="12">
        <f>Table5211176815222934374146515891623323742[[#This Row],[LỢI NHUẬN RÒNG]]+Table5211176815222934374146515891623323742[[#This Row],[VỐN CP]]</f>
        <v>42926192.708129473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3505273.3666666676</v>
      </c>
      <c r="F80" s="11">
        <v>2585238.5416258946</v>
      </c>
      <c r="G80" s="12">
        <f>Table5211176815222934374146515891623323742[[#This Row],[LỢI NHUẬN RÒNG]]+Table5211176815222934374146515891623323742[[#This Row],[VỐN CP]]</f>
        <v>8585238.5416258946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3512415.2</v>
      </c>
      <c r="F81" s="11">
        <v>2315120.5096425903</v>
      </c>
      <c r="G81" s="12">
        <f>Table5211176815222934374146515891623323742[[#This Row],[LỢI NHUẬN RÒNG]]+Table5211176815222934374146515891623323742[[#This Row],[VỐN CP]]</f>
        <v>10505120.50964259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3512415.2</v>
      </c>
      <c r="F82" s="11">
        <v>2315120.5096425903</v>
      </c>
      <c r="G82" s="12">
        <f>Table5211176815222934374146515891623323742[[#This Row],[LỢI NHUẬN RÒNG]]+Table5211176815222934374146515891623323742[[#This Row],[VỐN CP]]</f>
        <v>10505120.50964259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3010641.6</v>
      </c>
      <c r="F83" s="11">
        <v>1984389.0082650774</v>
      </c>
      <c r="G83" s="12">
        <f>Table5211176815222934374146515891623323742[[#This Row],[LỢI NHUẬN RÒNG]]+Table5211176815222934374146515891623323742[[#This Row],[VỐN CP]]</f>
        <v>9004389.0082650781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5256625.8</v>
      </c>
      <c r="F84" s="11">
        <v>4120748.0530041442</v>
      </c>
      <c r="G84" s="12">
        <f>Table5211176815222934374146515891623323742[[#This Row],[LỢI NHUẬN RÒNG]]+Table5211176815222934374146515891623323742[[#This Row],[VỐN CP]]</f>
        <v>11620748.053004144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5256625.8</v>
      </c>
      <c r="F85" s="11">
        <v>4120748.0530041442</v>
      </c>
      <c r="G85" s="12">
        <f>Table5211176815222934374146515891623323742[[#This Row],[LỢI NHUẬN RÒNG]]+Table5211176815222934374146515891623323742[[#This Row],[VỐN CP]]</f>
        <v>11620748.053004144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2628312.9</v>
      </c>
      <c r="F86" s="11">
        <v>2060374.0265020721</v>
      </c>
      <c r="G86" s="12">
        <f>Table5211176815222934374146515891623323742[[#This Row],[LỢI NHUẬN RÒNG]]+Table5211176815222934374146515891623323742[[#This Row],[VỐN CP]]</f>
        <v>5810374.0265020719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4380521.5</v>
      </c>
      <c r="F87" s="11">
        <v>3433956.7108367868</v>
      </c>
      <c r="G87" s="12">
        <f>Table5211176815222934374146515891623323742[[#This Row],[LỢI NHUẬN RÒNG]]+Table5211176815222934374146515891623323742[[#This Row],[VỐN CP]]</f>
        <v>9683956.7108367868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34500000</v>
      </c>
      <c r="E88" s="11">
        <v>14397182.699999999</v>
      </c>
      <c r="F88" s="11">
        <v>7211114.3288090583</v>
      </c>
      <c r="G88" s="12">
        <f>Table5211176815222934374146515891623323742[[#This Row],[LỢI NHUẬN RÒNG]]+Table5211176815222934374146515891623323742[[#This Row],[VỐN CP]]</f>
        <v>41711114.32880906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28750000</v>
      </c>
      <c r="E89" s="11">
        <v>11997652.25</v>
      </c>
      <c r="F89" s="11">
        <v>6009261.9406742156</v>
      </c>
      <c r="G89" s="12">
        <f>Table5211176815222934374146515891623323742[[#This Row],[LỢI NHUẬN RÒNG]]+Table5211176815222934374146515891623323742[[#This Row],[VỐN CP]]</f>
        <v>34759261.940674216</v>
      </c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17250000</v>
      </c>
      <c r="E90" s="11">
        <v>7198591.3499999996</v>
      </c>
      <c r="F90" s="11">
        <v>3605557.1644045291</v>
      </c>
      <c r="G90" s="12">
        <f>Table5211176815222934374146515891623323742[[#This Row],[LỢI NHUẬN RÒNG]]+Table5211176815222934374146515891623323742[[#This Row],[VỐN CP]]</f>
        <v>20855557.16440453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23000000</v>
      </c>
      <c r="E91" s="11">
        <v>9598121.8000000007</v>
      </c>
      <c r="F91" s="11">
        <v>4807409.5525393728</v>
      </c>
      <c r="G91" s="12">
        <f>Table5211176815222934374146515891623323742[[#This Row],[LỢI NHUẬN RÒNG]]+Table5211176815222934374146515891623323742[[#This Row],[VỐN CP]]</f>
        <v>27807409.552539371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11500000</v>
      </c>
      <c r="E92" s="11">
        <v>4799060.9000000004</v>
      </c>
      <c r="F92" s="11">
        <v>2403704.7762696864</v>
      </c>
      <c r="G92" s="12">
        <f>Table5211176815222934374146515891623323742[[#This Row],[LỢI NHUẬN RÒNG]]+Table5211176815222934374146515891623323742[[#This Row],[VỐN CP]]</f>
        <v>13903704.776269685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1632671.75</v>
      </c>
      <c r="F93" s="11">
        <v>318240.52144768089</v>
      </c>
      <c r="G93" s="12">
        <f>Table5211176815222934374146515891623323742[[#This Row],[LỢI NHUẬN RÒNG]]+Table5211176815222934374146515891623323742[[#This Row],[VỐN CP]]</f>
        <v>12818240.521447681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1632671.75</v>
      </c>
      <c r="F94" s="11">
        <v>318240.52144768089</v>
      </c>
      <c r="G94" s="12">
        <f>Table5211176815222934374146515891623323742[[#This Row],[LỢI NHUẬN RÒNG]]+Table5211176815222934374146515891623323742[[#This Row],[VỐN CP]]</f>
        <v>12818240.521447681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653068.69999999995</v>
      </c>
      <c r="F95" s="11">
        <v>127296.20857907235</v>
      </c>
      <c r="G95" s="12">
        <f>Table5211176815222934374146515891623323742[[#This Row],[LỢI NHUẬN RÒNG]]+Table5211176815222934374146515891623323742[[#This Row],[VỐN CP]]</f>
        <v>5127296.2085790727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2612274.7999999998</v>
      </c>
      <c r="F96" s="11">
        <v>509184.8343162894</v>
      </c>
      <c r="G96" s="12">
        <f>Table5211176815222934374146515891623323742[[#This Row],[LỢI NHUẬN RÒNG]]+Table5211176815222934374146515891623323742[[#This Row],[VỐN CP]]</f>
        <v>20509184.834316291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12500000</v>
      </c>
      <c r="E97" s="11">
        <v>6058090.25</v>
      </c>
      <c r="F97" s="11">
        <v>4238805.155724559</v>
      </c>
      <c r="G97" s="12">
        <f>Table5211176815222934374146515891623323742[[#This Row],[LỢI NHUẬN RÒNG]]+Table5211176815222934374146515891623323742[[#This Row],[VỐN CP]]</f>
        <v>16738805.155724559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5000000</v>
      </c>
      <c r="E98" s="11">
        <v>2423236.1</v>
      </c>
      <c r="F98" s="11">
        <v>1695522.0622898235</v>
      </c>
      <c r="G98" s="12">
        <f>Table5211176815222934374146515891623323742[[#This Row],[LỢI NHUẬN RÒNG]]+Table5211176815222934374146515891623323742[[#This Row],[VỐN CP]]</f>
        <v>6695522.0622898238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12500000</v>
      </c>
      <c r="E99" s="11">
        <v>6058090.25</v>
      </c>
      <c r="F99" s="11">
        <v>4238805.155724559</v>
      </c>
      <c r="G99" s="12">
        <f>Table5211176815222934374146515891623323742[[#This Row],[LỢI NHUẬN RÒNG]]+Table5211176815222934374146515891623323742[[#This Row],[VỐN CP]]</f>
        <v>16738805.155724559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10000000</v>
      </c>
      <c r="E100" s="11">
        <v>4846472.2</v>
      </c>
      <c r="F100" s="11">
        <v>3391044.1245796471</v>
      </c>
      <c r="G100" s="12">
        <f>Table5211176815222934374146515891623323742[[#This Row],[LỢI NHUẬN RÒNG]]+Table5211176815222934374146515891623323742[[#This Row],[VỐN CP]]</f>
        <v>13391044.124579648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10000000</v>
      </c>
      <c r="E101" s="11">
        <v>4846472.2</v>
      </c>
      <c r="F101" s="11">
        <v>3391044.1245796471</v>
      </c>
      <c r="G101" s="12">
        <f>Table5211176815222934374146515891623323742[[#This Row],[LỢI NHUẬN RÒNG]]+Table5211176815222934374146515891623323742[[#This Row],[VỐN CP]]</f>
        <v>13391044.124579648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17400000</v>
      </c>
      <c r="E102" s="11">
        <v>3972257</v>
      </c>
      <c r="F102" s="11">
        <v>1864015.1731089985</v>
      </c>
      <c r="G102" s="12">
        <f>Table5211176815222934374146515891623323742[[#This Row],[LỢI NHUẬN RÒNG]]+Table5211176815222934374146515891623323742[[#This Row],[VỐN CP]]</f>
        <v>19264015.173108999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17400000</v>
      </c>
      <c r="E103" s="11">
        <v>3972257</v>
      </c>
      <c r="F103" s="11">
        <v>1864015.1731089985</v>
      </c>
      <c r="G103" s="12">
        <f>Table5211176815222934374146515891623323742[[#This Row],[LỢI NHUẬN RÒNG]]+Table5211176815222934374146515891623323742[[#This Row],[VỐN CP]]</f>
        <v>19264015.173108999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13920000</v>
      </c>
      <c r="E104" s="11">
        <v>3177805.6</v>
      </c>
      <c r="F104" s="11">
        <v>1491212.1384871989</v>
      </c>
      <c r="G104" s="12">
        <f>Table5211176815222934374146515891623323742[[#This Row],[LỢI NHUẬN RÒNG]]+Table5211176815222934374146515891623323742[[#This Row],[VỐN CP]]</f>
        <v>15411212.138487199</v>
      </c>
    </row>
    <row r="105" spans="1:7" ht="15" hidden="1" customHeight="1" x14ac:dyDescent="0.3">
      <c r="A105" s="10" t="s">
        <v>114</v>
      </c>
      <c r="B105" s="11" t="s">
        <v>31</v>
      </c>
      <c r="C105" s="11">
        <v>20</v>
      </c>
      <c r="D105" s="11">
        <v>13920000</v>
      </c>
      <c r="E105" s="11">
        <v>3177805.6</v>
      </c>
      <c r="F105" s="11">
        <v>1491212.1384871989</v>
      </c>
      <c r="G105" s="12">
        <f>Table5211176815222934374146515891623323742[[#This Row],[LỢI NHUẬN RÒNG]]+Table5211176815222934374146515891623323742[[#This Row],[VỐN CP]]</f>
        <v>15411212.138487199</v>
      </c>
    </row>
    <row r="106" spans="1:7" ht="15" customHeight="1" x14ac:dyDescent="0.3">
      <c r="A106" s="10" t="s">
        <v>114</v>
      </c>
      <c r="B106" s="11" t="s">
        <v>33</v>
      </c>
      <c r="C106" s="11">
        <v>10</v>
      </c>
      <c r="D106" s="11">
        <v>6960000</v>
      </c>
      <c r="E106" s="11">
        <v>1588902.8</v>
      </c>
      <c r="F106" s="11">
        <v>745606.06924359943</v>
      </c>
      <c r="G106" s="12">
        <f>Table5211176815222934374146515891623323742[[#This Row],[LỢI NHUẬN RÒNG]]+Table5211176815222934374146515891623323742[[#This Row],[VỐN CP]]</f>
        <v>7705606.0692435997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14205143.75</v>
      </c>
      <c r="F107" s="11">
        <v>10305978.284942975</v>
      </c>
      <c r="G107" s="12">
        <f>Table5211176815222934374146515891623323742[[#This Row],[LỢI NHUẬN RÒNG]]+Table5211176815222934374146515891623323742[[#This Row],[VỐN CP]]</f>
        <v>38305978.284942977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14205143.75</v>
      </c>
      <c r="F108" s="11">
        <v>10305978.284942975</v>
      </c>
      <c r="G108" s="12">
        <f>Table5211176815222934374146515891623323742[[#This Row],[LỢI NHUẬN RÒNG]]+Table5211176815222934374146515891623323742[[#This Row],[VỐN CP]]</f>
        <v>38305978.284942977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8117225</v>
      </c>
      <c r="F109" s="11">
        <v>5889130.4485388426</v>
      </c>
      <c r="G109" s="12">
        <f>Table5211176815222934374146515891623323742[[#This Row],[LỢI NHUẬN RÒNG]]+Table5211176815222934374146515891623323742[[#This Row],[VỐN CP]]</f>
        <v>21889130.448538844</v>
      </c>
    </row>
    <row r="110" spans="1:7" ht="15" hidden="1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4058612.5</v>
      </c>
      <c r="F110" s="11">
        <v>2944565.2242694213</v>
      </c>
      <c r="G110" s="12">
        <f>Table5211176815222934374146515891623323742[[#This Row],[LỢI NHUẬN RÒNG]]+Table5211176815222934374146515891623323742[[#This Row],[VỐN CP]]</f>
        <v>10944565.224269422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862804.2</v>
      </c>
      <c r="F111" s="11">
        <v>162805.46895949467</v>
      </c>
      <c r="G111" s="12">
        <f>Table5211176815222934374146515891623323742[[#This Row],[LỢI NHUẬN RÒNG]]+Table5211176815222934374146515891623323742[[#This Row],[VỐN CP]]</f>
        <v>5562805.4689594945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862804.2</v>
      </c>
      <c r="F112" s="11">
        <v>162805.46895949467</v>
      </c>
      <c r="G112" s="12">
        <f>Table5211176815222934374146515891623323742[[#This Row],[LỢI NHUẬN RÒNG]]+Table5211176815222934374146515891623323742[[#This Row],[VỐN CP]]</f>
        <v>5562805.4689594945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575202.80000000005</v>
      </c>
      <c r="F113" s="11">
        <v>108536.97930632978</v>
      </c>
      <c r="G113" s="12">
        <f>Table5211176815222934374146515891623323742[[#This Row],[LỢI NHUẬN RÒNG]]+Table5211176815222934374146515891623323742[[#This Row],[VỐN CP]]</f>
        <v>3708536.97930633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575202.80000000005</v>
      </c>
      <c r="F114" s="11">
        <v>108536.97930632978</v>
      </c>
      <c r="G114" s="12">
        <f>Table5211176815222934374146515891623323742[[#This Row],[LỢI NHUẬN RÒNG]]+Table5211176815222934374146515891623323742[[#This Row],[VỐN CP]]</f>
        <v>3708536.97930633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4333647.5999999996</v>
      </c>
      <c r="F115" s="11">
        <v>2437098.5426633433</v>
      </c>
      <c r="G115" s="12">
        <f>Table5211176815222934374146515891623323742[[#This Row],[LỢI NHUẬN RÒNG]]+Table5211176815222934374146515891623323742[[#This Row],[VỐN CP]]</f>
        <v>13537098.542663343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4333647.5999999996</v>
      </c>
      <c r="F116" s="11">
        <v>2437098.5426633433</v>
      </c>
      <c r="G116" s="12">
        <f>Table5211176815222934374146515891623323742[[#This Row],[LỢI NHUẬN RÒNG]]+Table5211176815222934374146515891623323742[[#This Row],[VỐN CP]]</f>
        <v>13537098.542663343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2889098.4</v>
      </c>
      <c r="F117" s="11">
        <v>1624732.3617755622</v>
      </c>
      <c r="G117" s="12">
        <f>Table5211176815222934374146515891623323742[[#This Row],[LỢI NHUẬN RÒNG]]+Table5211176815222934374146515891623323742[[#This Row],[VỐN CP]]</f>
        <v>9024732.3617755622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2889098.4</v>
      </c>
      <c r="F118" s="11">
        <v>1624732.3617755622</v>
      </c>
      <c r="G118" s="12">
        <f>Table5211176815222934374146515891623323742[[#This Row],[LỢI NHUẬN RÒNG]]+Table5211176815222934374146515891623323742[[#This Row],[VỐN CP]]</f>
        <v>9024732.3617755622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2016471</v>
      </c>
      <c r="F119" s="11">
        <v>1487996.2609631454</v>
      </c>
      <c r="G119" s="12">
        <f>Table5211176815222934374146515891623323742[[#This Row],[LỢI NHUẬN RÒNG]]+Table5211176815222934374146515891623323742[[#This Row],[VỐN CP]]</f>
        <v>6487996.2609631456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2016471</v>
      </c>
      <c r="F120" s="11">
        <v>1487996.2609631454</v>
      </c>
      <c r="G120" s="12">
        <f>Table5211176815222934374146515891623323742[[#This Row],[LỢI NHUẬN RÒNG]]+Table5211176815222934374146515891623323742[[#This Row],[VỐN CP]]</f>
        <v>6487996.2609631456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2419765.2000000002</v>
      </c>
      <c r="F121" s="11">
        <v>1785595.5131557747</v>
      </c>
      <c r="G121" s="12">
        <f>Table5211176815222934374146515891623323742[[#This Row],[LỢI NHUẬN RÒNG]]+Table5211176815222934374146515891623323742[[#This Row],[VỐN CP]]</f>
        <v>7785595.5131557751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806588.4</v>
      </c>
      <c r="F122" s="11">
        <v>595198.5043852583</v>
      </c>
      <c r="G122" s="12">
        <f>Table5211176815222934374146515891623323742[[#This Row],[LỢI NHUẬN RÒNG]]+Table5211176815222934374146515891623323742[[#This Row],[VỐN CP]]</f>
        <v>2595198.5043852581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806588.4</v>
      </c>
      <c r="F123" s="11">
        <v>595198.5043852583</v>
      </c>
      <c r="G123" s="12">
        <f>Table5211176815222934374146515891623323742[[#This Row],[LỢI NHUẬN RÒNG]]+Table5211176815222934374146515891623323742[[#This Row],[VỐN CP]]</f>
        <v>2595198.5043852581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3354601.5</v>
      </c>
      <c r="F124" s="11">
        <v>1789265.054563215</v>
      </c>
      <c r="G124" s="12">
        <f>Table5211176815222934374146515891623323742[[#This Row],[LỢI NHUẬN RÒNG]]+Table5211176815222934374146515891623323742[[#This Row],[VỐN CP]]</f>
        <v>6829265.054563215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3354601.5</v>
      </c>
      <c r="F125" s="11">
        <v>1789265.054563215</v>
      </c>
      <c r="G125" s="12">
        <f>Table5211176815222934374146515891623323742[[#This Row],[LỢI NHUẬN RÒNG]]+Table5211176815222934374146515891623323742[[#This Row],[VỐN CP]]</f>
        <v>6829265.054563215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2236401</v>
      </c>
      <c r="F126" s="11">
        <v>1192843.36970881</v>
      </c>
      <c r="G126" s="12">
        <f>Table5211176815222934374146515891623323742[[#This Row],[LỢI NHUẬN RÒNG]]+Table5211176815222934374146515891623323742[[#This Row],[VỐN CP]]</f>
        <v>4552843.36970881</v>
      </c>
    </row>
    <row r="127" spans="1:7" ht="15" hidden="1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2236401</v>
      </c>
      <c r="F127" s="11">
        <v>1192843.36970881</v>
      </c>
      <c r="G127" s="12">
        <f>Table5211176815222934374146515891623323742[[#This Row],[LỢI NHUẬN RÒNG]]+Table5211176815222934374146515891623323742[[#This Row],[VỐN CP]]</f>
        <v>4552843.36970881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4969017.9000000004</v>
      </c>
      <c r="F128" s="11">
        <v>1995431.4032019193</v>
      </c>
      <c r="G128" s="12">
        <f>Table5211176815222934374146515891623323742[[#This Row],[LỢI NHUẬN RÒNG]]+Table5211176815222934374146515891623323742[[#This Row],[VỐN CP]]</f>
        <v>17745431.403201919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4969017.9000000004</v>
      </c>
      <c r="F129" s="11">
        <v>1995431.4032019193</v>
      </c>
      <c r="G129" s="12">
        <f>Table5211176815222934374146515891623323742[[#This Row],[LỢI NHUẬN RÒNG]]+Table5211176815222934374146515891623323742[[#This Row],[VỐN CP]]</f>
        <v>17745431.403201919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2839438.8</v>
      </c>
      <c r="F130" s="11">
        <v>1140246.5161153823</v>
      </c>
      <c r="G130" s="12">
        <f>Table5211176815222934374146515891623323742[[#This Row],[LỢI NHUẬN RÒNG]]+Table5211176815222934374146515891623323742[[#This Row],[VỐN CP]]</f>
        <v>10140246.516115382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1419719.4</v>
      </c>
      <c r="F131" s="11">
        <v>570123.25805769116</v>
      </c>
      <c r="G131" s="12">
        <f>Table5211176815222934374146515891623323742[[#This Row],[LỢI NHUẬN RÒNG]]+Table5211176815222934374146515891623323742[[#This Row],[VỐN CP]]</f>
        <v>5070123.2580576912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2366666.666666667</v>
      </c>
      <c r="E132" s="11">
        <v>566389.03333333286</v>
      </c>
      <c r="F132" s="11">
        <v>69139.318672265857</v>
      </c>
      <c r="G132" s="12">
        <f>Table5211176815222934374146515891623323742[[#This Row],[LỢI NHUẬN RÒNG]]+Table5211176815222934374146515891623323742[[#This Row],[VỐN CP]]</f>
        <v>2435805.9853389328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3550000.0000000005</v>
      </c>
      <c r="E133" s="11">
        <v>849583.54999999923</v>
      </c>
      <c r="F133" s="11">
        <v>103708.97800839879</v>
      </c>
      <c r="G133" s="12">
        <f>Table5211176815222934374146515891623323742[[#This Row],[LỢI NHUẬN RÒNG]]+Table5211176815222934374146515891623323742[[#This Row],[VỐN CP]]</f>
        <v>3653708.9780083993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4733333.333333334</v>
      </c>
      <c r="E134" s="11">
        <v>1132778.0666666657</v>
      </c>
      <c r="F134" s="11">
        <v>138278.63734453171</v>
      </c>
      <c r="G134" s="12">
        <f>Table5211176815222934374146515891623323742[[#This Row],[LỢI NHUẬN RÒNG]]+Table5211176815222934374146515891623323742[[#This Row],[VỐN CP]]</f>
        <v>4871611.9706778657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4733333.333333334</v>
      </c>
      <c r="E135" s="11">
        <v>1132778.0666666657</v>
      </c>
      <c r="F135" s="11">
        <v>138278.63734453171</v>
      </c>
      <c r="G135" s="12">
        <f>Table5211176815222934374146515891623323742[[#This Row],[LỢI NHUẬN RÒNG]]+Table5211176815222934374146515891623323742[[#This Row],[VỐN CP]]</f>
        <v>4871611.9706778657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4733333.333333334</v>
      </c>
      <c r="E136" s="11">
        <v>1132778.0666666657</v>
      </c>
      <c r="F136" s="11">
        <v>138278.63734453171</v>
      </c>
      <c r="G136" s="12">
        <f>Table5211176815222934374146515891623323742[[#This Row],[LỢI NHUẬN RÒNG]]+Table5211176815222934374146515891623323742[[#This Row],[VỐN CP]]</f>
        <v>4871611.9706778657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3550000.0000000005</v>
      </c>
      <c r="E137" s="11">
        <v>849583.54999999923</v>
      </c>
      <c r="F137" s="11">
        <v>103708.97800839879</v>
      </c>
      <c r="G137" s="12">
        <f>Table5211176815222934374146515891623323742[[#This Row],[LỢI NHUẬN RÒNG]]+Table5211176815222934374146515891623323742[[#This Row],[VỐN CP]]</f>
        <v>3653708.9780083993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2119664.4333333345</v>
      </c>
      <c r="F138" s="11">
        <v>1267647.8162579343</v>
      </c>
      <c r="G138" s="12">
        <f>Table5211176815222934374146515891623323742[[#This Row],[LỢI NHUẬN RÒNG]]+Table5211176815222934374146515891623323742[[#This Row],[VỐN CP]]</f>
        <v>7934314.4829246001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5500000</v>
      </c>
      <c r="E139" s="11">
        <v>1528286.7</v>
      </c>
      <c r="F139" s="11">
        <v>794218.21532126074</v>
      </c>
      <c r="G139" s="12">
        <f>Table5211176815222934374146515891623323742[[#This Row],[LỢI NHUẬN RÒNG]]+Table5211176815222934374146515891623323742[[#This Row],[VỐN CP]]</f>
        <v>6294218.2153212605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2922657.2</v>
      </c>
      <c r="F140" s="11">
        <v>1813862.1567499549</v>
      </c>
      <c r="G140" s="12">
        <f>Table5211176815222934374146515891623323742[[#This Row],[LỢI NHUẬN RÒNG]]+Table5211176815222934374146515891623323742[[#This Row],[VỐN CP]]</f>
        <v>8276362.1567499544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4931223.9000000004</v>
      </c>
      <c r="F141" s="11">
        <v>3280939.4296392025</v>
      </c>
      <c r="G141" s="12">
        <f>Table5211176815222934374146515891623323742[[#This Row],[LỢI NHUẬN RÒNG]]+Table5211176815222934374146515891623323742[[#This Row],[VỐN CP]]</f>
        <v>11500939.429639202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4931223.9000000004</v>
      </c>
      <c r="F142" s="11">
        <v>3280939.4296392025</v>
      </c>
      <c r="G142" s="12">
        <f>Table5211176815222934374146515891623323742[[#This Row],[LỢI NHUẬN RÒNG]]+Table5211176815222934374146515891623323742[[#This Row],[VỐN CP]]</f>
        <v>11500939.429639202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6574965.2000000002</v>
      </c>
      <c r="F143" s="11">
        <v>4374585.9061856028</v>
      </c>
      <c r="G143" s="12">
        <f>Table5211176815222934374146515891623323742[[#This Row],[LỢI NHUẬN RÒNG]]+Table5211176815222934374146515891623323742[[#This Row],[VỐN CP]]</f>
        <v>15334585.906185603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3400053.6</v>
      </c>
      <c r="F144" s="11">
        <v>1683902.8666311174</v>
      </c>
      <c r="G144" s="12">
        <f>Table5211176815222934374146515891623323742[[#This Row],[LỢI NHUẬN RÒNG]]+Table5211176815222934374146515891623323742[[#This Row],[VỐN CP]]</f>
        <v>12783902.866631117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3966729.2</v>
      </c>
      <c r="F145" s="11">
        <v>1964553.3444029703</v>
      </c>
      <c r="G145" s="12">
        <f>Table5211176815222934374146515891623323742[[#This Row],[LỢI NHUẬN RÒNG]]+Table5211176815222934374146515891623323742[[#This Row],[VỐN CP]]</f>
        <v>14914553.344402971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3966729.2</v>
      </c>
      <c r="F146" s="11">
        <v>1964553.3444029703</v>
      </c>
      <c r="G146" s="12">
        <f>Table5211176815222934374146515891623323742[[#This Row],[LỢI NHUẬN RÒNG]]+Table5211176815222934374146515891623323742[[#This Row],[VỐN CP]]</f>
        <v>14914553.344402971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640304.66666666721</v>
      </c>
      <c r="F147" s="11">
        <v>-900721.68957436387</v>
      </c>
      <c r="G147" s="12">
        <f>Table5211176815222934374146515891623323742[[#This Row],[LỢI NHUẬN RÒNG]]+Table5211176815222934374146515891623323742[[#This Row],[VỐN CP]]</f>
        <v>8432611.6437589675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320152.3333333336</v>
      </c>
      <c r="F148" s="11">
        <v>-450360.84478718194</v>
      </c>
      <c r="G148" s="12">
        <f>Table5211176815222934374146515891623323742[[#This Row],[LỢI NHUẬN RÒNG]]+Table5211176815222934374146515891623323742[[#This Row],[VỐN CP]]</f>
        <v>4216305.8218794838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320152.3333333336</v>
      </c>
      <c r="F149" s="11">
        <v>-450360.84478718194</v>
      </c>
      <c r="G149" s="12">
        <f>Table5211176815222934374146515891623323742[[#This Row],[LỢI NHUẬN RÒNG]]+Table5211176815222934374146515891623323742[[#This Row],[VỐN CP]]</f>
        <v>4216305.8218794838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320152.3333333336</v>
      </c>
      <c r="F150" s="11">
        <v>-450360.84478718194</v>
      </c>
      <c r="G150" s="12">
        <f>Table5211176815222934374146515891623323742[[#This Row],[LỢI NHUẬN RÒNG]]+Table5211176815222934374146515891623323742[[#This Row],[VỐN CP]]</f>
        <v>4216305.8218794838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1978920.4</v>
      </c>
      <c r="F151" s="11">
        <v>755452.70474903286</v>
      </c>
      <c r="G151" s="12">
        <f>Table5211176815222934374146515891623323742[[#This Row],[LỢI NHUẬN RÒNG]]+Table5211176815222934374146515891623323742[[#This Row],[VỐN CP]]</f>
        <v>7415452.7047490329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1978920.4</v>
      </c>
      <c r="F152" s="11">
        <v>755452.70474903286</v>
      </c>
      <c r="G152" s="12">
        <f>Table5211176815222934374146515891623323742[[#This Row],[LỢI NHUẬN RÒNG]]+Table5211176815222934374146515891623323742[[#This Row],[VỐN CP]]</f>
        <v>7415452.7047490329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1978920.4</v>
      </c>
      <c r="F153" s="11">
        <v>755452.70474903286</v>
      </c>
      <c r="G153" s="12">
        <f>Table5211176815222934374146515891623323742[[#This Row],[LỢI NHUẬN RÒNG]]+Table5211176815222934374146515891623323742[[#This Row],[VỐN CP]]</f>
        <v>7415452.7047490329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3957840.8</v>
      </c>
      <c r="F154" s="21">
        <v>1510905.4094980657</v>
      </c>
      <c r="G154" s="12">
        <f>Table5211176815222934374146515891623323742[[#This Row],[LỢI NHUẬN RÒNG]]+Table5211176815222934374146515891623323742[[#This Row],[VỐN CP]]</f>
        <v>14830905.409498066</v>
      </c>
    </row>
    <row r="155" spans="1:8" x14ac:dyDescent="0.3">
      <c r="A155" s="20"/>
      <c r="B155" s="21"/>
      <c r="C155" s="21"/>
      <c r="D155" s="21">
        <f>SUBTOTAL(109,Table5211176815222934374146515891623323742[VỐN CP])</f>
        <v>17560000</v>
      </c>
      <c r="E155" s="21">
        <f>SUBTOTAL(109,Table5211176815222934374146515891623323742[LỢI NHUẬN GỘP])</f>
        <v>4705132.6499999994</v>
      </c>
      <c r="F155" s="21">
        <f>SUBTOTAL(109,Table5211176815222934374146515891623323742[LỢI NHUẬN RÒNG])</f>
        <v>2369748.5024061678</v>
      </c>
      <c r="G155" s="21">
        <f>SUBTOTAL(109,Table5211176815222934374146515891623323742[TỔNG NHẬN])</f>
        <v>19929748.502406169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1069-A3E9-4056-ACD9-BBF1F63CA124}">
  <dimension ref="A1:O161"/>
  <sheetViews>
    <sheetView topLeftCell="A72" zoomScale="121" zoomScaleNormal="121" workbookViewId="0">
      <selection activeCell="F8" sqref="F8:F127"/>
    </sheetView>
  </sheetViews>
  <sheetFormatPr defaultColWidth="9.1796875" defaultRowHeight="13" x14ac:dyDescent="0.3"/>
  <cols>
    <col min="1" max="1" width="15.81640625" style="44" customWidth="1"/>
    <col min="2" max="2" width="18.1796875" style="11" customWidth="1"/>
    <col min="3" max="3" width="11.1796875" style="11" customWidth="1"/>
    <col min="4" max="4" width="12.81640625" style="11" customWidth="1"/>
    <col min="5" max="5" width="17.453125" style="11" customWidth="1"/>
    <col min="6" max="6" width="23.08984375" style="11" customWidth="1"/>
    <col min="7" max="7" width="16.36328125" style="11" customWidth="1"/>
    <col min="8" max="8" width="9.1796875" style="1"/>
    <col min="9" max="9" width="11.26953125" style="1" bestFit="1" customWidth="1"/>
    <col min="10" max="10" width="9.1796875" style="1"/>
    <col min="11" max="11" width="12.453125" style="1" customWidth="1"/>
    <col min="12" max="12" width="13.1796875" style="11" customWidth="1"/>
    <col min="13" max="13" width="17.453125" style="11" customWidth="1"/>
    <col min="14" max="14" width="19.1796875" style="11" customWidth="1"/>
    <col min="15" max="15" width="14.54296875" style="11" customWidth="1"/>
    <col min="16" max="16384" width="9.1796875" style="1"/>
  </cols>
  <sheetData>
    <row r="1" spans="1:15" s="29" customFormat="1" ht="27" customHeight="1" x14ac:dyDescent="0.3">
      <c r="A1" s="56" t="s">
        <v>169</v>
      </c>
      <c r="B1" s="57"/>
      <c r="C1" s="57"/>
      <c r="D1" s="57"/>
      <c r="E1" s="57"/>
      <c r="F1" s="57"/>
      <c r="G1" s="58"/>
      <c r="L1" s="30"/>
      <c r="M1" s="30"/>
      <c r="N1" s="30"/>
      <c r="O1" s="30"/>
    </row>
    <row r="2" spans="1:15" s="31" customFormat="1" ht="27.75" customHeight="1" x14ac:dyDescent="0.35">
      <c r="K2" s="32" t="s">
        <v>1</v>
      </c>
      <c r="L2" s="33" t="s">
        <v>3</v>
      </c>
      <c r="M2" s="33" t="s">
        <v>4</v>
      </c>
      <c r="N2" s="33" t="s">
        <v>5</v>
      </c>
      <c r="O2" s="34" t="s">
        <v>6</v>
      </c>
    </row>
    <row r="3" spans="1:15" ht="19.5" customHeight="1" x14ac:dyDescent="0.35">
      <c r="A3" s="3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K3" s="36" t="s">
        <v>10</v>
      </c>
      <c r="L3" s="11">
        <f t="shared" ref="L3:L16" si="0">SUMIF($B$4:$B$155,K3,$D$4:$D$155)</f>
        <v>20829166.666666664</v>
      </c>
      <c r="M3" s="37">
        <f>SUMIF('Tháng 8 nhà T '!$B$4:$B$154,K3,'Tháng 8 nhà T '!$E$4:$E$154)</f>
        <v>6575879.7833333332</v>
      </c>
      <c r="N3" s="37">
        <f>SUMIF('Tháng 8 nhà T '!$B$4:$B$154,K3,'Tháng 8 nhà T '!$F$4:$F$154)</f>
        <v>3342613.2081980491</v>
      </c>
      <c r="O3" s="38">
        <f>SUMIF('Tháng 8 nhà T '!$B$4:$B$154,K3,'Tháng 8 nhà T '!$G$4:$G$154)</f>
        <v>24171779.874864712</v>
      </c>
    </row>
    <row r="4" spans="1:15" ht="15" hidden="1" customHeight="1" x14ac:dyDescent="0.35">
      <c r="A4" s="10" t="s">
        <v>86</v>
      </c>
      <c r="B4" s="11" t="s">
        <v>9</v>
      </c>
      <c r="C4" s="11">
        <v>30</v>
      </c>
      <c r="D4" s="11">
        <v>13200000</v>
      </c>
      <c r="E4" s="11">
        <v>4794435.5999999996</v>
      </c>
      <c r="F4" s="11">
        <v>2850875.6726010405</v>
      </c>
      <c r="G4" s="12">
        <f>Table521117681522293437414651589162332374253[[#This Row],[LỢI NHUẬN RÒNG]]+Table521117681522293437414651589162332374253[[#This Row],[VỐN CP]]</f>
        <v>16050875.67260104</v>
      </c>
      <c r="K4" s="36" t="s">
        <v>87</v>
      </c>
      <c r="L4" s="11">
        <f t="shared" si="0"/>
        <v>81893333.333333328</v>
      </c>
      <c r="M4" s="37">
        <f>SUMIF('Tháng 8 nhà T '!$B$4:$B$154,K4,'Tháng 8 nhà T '!$E$4:$E$154)</f>
        <v>34066051.56666667</v>
      </c>
      <c r="N4" s="37">
        <f>SUMIF('Tháng 8 nhà T '!$B$4:$B$154,K4,'Tháng 8 nhà T '!$F$4:$F$154)</f>
        <v>19002529.886363599</v>
      </c>
      <c r="O4" s="38">
        <f>SUMIF('Tháng 8 nhà T '!$B$4:$B$154,K4,'Tháng 8 nhà T '!$G$4:$G$154)</f>
        <v>100895863.21969694</v>
      </c>
    </row>
    <row r="5" spans="1:15" ht="15" hidden="1" customHeight="1" x14ac:dyDescent="0.35">
      <c r="A5" s="10" t="s">
        <v>86</v>
      </c>
      <c r="B5" s="11" t="s">
        <v>19</v>
      </c>
      <c r="C5" s="11">
        <v>30</v>
      </c>
      <c r="D5" s="11">
        <v>13200000</v>
      </c>
      <c r="E5" s="11">
        <v>4794435.5999999996</v>
      </c>
      <c r="F5" s="11">
        <v>2850875.6726010405</v>
      </c>
      <c r="G5" s="12">
        <f>Table521117681522293437414651589162332374253[[#This Row],[LỢI NHUẬN RÒNG]]+Table521117681522293437414651589162332374253[[#This Row],[VỐN CP]]</f>
        <v>16050875.67260104</v>
      </c>
      <c r="I5" s="11"/>
      <c r="K5" s="36" t="s">
        <v>9</v>
      </c>
      <c r="L5" s="11">
        <f t="shared" si="0"/>
        <v>408297500.00000006</v>
      </c>
      <c r="M5" s="37">
        <f>SUMIF('Tháng 8 nhà T '!$B$4:$B$154,K5,'Tháng 8 nhà T '!$E$4:$E$154)</f>
        <v>172172734.38333327</v>
      </c>
      <c r="N5" s="37">
        <f>SUMIF('Tháng 8 nhà T '!$B$4:$B$154,K5,'Tháng 8 nhà T '!$F$4:$F$154)</f>
        <v>94661928.628444403</v>
      </c>
      <c r="O5" s="38">
        <f>SUMIF('Tháng 8 nhà T '!$B$4:$B$154,K5,'Tháng 8 nhà T '!$G$4:$G$154)</f>
        <v>502959428.62844431</v>
      </c>
    </row>
    <row r="6" spans="1:15" ht="15" hidden="1" customHeight="1" x14ac:dyDescent="0.35">
      <c r="A6" s="10" t="s">
        <v>86</v>
      </c>
      <c r="B6" s="11" t="s">
        <v>21</v>
      </c>
      <c r="C6" s="11">
        <v>10</v>
      </c>
      <c r="D6" s="11">
        <v>4400000</v>
      </c>
      <c r="E6" s="11">
        <v>1598145.2</v>
      </c>
      <c r="F6" s="11">
        <v>950291.89086701348</v>
      </c>
      <c r="G6" s="12">
        <f>Table521117681522293437414651589162332374253[[#This Row],[LỢI NHUẬN RÒNG]]+Table521117681522293437414651589162332374253[[#This Row],[VỐN CP]]</f>
        <v>5350291.8908670135</v>
      </c>
      <c r="K6" s="36" t="s">
        <v>88</v>
      </c>
      <c r="L6" s="11">
        <f t="shared" si="0"/>
        <v>9733333.333333334</v>
      </c>
      <c r="M6" s="37">
        <f>SUMIF('Tháng 8 nhà T '!$B$4:$B$154,K6,'Tháng 8 nhà T '!$E$4:$E$154)</f>
        <v>3518686.9666666663</v>
      </c>
      <c r="N6" s="37">
        <f>SUMIF('Tháng 8 nhà T '!$B$4:$B$154,K6,'Tháng 8 nhà T '!$F$4:$F$154)</f>
        <v>2329331.6189058023</v>
      </c>
      <c r="O6" s="38">
        <f>SUMIF('Tháng 8 nhà T '!$B$4:$B$154,K6,'Tháng 8 nhà T '!$G$4:$G$154)</f>
        <v>12062664.952239135</v>
      </c>
    </row>
    <row r="7" spans="1:15" ht="15" hidden="1" customHeight="1" x14ac:dyDescent="0.35">
      <c r="A7" s="10" t="s">
        <v>86</v>
      </c>
      <c r="B7" s="11" t="s">
        <v>27</v>
      </c>
      <c r="C7" s="11">
        <v>20</v>
      </c>
      <c r="D7" s="11">
        <v>8800000</v>
      </c>
      <c r="E7" s="11">
        <v>3196290.4</v>
      </c>
      <c r="F7" s="11">
        <v>1900583.781734027</v>
      </c>
      <c r="G7" s="12">
        <f>Table521117681522293437414651589162332374253[[#This Row],[LỢI NHUẬN RÒNG]]+Table521117681522293437414651589162332374253[[#This Row],[VỐN CP]]</f>
        <v>10700583.781734027</v>
      </c>
      <c r="K7" s="36" t="s">
        <v>89</v>
      </c>
      <c r="L7" s="11">
        <f t="shared" si="0"/>
        <v>0</v>
      </c>
      <c r="M7" s="37">
        <f>SUMIF('Tháng 8 nhà T '!$B$4:$B$154,K7,'Tháng 8 nhà T '!$E$4:$E$154)</f>
        <v>0</v>
      </c>
      <c r="N7" s="37">
        <f>SUMIF('Tháng 8 nhà T '!$B$4:$B$154,K7,'Tháng 8 nhà T '!$F$4:$F$154)</f>
        <v>0</v>
      </c>
      <c r="O7" s="38">
        <f>SUMIF('Tháng 8 nhà T '!$B$4:$B$154,K7,'Tháng 8 nhà T '!$G$4:$G$154)</f>
        <v>0</v>
      </c>
    </row>
    <row r="8" spans="1:15" ht="15" customHeight="1" x14ac:dyDescent="0.35">
      <c r="A8" s="10" t="s">
        <v>86</v>
      </c>
      <c r="B8" s="11" t="s">
        <v>31</v>
      </c>
      <c r="C8" s="11">
        <v>10</v>
      </c>
      <c r="D8" s="11">
        <v>4400000</v>
      </c>
      <c r="E8" s="11">
        <v>1598145.2</v>
      </c>
      <c r="F8" s="11">
        <v>950291.89086701348</v>
      </c>
      <c r="G8" s="12">
        <f>Table521117681522293437414651589162332374253[[#This Row],[LỢI NHUẬN RÒNG]]+Table521117681522293437414651589162332374253[[#This Row],[VỐN CP]]</f>
        <v>5350291.8908670135</v>
      </c>
      <c r="K8" s="36" t="s">
        <v>19</v>
      </c>
      <c r="L8" s="11">
        <f t="shared" si="0"/>
        <v>410193333.33333337</v>
      </c>
      <c r="M8" s="37">
        <f>SUMIF('Tháng 8 nhà T '!$B$4:$B$154,K8,'Tháng 8 nhà T '!$E$4:$E$154)</f>
        <v>172986567.14999998</v>
      </c>
      <c r="N8" s="37">
        <f>SUMIF('Tháng 8 nhà T '!$B$4:$B$154,K8,'Tháng 8 nhà T '!$F$4:$F$154)</f>
        <v>95223055.939153105</v>
      </c>
      <c r="O8" s="38">
        <f>SUMIF('Tháng 8 nhà T '!$B$4:$B$154,K8,'Tháng 8 nhà T '!$G$4:$G$154)</f>
        <v>505416389.27248639</v>
      </c>
    </row>
    <row r="9" spans="1:15" ht="15" hidden="1" customHeight="1" x14ac:dyDescent="0.35">
      <c r="A9" s="10" t="s">
        <v>90</v>
      </c>
      <c r="B9" s="11" t="s">
        <v>9</v>
      </c>
      <c r="C9" s="11">
        <v>15</v>
      </c>
      <c r="D9" s="11">
        <v>10000000</v>
      </c>
      <c r="E9" s="11">
        <v>3300865.2500000014</v>
      </c>
      <c r="F9" s="11">
        <v>1783011.8309069306</v>
      </c>
      <c r="G9" s="12">
        <f>Table521117681522293437414651589162332374253[[#This Row],[LỢI NHUẬN RÒNG]]+Table521117681522293437414651589162332374253[[#This Row],[VỐN CP]]</f>
        <v>11783011.830906931</v>
      </c>
      <c r="K9" s="36" t="s">
        <v>21</v>
      </c>
      <c r="L9" s="11">
        <f t="shared" si="0"/>
        <v>69335000</v>
      </c>
      <c r="M9" s="37">
        <f>SUMIF('Tháng 8 nhà T '!$B$4:$B$154,K9,'Tháng 8 nhà T '!$E$4:$E$154)</f>
        <v>32667582.350000005</v>
      </c>
      <c r="N9" s="37">
        <f>SUMIF('Tháng 8 nhà T '!$B$4:$B$154,K9,'Tháng 8 nhà T '!$F$4:$F$154)</f>
        <v>19654164.805537339</v>
      </c>
      <c r="O9" s="38">
        <f>SUMIF('Tháng 8 nhà T '!$B$4:$B$154,K9,'Tháng 8 nhà T '!$G$4:$G$154)</f>
        <v>88989164.805537343</v>
      </c>
    </row>
    <row r="10" spans="1:15" ht="15" hidden="1" customHeight="1" x14ac:dyDescent="0.35">
      <c r="A10" s="10" t="s">
        <v>90</v>
      </c>
      <c r="B10" s="11" t="s">
        <v>89</v>
      </c>
      <c r="G10" s="12">
        <f>Table521117681522293437414651589162332374253[[#This Row],[LỢI NHUẬN RÒNG]]+Table521117681522293437414651589162332374253[[#This Row],[VỐN CP]]</f>
        <v>0</v>
      </c>
      <c r="K10" s="36" t="s">
        <v>23</v>
      </c>
      <c r="L10" s="11">
        <f t="shared" si="0"/>
        <v>16000000</v>
      </c>
      <c r="M10" s="37">
        <f>SUMIF('Tháng 8 nhà T '!$B$4:$B$154,K10,'Tháng 8 nhà T '!$E$4:$E$154)</f>
        <v>6731440.4000000004</v>
      </c>
      <c r="N10" s="37">
        <f>SUMIF('Tháng 8 nhà T '!$B$4:$B$154,K10,'Tháng 8 nhà T '!$F$4:$F$154)</f>
        <v>3688031.7538676281</v>
      </c>
      <c r="O10" s="38">
        <f>SUMIF('Tháng 8 nhà T '!$B$4:$B$154,K10,'Tháng 8 nhà T '!$G$4:$G$154)</f>
        <v>19688031.753867626</v>
      </c>
    </row>
    <row r="11" spans="1:15" ht="15" hidden="1" customHeight="1" x14ac:dyDescent="0.35">
      <c r="A11" s="10" t="s">
        <v>90</v>
      </c>
      <c r="B11" s="11" t="s">
        <v>19</v>
      </c>
      <c r="C11" s="11">
        <v>15</v>
      </c>
      <c r="D11" s="11">
        <v>10000000</v>
      </c>
      <c r="E11" s="11">
        <v>3300865.2500000014</v>
      </c>
      <c r="F11" s="11">
        <v>1783011.8309069306</v>
      </c>
      <c r="G11" s="12">
        <f>Table521117681522293437414651589162332374253[[#This Row],[LỢI NHUẬN RÒNG]]+Table521117681522293437414651589162332374253[[#This Row],[VỐN CP]]</f>
        <v>11783011.830906931</v>
      </c>
      <c r="J11" s="11"/>
      <c r="K11" s="36" t="s">
        <v>27</v>
      </c>
      <c r="L11" s="11">
        <f t="shared" si="0"/>
        <v>324425000</v>
      </c>
      <c r="M11" s="37">
        <f>SUMIF('Tháng 8 nhà T '!$B$4:$B$154,K11,'Tháng 8 nhà T '!$E$4:$E$154)</f>
        <v>146294031.0333333</v>
      </c>
      <c r="N11" s="37">
        <f>SUMIF('Tháng 8 nhà T '!$B$4:$B$154,K11,'Tháng 8 nhà T '!$F$4:$F$154)</f>
        <v>84647554.912773907</v>
      </c>
      <c r="O11" s="38">
        <f>SUMIF(Table521117681522293437414651589162332374253[CỔ ĐÔNG],K11,Table521117681522293437414651589162332374253[TỔNG NHẬN])</f>
        <v>409072554.91277397</v>
      </c>
    </row>
    <row r="12" spans="1:15" ht="15" hidden="1" customHeight="1" x14ac:dyDescent="0.35">
      <c r="A12" s="10" t="s">
        <v>90</v>
      </c>
      <c r="B12" s="11" t="s">
        <v>21</v>
      </c>
      <c r="C12" s="11">
        <v>10</v>
      </c>
      <c r="D12" s="11">
        <v>6666666.666666666</v>
      </c>
      <c r="E12" s="11">
        <v>2200576.8333333344</v>
      </c>
      <c r="F12" s="11">
        <v>1188674.5539379537</v>
      </c>
      <c r="G12" s="12">
        <f>Table521117681522293437414651589162332374253[[#This Row],[LỢI NHUẬN RÒNG]]+Table521117681522293437414651589162332374253[[#This Row],[VỐN CP]]</f>
        <v>7855341.2206046199</v>
      </c>
      <c r="K12" s="36" t="s">
        <v>31</v>
      </c>
      <c r="L12" s="11">
        <f t="shared" si="0"/>
        <v>49526666.666666664</v>
      </c>
      <c r="M12" s="37">
        <f>SUMIF('Tháng 8 nhà T '!$B$4:$B$154,K12,'Tháng 8 nhà T '!$E$4:$E$154)</f>
        <v>17909110.933333334</v>
      </c>
      <c r="N12" s="37">
        <f>SUMIF('Tháng 8 nhà T '!$B$4:$B$154,K12,'Tháng 8 nhà T '!$F$4:$F$154)</f>
        <v>9582858.6871266793</v>
      </c>
      <c r="O12" s="38">
        <f>SUMIF('Tháng 8 nhà T '!$B$4:$B$154,K12,'Tháng 8 nhà T '!$G$4:$G$154)</f>
        <v>59109525.353793345</v>
      </c>
    </row>
    <row r="13" spans="1:15" ht="15" hidden="1" customHeight="1" x14ac:dyDescent="0.35">
      <c r="A13" s="10" t="s">
        <v>90</v>
      </c>
      <c r="B13" s="11" t="s">
        <v>27</v>
      </c>
      <c r="C13" s="11">
        <v>10</v>
      </c>
      <c r="D13" s="11">
        <v>6666666.666666666</v>
      </c>
      <c r="E13" s="11">
        <v>2200576.8333333344</v>
      </c>
      <c r="F13" s="11">
        <v>1188674.5539379537</v>
      </c>
      <c r="G13" s="12">
        <f>Table521117681522293437414651589162332374253[[#This Row],[LỢI NHUẬN RÒNG]]+Table521117681522293437414651589162332374253[[#This Row],[VỐN CP]]</f>
        <v>7855341.2206046199</v>
      </c>
      <c r="K13" s="36" t="s">
        <v>91</v>
      </c>
      <c r="L13" s="11">
        <f t="shared" si="0"/>
        <v>8400000</v>
      </c>
      <c r="M13" s="37">
        <f>SUMIF('Tháng 8 nhà T '!$B$4:$B$154,K13,'Tháng 8 nhà T '!$E$4:$E$154)</f>
        <v>5627525.7666666675</v>
      </c>
      <c r="N13" s="37">
        <f>SUMIF('Tháng 8 nhà T '!$B$4:$B$154,K13,'Tháng 8 nhà T '!$F$4:$F$154)</f>
        <v>3982099.5432782974</v>
      </c>
      <c r="O13" s="38">
        <f>SUMIF('Tháng 8 nhà T '!$B$4:$B$154,K13,'Tháng 8 nhà T '!$G$4:$G$154)</f>
        <v>12382099.543278299</v>
      </c>
    </row>
    <row r="14" spans="1:15" ht="15" customHeight="1" x14ac:dyDescent="0.35">
      <c r="A14" s="10" t="s">
        <v>90</v>
      </c>
      <c r="B14" s="11" t="s">
        <v>31</v>
      </c>
      <c r="C14" s="11">
        <v>20</v>
      </c>
      <c r="D14" s="11">
        <v>13333333.333333332</v>
      </c>
      <c r="E14" s="11">
        <v>4401153.6666666688</v>
      </c>
      <c r="F14" s="11">
        <v>2377349.1078759073</v>
      </c>
      <c r="G14" s="12">
        <f>Table521117681522293437414651589162332374253[[#This Row],[LỢI NHUẬN RÒNG]]+Table521117681522293437414651589162332374253[[#This Row],[VỐN CP]]</f>
        <v>15710682.44120924</v>
      </c>
      <c r="K14" s="36" t="s">
        <v>33</v>
      </c>
      <c r="L14" s="11">
        <f t="shared" si="0"/>
        <v>16516666.666666668</v>
      </c>
      <c r="M14" s="37">
        <f>SUMIF('Tháng 8 nhà T '!$B$4:$B$154,K14,'Tháng 8 nhà T '!$E$4:$E$154)</f>
        <v>5228691.833333333</v>
      </c>
      <c r="N14" s="37">
        <f>SUMIF('Tháng 8 nhà T '!$B$4:$B$154,K14,'Tháng 8 nhà T '!$F$4:$F$154)</f>
        <v>1328146.331055437</v>
      </c>
      <c r="O14" s="38">
        <f>SUMIF('Tháng 8 nhà T '!$B$4:$B$154,K14,'Tháng 8 nhà T '!$G$4:$G$154)</f>
        <v>17844812.997722104</v>
      </c>
    </row>
    <row r="15" spans="1:15" ht="15" hidden="1" customHeight="1" x14ac:dyDescent="0.35">
      <c r="A15" s="10" t="s">
        <v>90</v>
      </c>
      <c r="B15" s="11" t="s">
        <v>37</v>
      </c>
      <c r="C15" s="11">
        <v>20</v>
      </c>
      <c r="D15" s="11">
        <v>13333333.333333332</v>
      </c>
      <c r="E15" s="11">
        <v>4401153.6666666688</v>
      </c>
      <c r="F15" s="11">
        <v>2377349.1078759073</v>
      </c>
      <c r="G15" s="12">
        <f>Table521117681522293437414651589162332374253[[#This Row],[LỢI NHUẬN RÒNG]]+Table521117681522293437414651589162332374253[[#This Row],[VỐN CP]]</f>
        <v>15710682.44120924</v>
      </c>
      <c r="K15" s="25" t="s">
        <v>37</v>
      </c>
      <c r="L15" s="21">
        <f t="shared" si="0"/>
        <v>41333333.333333328</v>
      </c>
      <c r="M15" s="39">
        <f>SUMIF('Tháng 8 nhà T '!$B$4:$B$154,K15,'Tháng 8 nhà T '!$E$4:$E$154)</f>
        <v>16870060.966666672</v>
      </c>
      <c r="N15" s="39">
        <f>SUMIF('Tháng 8 nhà T '!$B$4:$B$154,K15,'Tháng 8 nhà T '!$F$4:$F$154)</f>
        <v>9754296.8162351232</v>
      </c>
      <c r="O15" s="40">
        <f>SUMIF('Tháng 8 nhà T '!$B$4:$B$154,K15,'Tháng 8 nhà T '!$G$4:$G$154)</f>
        <v>51087630.149568453</v>
      </c>
    </row>
    <row r="16" spans="1:15" ht="15" hidden="1" customHeight="1" x14ac:dyDescent="0.3">
      <c r="A16" s="10" t="s">
        <v>92</v>
      </c>
      <c r="B16" s="11" t="s">
        <v>9</v>
      </c>
      <c r="C16" s="11">
        <v>30</v>
      </c>
      <c r="D16" s="11">
        <v>7950000</v>
      </c>
      <c r="E16" s="11">
        <v>1980678.9</v>
      </c>
      <c r="F16" s="11">
        <v>-83591.012563875323</v>
      </c>
      <c r="G16" s="12">
        <f>Table521117681522293437414651589162332374253[[#This Row],[LỢI NHUẬN RÒNG]]+Table521117681522293437414651589162332374253[[#This Row],[VỐN CP]]</f>
        <v>7866408.9874361251</v>
      </c>
      <c r="K16" s="36" t="s">
        <v>25</v>
      </c>
      <c r="L16" s="21">
        <f t="shared" si="0"/>
        <v>2666666.666666667</v>
      </c>
      <c r="M16" s="41">
        <f>SUMIF('Tháng 8 nhà T '!$B$4:$B$154,K16,'Tháng 8 nhà T '!$E$4:$E$154)</f>
        <v>432517.53333333286</v>
      </c>
      <c r="N16" s="41">
        <f>SUMIF('Tháng 8 nhà T '!$B$4:$B$154,K16,'Tháng 8 nhà T '!$F$4:$F$154)</f>
        <v>135840.59028496518</v>
      </c>
      <c r="O16" s="42">
        <f>SUMIF('Tháng 8 nhà T '!$B$4:$B$154,K16,'Tháng 8 nhà T '!$G$4:$G$154)</f>
        <v>2802507.256951632</v>
      </c>
    </row>
    <row r="17" spans="1:15" ht="15" hidden="1" customHeight="1" x14ac:dyDescent="0.3">
      <c r="A17" s="10" t="s">
        <v>92</v>
      </c>
      <c r="B17" s="11" t="s">
        <v>19</v>
      </c>
      <c r="C17" s="11">
        <v>30</v>
      </c>
      <c r="D17" s="11">
        <v>7950000</v>
      </c>
      <c r="E17" s="11">
        <v>1980678.9</v>
      </c>
      <c r="F17" s="11">
        <v>-83591.012563875323</v>
      </c>
      <c r="G17" s="12">
        <f>Table521117681522293437414651589162332374253[[#This Row],[LỢI NHUẬN RÒNG]]+Table521117681522293437414651589162332374253[[#This Row],[VỐN CP]]</f>
        <v>7866408.9874361251</v>
      </c>
      <c r="K17" s="25" t="s">
        <v>47</v>
      </c>
      <c r="L17" s="21">
        <f>SUM(L2:L16)</f>
        <v>1459150000.0000002</v>
      </c>
      <c r="M17" s="21">
        <f>SUM(M2:M16)</f>
        <v>621080880.66666651</v>
      </c>
      <c r="N17" s="21">
        <f>SUM(N2:N16)</f>
        <v>347332452.72122431</v>
      </c>
      <c r="O17" s="21">
        <f>SUM(O2:O16)</f>
        <v>1806482452.7212243</v>
      </c>
    </row>
    <row r="18" spans="1:15" ht="15" hidden="1" customHeight="1" x14ac:dyDescent="0.3">
      <c r="A18" s="10" t="s">
        <v>92</v>
      </c>
      <c r="B18" s="11" t="s">
        <v>21</v>
      </c>
      <c r="C18" s="11">
        <v>10</v>
      </c>
      <c r="D18" s="11">
        <v>2650000</v>
      </c>
      <c r="E18" s="11">
        <v>660226.30000000005</v>
      </c>
      <c r="F18" s="11">
        <v>-27863.670854625107</v>
      </c>
      <c r="G18" s="12">
        <f>Table521117681522293437414651589162332374253[[#This Row],[LỢI NHUẬN RÒNG]]+Table521117681522293437414651589162332374253[[#This Row],[VỐN CP]]</f>
        <v>2622136.3291453747</v>
      </c>
      <c r="K18" s="25"/>
      <c r="L18" s="21"/>
      <c r="M18" s="21"/>
      <c r="N18" s="21"/>
      <c r="O18" s="43"/>
    </row>
    <row r="19" spans="1:15" ht="15" hidden="1" customHeight="1" x14ac:dyDescent="0.3">
      <c r="A19" s="10" t="s">
        <v>92</v>
      </c>
      <c r="B19" s="11" t="s">
        <v>27</v>
      </c>
      <c r="C19" s="11">
        <v>20</v>
      </c>
      <c r="D19" s="11">
        <v>5300000</v>
      </c>
      <c r="E19" s="11">
        <v>1320452.6000000001</v>
      </c>
      <c r="F19" s="11">
        <v>-55727.341709250213</v>
      </c>
      <c r="G19" s="12">
        <f>Table521117681522293437414651589162332374253[[#This Row],[LỢI NHUẬN RÒNG]]+Table521117681522293437414651589162332374253[[#This Row],[VỐN CP]]</f>
        <v>5244272.6582907494</v>
      </c>
    </row>
    <row r="20" spans="1:15" ht="15" hidden="1" customHeight="1" x14ac:dyDescent="0.3">
      <c r="A20" s="10" t="s">
        <v>92</v>
      </c>
      <c r="B20" s="11" t="s">
        <v>33</v>
      </c>
      <c r="C20" s="11">
        <v>10</v>
      </c>
      <c r="D20" s="11">
        <v>2650000</v>
      </c>
      <c r="E20" s="11">
        <v>660226.30000000005</v>
      </c>
      <c r="F20" s="11">
        <v>-27863.670854625107</v>
      </c>
      <c r="G20" s="12">
        <f>Table521117681522293437414651589162332374253[[#This Row],[LỢI NHUẬN RÒNG]]+Table521117681522293437414651589162332374253[[#This Row],[VỐN CP]]</f>
        <v>2622136.3291453747</v>
      </c>
    </row>
    <row r="21" spans="1:15" ht="15" hidden="1" customHeight="1" x14ac:dyDescent="0.3">
      <c r="A21" s="10" t="s">
        <v>93</v>
      </c>
      <c r="B21" s="11" t="s">
        <v>9</v>
      </c>
      <c r="C21" s="11">
        <v>25</v>
      </c>
      <c r="D21" s="11">
        <v>13333333.333333334</v>
      </c>
      <c r="E21" s="11">
        <v>2162587.6666666642</v>
      </c>
      <c r="F21" s="11">
        <v>679202.95142482594</v>
      </c>
      <c r="G21" s="12">
        <f>Table521117681522293437414651589162332374253[[#This Row],[LỢI NHUẬN RÒNG]]+Table521117681522293437414651589162332374253[[#This Row],[VỐN CP]]</f>
        <v>14012536.28475816</v>
      </c>
    </row>
    <row r="22" spans="1:15" ht="15" hidden="1" customHeight="1" x14ac:dyDescent="0.3">
      <c r="A22" s="10" t="s">
        <v>93</v>
      </c>
      <c r="B22" s="11" t="s">
        <v>19</v>
      </c>
      <c r="C22" s="11">
        <v>25</v>
      </c>
      <c r="D22" s="11">
        <v>13333333.333333334</v>
      </c>
      <c r="E22" s="11">
        <v>2162587.6666666642</v>
      </c>
      <c r="F22" s="11">
        <v>679202.95142482594</v>
      </c>
      <c r="G22" s="12">
        <f>Table521117681522293437414651589162332374253[[#This Row],[LỢI NHUẬN RÒNG]]+Table521117681522293437414651589162332374253[[#This Row],[VỐN CP]]</f>
        <v>14012536.28475816</v>
      </c>
      <c r="K22" s="11"/>
    </row>
    <row r="23" spans="1:15" ht="15" hidden="1" customHeight="1" x14ac:dyDescent="0.3">
      <c r="A23" s="10" t="s">
        <v>94</v>
      </c>
      <c r="B23" s="11" t="s">
        <v>25</v>
      </c>
      <c r="C23" s="11">
        <v>5</v>
      </c>
      <c r="D23" s="11">
        <v>2666666.666666667</v>
      </c>
      <c r="E23" s="11">
        <v>432517.53333333286</v>
      </c>
      <c r="F23" s="11">
        <v>135840.59028496518</v>
      </c>
      <c r="G23" s="12">
        <f>Table521117681522293437414651589162332374253[[#This Row],[LỢI NHUẬN RÒNG]]+Table521117681522293437414651589162332374253[[#This Row],[VỐN CP]]</f>
        <v>2802507.256951632</v>
      </c>
    </row>
    <row r="24" spans="1:15" ht="15" hidden="1" customHeight="1" x14ac:dyDescent="0.3">
      <c r="A24" s="10" t="s">
        <v>93</v>
      </c>
      <c r="B24" s="11" t="s">
        <v>33</v>
      </c>
      <c r="C24" s="11">
        <v>5</v>
      </c>
      <c r="D24" s="11">
        <v>2666666.666666667</v>
      </c>
      <c r="E24" s="11">
        <v>432517.53333333286</v>
      </c>
      <c r="F24" s="11">
        <v>135840.59028496518</v>
      </c>
      <c r="G24" s="12">
        <f>Table521117681522293437414651589162332374253[[#This Row],[LỢI NHUẬN RÒNG]]+Table521117681522293437414651589162332374253[[#This Row],[VỐN CP]]</f>
        <v>2802507.256951632</v>
      </c>
    </row>
    <row r="25" spans="1:15" ht="15" hidden="1" customHeight="1" x14ac:dyDescent="0.3">
      <c r="A25" s="10" t="s">
        <v>93</v>
      </c>
      <c r="B25" s="11" t="s">
        <v>27</v>
      </c>
      <c r="C25" s="11">
        <v>20</v>
      </c>
      <c r="D25" s="11">
        <v>10666666.666666668</v>
      </c>
      <c r="E25" s="11">
        <v>1730070.1333333314</v>
      </c>
      <c r="F25" s="11">
        <v>543362.3611398607</v>
      </c>
      <c r="G25" s="12">
        <f>Table521117681522293437414651589162332374253[[#This Row],[LỢI NHUẬN RÒNG]]+Table521117681522293437414651589162332374253[[#This Row],[VỐN CP]]</f>
        <v>11210029.027806528</v>
      </c>
    </row>
    <row r="26" spans="1:15" ht="15" customHeight="1" x14ac:dyDescent="0.3">
      <c r="A26" s="10" t="s">
        <v>93</v>
      </c>
      <c r="B26" s="11" t="s">
        <v>31</v>
      </c>
      <c r="C26" s="11">
        <v>10</v>
      </c>
      <c r="D26" s="11">
        <v>5333333.333333334</v>
      </c>
      <c r="E26" s="11">
        <v>865035.06666666572</v>
      </c>
      <c r="F26" s="11">
        <v>271681.18056993035</v>
      </c>
      <c r="G26" s="12">
        <f>Table521117681522293437414651589162332374253[[#This Row],[LỢI NHUẬN RÒNG]]+Table521117681522293437414651589162332374253[[#This Row],[VỐN CP]]</f>
        <v>5605014.513903264</v>
      </c>
    </row>
    <row r="27" spans="1:15" ht="15" hidden="1" customHeight="1" x14ac:dyDescent="0.3">
      <c r="A27" s="10" t="s">
        <v>95</v>
      </c>
      <c r="B27" s="11" t="s">
        <v>9</v>
      </c>
      <c r="C27" s="11">
        <v>35</v>
      </c>
      <c r="D27" s="11">
        <v>45237500</v>
      </c>
      <c r="E27" s="11">
        <v>19555523.75</v>
      </c>
      <c r="F27" s="11">
        <v>10036633.155326646</v>
      </c>
      <c r="G27" s="12">
        <f>Table521117681522293437414651589162332374253[[#This Row],[LỢI NHUẬN RÒNG]]+Table521117681522293437414651589162332374253[[#This Row],[VỐN CP]]</f>
        <v>55274133.15532665</v>
      </c>
      <c r="K27" s="11"/>
    </row>
    <row r="28" spans="1:15" ht="15" hidden="1" customHeight="1" x14ac:dyDescent="0.3">
      <c r="A28" s="10" t="s">
        <v>95</v>
      </c>
      <c r="B28" s="11" t="s">
        <v>19</v>
      </c>
      <c r="C28" s="11">
        <v>40</v>
      </c>
      <c r="D28" s="11">
        <v>51700000</v>
      </c>
      <c r="E28" s="11">
        <v>22349170</v>
      </c>
      <c r="F28" s="11">
        <v>11470437.891801883</v>
      </c>
      <c r="G28" s="12">
        <f>Table521117681522293437414651589162332374253[[#This Row],[LỢI NHUẬN RÒNG]]+Table521117681522293437414651589162332374253[[#This Row],[VỐN CP]]</f>
        <v>63170437.891801879</v>
      </c>
    </row>
    <row r="29" spans="1:15" ht="15" hidden="1" customHeight="1" x14ac:dyDescent="0.3">
      <c r="A29" s="10" t="s">
        <v>95</v>
      </c>
      <c r="B29" s="11" t="s">
        <v>21</v>
      </c>
      <c r="C29" s="11">
        <v>10</v>
      </c>
      <c r="D29" s="11">
        <v>12925000</v>
      </c>
      <c r="E29" s="11">
        <v>5587292.5</v>
      </c>
      <c r="F29" s="11">
        <v>2867609.4729504706</v>
      </c>
      <c r="G29" s="12">
        <f>Table521117681522293437414651589162332374253[[#This Row],[LỢI NHUẬN RÒNG]]+Table521117681522293437414651589162332374253[[#This Row],[VỐN CP]]</f>
        <v>15792609.47295047</v>
      </c>
    </row>
    <row r="30" spans="1:15" ht="15" hidden="1" customHeight="1" x14ac:dyDescent="0.3">
      <c r="A30" s="10" t="s">
        <v>95</v>
      </c>
      <c r="B30" s="11" t="s">
        <v>27</v>
      </c>
      <c r="C30" s="11">
        <v>10</v>
      </c>
      <c r="D30" s="11">
        <v>12925000</v>
      </c>
      <c r="E30" s="11">
        <v>5587292.5</v>
      </c>
      <c r="F30" s="11">
        <v>2867609.4729504706</v>
      </c>
      <c r="G30" s="12">
        <f>Table521117681522293437414651589162332374253[[#This Row],[LỢI NHUẬN RÒNG]]+Table521117681522293437414651589162332374253[[#This Row],[VỐN CP]]</f>
        <v>15792609.47295047</v>
      </c>
    </row>
    <row r="31" spans="1:15" ht="15" hidden="1" customHeight="1" x14ac:dyDescent="0.3">
      <c r="A31" s="10" t="s">
        <v>96</v>
      </c>
      <c r="B31" s="11" t="s">
        <v>9</v>
      </c>
      <c r="C31" s="11">
        <v>35</v>
      </c>
      <c r="D31" s="11">
        <v>9100000</v>
      </c>
      <c r="E31" s="11">
        <v>3253858.3</v>
      </c>
      <c r="F31" s="11">
        <v>1348071.95375431</v>
      </c>
      <c r="G31" s="12">
        <f>Table521117681522293437414651589162332374253[[#This Row],[LỢI NHUẬN RÒNG]]+Table521117681522293437414651589162332374253[[#This Row],[VỐN CP]]</f>
        <v>10448071.95375431</v>
      </c>
    </row>
    <row r="32" spans="1:15" ht="15" hidden="1" customHeight="1" x14ac:dyDescent="0.3">
      <c r="A32" s="10" t="s">
        <v>96</v>
      </c>
      <c r="B32" s="11" t="s">
        <v>19</v>
      </c>
      <c r="C32" s="11">
        <v>35</v>
      </c>
      <c r="D32" s="11">
        <v>9100000</v>
      </c>
      <c r="E32" s="11">
        <v>3253858.3</v>
      </c>
      <c r="F32" s="11">
        <v>1348071.95375431</v>
      </c>
      <c r="G32" s="12">
        <f>Table521117681522293437414651589162332374253[[#This Row],[LỢI NHUẬN RÒNG]]+Table521117681522293437414651589162332374253[[#This Row],[VỐN CP]]</f>
        <v>10448071.95375431</v>
      </c>
    </row>
    <row r="33" spans="1:7" ht="15" hidden="1" customHeight="1" x14ac:dyDescent="0.3">
      <c r="A33" s="10" t="s">
        <v>96</v>
      </c>
      <c r="B33" s="11" t="s">
        <v>27</v>
      </c>
      <c r="C33" s="11">
        <v>20</v>
      </c>
      <c r="D33" s="11">
        <v>5200000</v>
      </c>
      <c r="E33" s="11">
        <v>1859347.6</v>
      </c>
      <c r="F33" s="11">
        <v>770326.83071674849</v>
      </c>
      <c r="G33" s="12">
        <f>Table521117681522293437414651589162332374253[[#This Row],[LỢI NHUẬN RÒNG]]+Table521117681522293437414651589162332374253[[#This Row],[VỐN CP]]</f>
        <v>5970326.8307167487</v>
      </c>
    </row>
    <row r="34" spans="1:7" ht="15" hidden="1" customHeight="1" x14ac:dyDescent="0.3">
      <c r="A34" s="10" t="s">
        <v>96</v>
      </c>
      <c r="B34" s="11" t="s">
        <v>33</v>
      </c>
      <c r="C34" s="11">
        <v>10</v>
      </c>
      <c r="D34" s="11">
        <v>2600000</v>
      </c>
      <c r="E34" s="11">
        <v>929673.8</v>
      </c>
      <c r="F34" s="11">
        <v>385163.41535837424</v>
      </c>
      <c r="G34" s="12">
        <f>Table521117681522293437414651589162332374253[[#This Row],[LỢI NHUẬN RÒNG]]+Table521117681522293437414651589162332374253[[#This Row],[VỐN CP]]</f>
        <v>2985163.4153583744</v>
      </c>
    </row>
    <row r="35" spans="1:7" ht="15" hidden="1" customHeight="1" x14ac:dyDescent="0.3">
      <c r="A35" s="10" t="s">
        <v>97</v>
      </c>
      <c r="B35" s="11" t="s">
        <v>9</v>
      </c>
      <c r="C35" s="11">
        <v>35</v>
      </c>
      <c r="D35" s="11">
        <v>9100000</v>
      </c>
      <c r="E35" s="11">
        <v>3894243.15</v>
      </c>
      <c r="F35" s="11">
        <v>145588.50251495987</v>
      </c>
      <c r="G35" s="12">
        <f>Table521117681522293437414651589162332374253[[#This Row],[LỢI NHUẬN RÒNG]]+Table521117681522293437414651589162332374253[[#This Row],[VỐN CP]]</f>
        <v>9245588.5025149602</v>
      </c>
    </row>
    <row r="36" spans="1:7" ht="15" hidden="1" customHeight="1" x14ac:dyDescent="0.3">
      <c r="A36" s="10" t="s">
        <v>97</v>
      </c>
      <c r="B36" s="11" t="s">
        <v>19</v>
      </c>
      <c r="C36" s="11">
        <v>35</v>
      </c>
      <c r="D36" s="11">
        <v>9100000</v>
      </c>
      <c r="E36" s="11">
        <v>3894243.15</v>
      </c>
      <c r="F36" s="11">
        <v>145588.50251495987</v>
      </c>
      <c r="G36" s="12">
        <f>Table521117681522293437414651589162332374253[[#This Row],[LỢI NHUẬN RÒNG]]+Table521117681522293437414651589162332374253[[#This Row],[VỐN CP]]</f>
        <v>9245588.5025149602</v>
      </c>
    </row>
    <row r="37" spans="1:7" ht="15" hidden="1" customHeight="1" x14ac:dyDescent="0.3">
      <c r="A37" s="10" t="s">
        <v>97</v>
      </c>
      <c r="B37" s="11" t="s">
        <v>27</v>
      </c>
      <c r="C37" s="11">
        <v>20</v>
      </c>
      <c r="D37" s="11">
        <v>5200000</v>
      </c>
      <c r="E37" s="11">
        <v>2225281.7999999998</v>
      </c>
      <c r="F37" s="11">
        <v>83193.430008548501</v>
      </c>
      <c r="G37" s="12">
        <f>Table521117681522293437414651589162332374253[[#This Row],[LỢI NHUẬN RÒNG]]+Table521117681522293437414651589162332374253[[#This Row],[VỐN CP]]</f>
        <v>5283193.4300085483</v>
      </c>
    </row>
    <row r="38" spans="1:7" ht="15" hidden="1" customHeight="1" x14ac:dyDescent="0.3">
      <c r="A38" s="10" t="s">
        <v>97</v>
      </c>
      <c r="B38" s="11" t="s">
        <v>33</v>
      </c>
      <c r="C38" s="11">
        <v>10</v>
      </c>
      <c r="D38" s="11">
        <v>2600000</v>
      </c>
      <c r="E38" s="11">
        <v>1112640.8999999999</v>
      </c>
      <c r="F38" s="11">
        <v>41596.715004274251</v>
      </c>
      <c r="G38" s="12">
        <f>Table521117681522293437414651589162332374253[[#This Row],[LỢI NHUẬN RÒNG]]+Table521117681522293437414651589162332374253[[#This Row],[VỐN CP]]</f>
        <v>2641596.7150042742</v>
      </c>
    </row>
    <row r="39" spans="1:7" ht="15" hidden="1" customHeight="1" x14ac:dyDescent="0.3">
      <c r="A39" s="10" t="s">
        <v>98</v>
      </c>
      <c r="B39" s="11" t="s">
        <v>87</v>
      </c>
      <c r="C39" s="11">
        <v>20</v>
      </c>
      <c r="D39" s="11">
        <v>4800000</v>
      </c>
      <c r="E39" s="11">
        <v>2777289.2</v>
      </c>
      <c r="F39" s="11">
        <v>1262442.656130448</v>
      </c>
      <c r="G39" s="12">
        <f>Table521117681522293437414651589162332374253[[#This Row],[LỢI NHUẬN RÒNG]]+Table521117681522293437414651589162332374253[[#This Row],[VỐN CP]]</f>
        <v>6062442.656130448</v>
      </c>
    </row>
    <row r="40" spans="1:7" ht="15" hidden="1" customHeight="1" x14ac:dyDescent="0.3">
      <c r="A40" s="10" t="s">
        <v>98</v>
      </c>
      <c r="B40" s="11" t="s">
        <v>9</v>
      </c>
      <c r="C40" s="11">
        <v>30</v>
      </c>
      <c r="D40" s="11">
        <v>7200000</v>
      </c>
      <c r="E40" s="11">
        <v>4165933.8</v>
      </c>
      <c r="F40" s="11">
        <v>1893663.984195672</v>
      </c>
      <c r="G40" s="12">
        <f>Table521117681522293437414651589162332374253[[#This Row],[LỢI NHUẬN RÒNG]]+Table521117681522293437414651589162332374253[[#This Row],[VỐN CP]]</f>
        <v>9093663.984195672</v>
      </c>
    </row>
    <row r="41" spans="1:7" ht="15" hidden="1" customHeight="1" x14ac:dyDescent="0.3">
      <c r="A41" s="10" t="s">
        <v>98</v>
      </c>
      <c r="B41" s="11" t="s">
        <v>19</v>
      </c>
      <c r="C41" s="11">
        <v>30</v>
      </c>
      <c r="D41" s="11">
        <v>7200000</v>
      </c>
      <c r="E41" s="11">
        <v>4165933.8</v>
      </c>
      <c r="F41" s="11">
        <v>1893663.984195672</v>
      </c>
      <c r="G41" s="12">
        <f>Table521117681522293437414651589162332374253[[#This Row],[LỢI NHUẬN RÒNG]]+Table521117681522293437414651589162332374253[[#This Row],[VỐN CP]]</f>
        <v>9093663.984195672</v>
      </c>
    </row>
    <row r="42" spans="1:7" ht="15" hidden="1" customHeight="1" x14ac:dyDescent="0.3">
      <c r="A42" s="10" t="s">
        <v>98</v>
      </c>
      <c r="B42" s="11" t="s">
        <v>27</v>
      </c>
      <c r="C42" s="11">
        <v>20</v>
      </c>
      <c r="D42" s="11">
        <v>4800000</v>
      </c>
      <c r="E42" s="11">
        <v>2777289.2</v>
      </c>
      <c r="F42" s="11">
        <v>1262442.656130448</v>
      </c>
      <c r="G42" s="12">
        <f>Table521117681522293437414651589162332374253[[#This Row],[LỢI NHUẬN RÒNG]]+Table521117681522293437414651589162332374253[[#This Row],[VỐN CP]]</f>
        <v>6062442.656130448</v>
      </c>
    </row>
    <row r="43" spans="1:7" ht="15" hidden="1" customHeight="1" x14ac:dyDescent="0.3">
      <c r="A43" s="10" t="s">
        <v>99</v>
      </c>
      <c r="B43" s="11" t="s">
        <v>87</v>
      </c>
      <c r="C43" s="11">
        <v>20</v>
      </c>
      <c r="D43" s="11">
        <v>3800000</v>
      </c>
      <c r="E43" s="11">
        <v>-87351.4</v>
      </c>
      <c r="F43" s="11">
        <v>-711515.85383971781</v>
      </c>
      <c r="G43" s="12">
        <f>Table521117681522293437414651589162332374253[[#This Row],[LỢI NHUẬN RÒNG]]+Table521117681522293437414651589162332374253[[#This Row],[VỐN CP]]</f>
        <v>3088484.1461602822</v>
      </c>
    </row>
    <row r="44" spans="1:7" ht="15" hidden="1" customHeight="1" x14ac:dyDescent="0.3">
      <c r="A44" s="10" t="s">
        <v>99</v>
      </c>
      <c r="B44" s="11" t="s">
        <v>9</v>
      </c>
      <c r="C44" s="11">
        <v>25</v>
      </c>
      <c r="D44" s="11">
        <v>5000000</v>
      </c>
      <c r="E44" s="11">
        <v>-109189.25</v>
      </c>
      <c r="F44" s="11">
        <v>-889394.81729964737</v>
      </c>
      <c r="G44" s="12">
        <f>Table521117681522293437414651589162332374253[[#This Row],[LỢI NHUẬN RÒNG]]+Table521117681522293437414651589162332374253[[#This Row],[VỐN CP]]</f>
        <v>4110605.1827003527</v>
      </c>
    </row>
    <row r="45" spans="1:7" ht="15" hidden="1" customHeight="1" x14ac:dyDescent="0.3">
      <c r="A45" s="10" t="s">
        <v>99</v>
      </c>
      <c r="B45" s="11" t="s">
        <v>19</v>
      </c>
      <c r="C45" s="11">
        <v>25</v>
      </c>
      <c r="D45" s="11">
        <v>5000000</v>
      </c>
      <c r="E45" s="11">
        <v>-109189.25</v>
      </c>
      <c r="F45" s="11">
        <v>-889394.81729964737</v>
      </c>
      <c r="G45" s="12">
        <f>Table521117681522293437414651589162332374253[[#This Row],[LỢI NHUẬN RÒNG]]+Table521117681522293437414651589162332374253[[#This Row],[VỐN CP]]</f>
        <v>4110605.1827003527</v>
      </c>
    </row>
    <row r="46" spans="1:7" ht="15" hidden="1" customHeight="1" x14ac:dyDescent="0.3">
      <c r="A46" s="10" t="s">
        <v>99</v>
      </c>
      <c r="B46" s="11" t="s">
        <v>27</v>
      </c>
      <c r="C46" s="11">
        <v>30</v>
      </c>
      <c r="D46" s="11">
        <v>5700000</v>
      </c>
      <c r="E46" s="11">
        <v>-131027.1</v>
      </c>
      <c r="F46" s="11">
        <v>-1067273.7807595767</v>
      </c>
      <c r="G46" s="12">
        <f>Table521117681522293437414651589162332374253[[#This Row],[LỢI NHUẬN RÒNG]]+Table521117681522293437414651589162332374253[[#This Row],[VỐN CP]]</f>
        <v>4632726.2192404233</v>
      </c>
    </row>
    <row r="47" spans="1:7" ht="15" hidden="1" customHeight="1" x14ac:dyDescent="0.3">
      <c r="A47" s="10" t="s">
        <v>100</v>
      </c>
      <c r="B47" s="11" t="s">
        <v>87</v>
      </c>
      <c r="C47" s="11">
        <v>20</v>
      </c>
      <c r="D47" s="11">
        <v>5400000</v>
      </c>
      <c r="E47" s="11">
        <v>2092165.6</v>
      </c>
      <c r="F47" s="11">
        <v>1107285.3048591674</v>
      </c>
      <c r="G47" s="12">
        <f>Table521117681522293437414651589162332374253[[#This Row],[LỢI NHUẬN RÒNG]]+Table521117681522293437414651589162332374253[[#This Row],[VỐN CP]]</f>
        <v>6507285.304859167</v>
      </c>
    </row>
    <row r="48" spans="1:7" ht="15" hidden="1" customHeight="1" x14ac:dyDescent="0.3">
      <c r="A48" s="10" t="s">
        <v>100</v>
      </c>
      <c r="B48" s="11" t="s">
        <v>9</v>
      </c>
      <c r="C48" s="11">
        <v>30</v>
      </c>
      <c r="D48" s="11">
        <v>8100000</v>
      </c>
      <c r="E48" s="11">
        <v>3138248.4</v>
      </c>
      <c r="F48" s="11">
        <v>1660927.9572887509</v>
      </c>
      <c r="G48" s="12">
        <f>Table521117681522293437414651589162332374253[[#This Row],[LỢI NHUẬN RÒNG]]+Table521117681522293437414651589162332374253[[#This Row],[VỐN CP]]</f>
        <v>9760927.9572887514</v>
      </c>
    </row>
    <row r="49" spans="1:7" ht="15" hidden="1" customHeight="1" x14ac:dyDescent="0.3">
      <c r="A49" s="10" t="s">
        <v>100</v>
      </c>
      <c r="B49" s="11" t="s">
        <v>19</v>
      </c>
      <c r="C49" s="11">
        <v>30</v>
      </c>
      <c r="D49" s="11">
        <v>8100000</v>
      </c>
      <c r="E49" s="11">
        <v>3138248.4</v>
      </c>
      <c r="F49" s="11">
        <v>1660927.9572887509</v>
      </c>
      <c r="G49" s="12">
        <f>Table521117681522293437414651589162332374253[[#This Row],[LỢI NHUẬN RÒNG]]+Table521117681522293437414651589162332374253[[#This Row],[VỐN CP]]</f>
        <v>9760927.9572887514</v>
      </c>
    </row>
    <row r="50" spans="1:7" ht="15" hidden="1" customHeight="1" x14ac:dyDescent="0.3">
      <c r="A50" s="10" t="s">
        <v>100</v>
      </c>
      <c r="B50" s="11" t="s">
        <v>27</v>
      </c>
      <c r="C50" s="11">
        <v>20</v>
      </c>
      <c r="D50" s="11">
        <v>5400000</v>
      </c>
      <c r="E50" s="11">
        <v>2092165.6</v>
      </c>
      <c r="F50" s="11">
        <v>1107285.3048591674</v>
      </c>
      <c r="G50" s="12">
        <f>Table521117681522293437414651589162332374253[[#This Row],[LỢI NHUẬN RÒNG]]+Table521117681522293437414651589162332374253[[#This Row],[VỐN CP]]</f>
        <v>6507285.304859167</v>
      </c>
    </row>
    <row r="51" spans="1:7" ht="15" hidden="1" customHeight="1" x14ac:dyDescent="0.3">
      <c r="A51" s="10" t="s">
        <v>101</v>
      </c>
      <c r="B51" s="11" t="s">
        <v>87</v>
      </c>
      <c r="C51" s="11">
        <v>20</v>
      </c>
      <c r="D51" s="11">
        <v>6600000</v>
      </c>
      <c r="E51" s="11">
        <v>2611155.6</v>
      </c>
      <c r="F51" s="11">
        <v>1940379.3042665808</v>
      </c>
      <c r="G51" s="12">
        <f>Table521117681522293437414651589162332374253[[#This Row],[LỢI NHUẬN RÒNG]]+Table521117681522293437414651589162332374253[[#This Row],[VỐN CP]]</f>
        <v>8540379.3042665813</v>
      </c>
    </row>
    <row r="52" spans="1:7" ht="15" hidden="1" customHeight="1" x14ac:dyDescent="0.3">
      <c r="A52" s="10" t="s">
        <v>101</v>
      </c>
      <c r="B52" s="11" t="s">
        <v>9</v>
      </c>
      <c r="C52" s="11">
        <v>30</v>
      </c>
      <c r="D52" s="11">
        <v>9900000</v>
      </c>
      <c r="E52" s="11">
        <v>3916733.4</v>
      </c>
      <c r="F52" s="11">
        <v>2910568.956399871</v>
      </c>
      <c r="G52" s="12">
        <f>Table521117681522293437414651589162332374253[[#This Row],[LỢI NHUẬN RÒNG]]+Table521117681522293437414651589162332374253[[#This Row],[VỐN CP]]</f>
        <v>12810568.956399871</v>
      </c>
    </row>
    <row r="53" spans="1:7" ht="15" hidden="1" customHeight="1" x14ac:dyDescent="0.3">
      <c r="A53" s="10" t="s">
        <v>101</v>
      </c>
      <c r="B53" s="11" t="s">
        <v>19</v>
      </c>
      <c r="C53" s="11">
        <v>30</v>
      </c>
      <c r="D53" s="11">
        <v>9900000</v>
      </c>
      <c r="E53" s="11">
        <v>3916733.4</v>
      </c>
      <c r="F53" s="11">
        <v>2910568.956399871</v>
      </c>
      <c r="G53" s="12">
        <f>Table521117681522293437414651589162332374253[[#This Row],[LỢI NHUẬN RÒNG]]+Table521117681522293437414651589162332374253[[#This Row],[VỐN CP]]</f>
        <v>12810568.956399871</v>
      </c>
    </row>
    <row r="54" spans="1:7" ht="15" hidden="1" customHeight="1" x14ac:dyDescent="0.3">
      <c r="A54" s="10" t="s">
        <v>101</v>
      </c>
      <c r="B54" s="11" t="s">
        <v>27</v>
      </c>
      <c r="C54" s="11">
        <v>20</v>
      </c>
      <c r="D54" s="11">
        <v>6600000</v>
      </c>
      <c r="E54" s="11">
        <v>2611155.6</v>
      </c>
      <c r="F54" s="11">
        <v>1940379.3042665808</v>
      </c>
      <c r="G54" s="12">
        <f>Table521117681522293437414651589162332374253[[#This Row],[LỢI NHUẬN RÒNG]]+Table521117681522293437414651589162332374253[[#This Row],[VỐN CP]]</f>
        <v>8540379.3042665813</v>
      </c>
    </row>
    <row r="55" spans="1:7" ht="15" hidden="1" customHeight="1" x14ac:dyDescent="0.3">
      <c r="A55" s="10" t="s">
        <v>102</v>
      </c>
      <c r="B55" s="11" t="s">
        <v>87</v>
      </c>
      <c r="C55" s="11">
        <v>30</v>
      </c>
      <c r="D55" s="11">
        <v>14250000</v>
      </c>
      <c r="E55" s="11">
        <v>8312156.7000000002</v>
      </c>
      <c r="F55" s="11">
        <v>6442227.4745088909</v>
      </c>
      <c r="G55" s="12">
        <f>Table521117681522293437414651589162332374253[[#This Row],[LỢI NHUẬN RÒNG]]+Table521117681522293437414651589162332374253[[#This Row],[VỐN CP]]</f>
        <v>20692227.474508889</v>
      </c>
    </row>
    <row r="56" spans="1:7" ht="15" hidden="1" customHeight="1" x14ac:dyDescent="0.3">
      <c r="A56" s="10" t="s">
        <v>102</v>
      </c>
      <c r="B56" s="11" t="s">
        <v>9</v>
      </c>
      <c r="C56" s="11">
        <v>25</v>
      </c>
      <c r="D56" s="11">
        <v>11875000</v>
      </c>
      <c r="E56" s="11">
        <v>6926797.25</v>
      </c>
      <c r="F56" s="11">
        <v>5368522.8954240754</v>
      </c>
      <c r="G56" s="12">
        <f>Table521117681522293437414651589162332374253[[#This Row],[LỢI NHUẬN RÒNG]]+Table521117681522293437414651589162332374253[[#This Row],[VỐN CP]]</f>
        <v>17243522.895424075</v>
      </c>
    </row>
    <row r="57" spans="1:7" ht="15" hidden="1" customHeight="1" x14ac:dyDescent="0.3">
      <c r="A57" s="10" t="s">
        <v>102</v>
      </c>
      <c r="B57" s="11" t="s">
        <v>19</v>
      </c>
      <c r="C57" s="11">
        <v>25</v>
      </c>
      <c r="D57" s="11">
        <v>11875000</v>
      </c>
      <c r="E57" s="11">
        <v>6926797.25</v>
      </c>
      <c r="F57" s="11">
        <v>5368522.8954240754</v>
      </c>
      <c r="G57" s="12">
        <f>Table521117681522293437414651589162332374253[[#This Row],[LỢI NHUẬN RÒNG]]+Table521117681522293437414651589162332374253[[#This Row],[VỐN CP]]</f>
        <v>17243522.895424075</v>
      </c>
    </row>
    <row r="58" spans="1:7" ht="15" hidden="1" customHeight="1" x14ac:dyDescent="0.3">
      <c r="A58" s="10" t="s">
        <v>102</v>
      </c>
      <c r="B58" s="11" t="s">
        <v>27</v>
      </c>
      <c r="C58" s="11">
        <v>20</v>
      </c>
      <c r="D58" s="11">
        <v>9500000</v>
      </c>
      <c r="E58" s="11">
        <v>5541437.7999999998</v>
      </c>
      <c r="F58" s="11">
        <v>4294818.31633926</v>
      </c>
      <c r="G58" s="12">
        <f>Table521117681522293437414651589162332374253[[#This Row],[LỢI NHUẬN RÒNG]]+Table521117681522293437414651589162332374253[[#This Row],[VỐN CP]]</f>
        <v>13794818.31633926</v>
      </c>
    </row>
    <row r="59" spans="1:7" ht="15" hidden="1" customHeight="1" x14ac:dyDescent="0.3">
      <c r="A59" s="10" t="s">
        <v>103</v>
      </c>
      <c r="B59" s="11" t="s">
        <v>87</v>
      </c>
      <c r="C59" s="11">
        <v>30</v>
      </c>
      <c r="D59" s="11">
        <v>19950000</v>
      </c>
      <c r="E59" s="11">
        <v>10724707.199999999</v>
      </c>
      <c r="F59" s="11">
        <v>6833591.7232961114</v>
      </c>
      <c r="G59" s="12">
        <f>Table521117681522293437414651589162332374253[[#This Row],[LỢI NHUẬN RÒNG]]+Table521117681522293437414651589162332374253[[#This Row],[VỐN CP]]</f>
        <v>26783591.723296113</v>
      </c>
    </row>
    <row r="60" spans="1:7" ht="15" hidden="1" customHeight="1" x14ac:dyDescent="0.3">
      <c r="A60" s="10" t="s">
        <v>103</v>
      </c>
      <c r="B60" s="11" t="s">
        <v>9</v>
      </c>
      <c r="C60" s="11">
        <v>25</v>
      </c>
      <c r="D60" s="11">
        <v>16625000</v>
      </c>
      <c r="E60" s="11">
        <v>8937256</v>
      </c>
      <c r="F60" s="11">
        <v>5694659.7694134256</v>
      </c>
      <c r="G60" s="12">
        <f>Table521117681522293437414651589162332374253[[#This Row],[LỢI NHUẬN RÒNG]]+Table521117681522293437414651589162332374253[[#This Row],[VỐN CP]]</f>
        <v>22319659.769413427</v>
      </c>
    </row>
    <row r="61" spans="1:7" ht="15" hidden="1" customHeight="1" x14ac:dyDescent="0.3">
      <c r="A61" s="10" t="s">
        <v>103</v>
      </c>
      <c r="B61" s="11" t="s">
        <v>19</v>
      </c>
      <c r="C61" s="11">
        <v>25</v>
      </c>
      <c r="D61" s="11">
        <v>16625000</v>
      </c>
      <c r="E61" s="11">
        <v>8937256</v>
      </c>
      <c r="F61" s="11">
        <v>5694659.7694134256</v>
      </c>
      <c r="G61" s="12">
        <f>Table521117681522293437414651589162332374253[[#This Row],[LỢI NHUẬN RÒNG]]+Table521117681522293437414651589162332374253[[#This Row],[VỐN CP]]</f>
        <v>22319659.769413427</v>
      </c>
    </row>
    <row r="62" spans="1:7" ht="15" hidden="1" customHeight="1" x14ac:dyDescent="0.3">
      <c r="A62" s="10" t="s">
        <v>103</v>
      </c>
      <c r="B62" s="11" t="s">
        <v>27</v>
      </c>
      <c r="C62" s="11">
        <v>20</v>
      </c>
      <c r="D62" s="11">
        <v>13300000</v>
      </c>
      <c r="E62" s="11">
        <v>7149804.7999999998</v>
      </c>
      <c r="F62" s="11">
        <v>4555727.8155307416</v>
      </c>
      <c r="G62" s="12">
        <f>Table521117681522293437414651589162332374253[[#This Row],[LỢI NHUẬN RÒNG]]+Table521117681522293437414651589162332374253[[#This Row],[VỐN CP]]</f>
        <v>17855727.81553074</v>
      </c>
    </row>
    <row r="63" spans="1:7" ht="15" hidden="1" customHeight="1" x14ac:dyDescent="0.3">
      <c r="A63" s="10" t="s">
        <v>104</v>
      </c>
      <c r="B63" s="11" t="s">
        <v>9</v>
      </c>
      <c r="C63" s="11">
        <v>25</v>
      </c>
      <c r="D63" s="11">
        <v>7500000</v>
      </c>
      <c r="E63" s="11">
        <v>2053388</v>
      </c>
      <c r="F63" s="11">
        <v>1187810.3360178918</v>
      </c>
      <c r="G63" s="12">
        <f>Table521117681522293437414651589162332374253[[#This Row],[LỢI NHUẬN RÒNG]]+Table521117681522293437414651589162332374253[[#This Row],[VỐN CP]]</f>
        <v>8687810.3360178918</v>
      </c>
    </row>
    <row r="64" spans="1:7" ht="15" hidden="1" customHeight="1" x14ac:dyDescent="0.3">
      <c r="A64" s="10" t="s">
        <v>104</v>
      </c>
      <c r="B64" s="11" t="s">
        <v>19</v>
      </c>
      <c r="C64" s="11">
        <v>25</v>
      </c>
      <c r="D64" s="11">
        <v>7500000</v>
      </c>
      <c r="E64" s="11">
        <v>2053388</v>
      </c>
      <c r="F64" s="11">
        <v>1187810.3360178918</v>
      </c>
      <c r="G64" s="12">
        <f>Table521117681522293437414651589162332374253[[#This Row],[LỢI NHUẬN RÒNG]]+Table521117681522293437414651589162332374253[[#This Row],[VỐN CP]]</f>
        <v>8687810.3360178918</v>
      </c>
    </row>
    <row r="65" spans="1:7" ht="15" hidden="1" customHeight="1" x14ac:dyDescent="0.3">
      <c r="A65" s="10" t="s">
        <v>104</v>
      </c>
      <c r="B65" s="11" t="s">
        <v>27</v>
      </c>
      <c r="C65" s="11">
        <v>50</v>
      </c>
      <c r="D65" s="11">
        <v>15000000</v>
      </c>
      <c r="E65" s="11">
        <v>4106776</v>
      </c>
      <c r="F65" s="11">
        <v>2375620.6720357835</v>
      </c>
      <c r="G65" s="12">
        <f>Table521117681522293437414651589162332374253[[#This Row],[LỢI NHUẬN RÒNG]]+Table521117681522293437414651589162332374253[[#This Row],[VỐN CP]]</f>
        <v>17375620.672035784</v>
      </c>
    </row>
    <row r="66" spans="1:7" ht="15" hidden="1" customHeight="1" x14ac:dyDescent="0.3">
      <c r="A66" s="10" t="s">
        <v>105</v>
      </c>
      <c r="B66" s="11" t="s">
        <v>9</v>
      </c>
      <c r="C66" s="11">
        <v>25</v>
      </c>
      <c r="D66" s="11">
        <v>10000000</v>
      </c>
      <c r="E66" s="11">
        <v>6355677</v>
      </c>
      <c r="F66" s="11">
        <v>2965768.7196543664</v>
      </c>
      <c r="G66" s="12">
        <f>Table521117681522293437414651589162332374253[[#This Row],[LỢI NHUẬN RÒNG]]+Table521117681522293437414651589162332374253[[#This Row],[VỐN CP]]</f>
        <v>12965768.719654366</v>
      </c>
    </row>
    <row r="67" spans="1:7" ht="15" hidden="1" customHeight="1" x14ac:dyDescent="0.3">
      <c r="A67" s="10" t="s">
        <v>105</v>
      </c>
      <c r="B67" s="11" t="s">
        <v>19</v>
      </c>
      <c r="C67" s="11">
        <v>25</v>
      </c>
      <c r="D67" s="11">
        <v>10000000</v>
      </c>
      <c r="E67" s="11">
        <v>6355677</v>
      </c>
      <c r="F67" s="11">
        <v>2965768.7196543664</v>
      </c>
      <c r="G67" s="12">
        <f>Table521117681522293437414651589162332374253[[#This Row],[LỢI NHUẬN RÒNG]]+Table521117681522293437414651589162332374253[[#This Row],[VỐN CP]]</f>
        <v>12965768.719654366</v>
      </c>
    </row>
    <row r="68" spans="1:7" ht="15" hidden="1" customHeight="1" x14ac:dyDescent="0.3">
      <c r="A68" s="10" t="s">
        <v>105</v>
      </c>
      <c r="B68" s="11" t="s">
        <v>27</v>
      </c>
      <c r="C68" s="11">
        <v>50</v>
      </c>
      <c r="D68" s="11">
        <v>20000000</v>
      </c>
      <c r="E68" s="11">
        <v>12711354</v>
      </c>
      <c r="F68" s="11">
        <v>5931537.4393087327</v>
      </c>
      <c r="G68" s="12">
        <f>Table521117681522293437414651589162332374253[[#This Row],[LỢI NHUẬN RÒNG]]+Table521117681522293437414651589162332374253[[#This Row],[VỐN CP]]</f>
        <v>25931537.439308733</v>
      </c>
    </row>
    <row r="69" spans="1:7" ht="13.5" hidden="1" customHeight="1" x14ac:dyDescent="0.3">
      <c r="A69" s="10" t="s">
        <v>106</v>
      </c>
      <c r="B69" s="11" t="s">
        <v>9</v>
      </c>
      <c r="C69" s="11">
        <v>35</v>
      </c>
      <c r="D69" s="11">
        <v>10850000</v>
      </c>
      <c r="E69" s="11">
        <v>4514475</v>
      </c>
      <c r="F69" s="11">
        <v>2909203.0004351847</v>
      </c>
      <c r="G69" s="12">
        <f>Table521117681522293437414651589162332374253[[#This Row],[LỢI NHUẬN RÒNG]]+Table521117681522293437414651589162332374253[[#This Row],[VỐN CP]]</f>
        <v>13759203.000435185</v>
      </c>
    </row>
    <row r="70" spans="1:7" ht="15" hidden="1" customHeight="1" x14ac:dyDescent="0.3">
      <c r="A70" s="10" t="s">
        <v>106</v>
      </c>
      <c r="B70" s="11" t="s">
        <v>19</v>
      </c>
      <c r="C70" s="11">
        <v>35</v>
      </c>
      <c r="D70" s="11">
        <v>10850000</v>
      </c>
      <c r="E70" s="11">
        <v>4514475</v>
      </c>
      <c r="F70" s="11">
        <v>2909203.0004351847</v>
      </c>
      <c r="G70" s="12">
        <f>Table521117681522293437414651589162332374253[[#This Row],[LỢI NHUẬN RÒNG]]+Table521117681522293437414651589162332374253[[#This Row],[VỐN CP]]</f>
        <v>13759203.000435185</v>
      </c>
    </row>
    <row r="71" spans="1:7" ht="15" hidden="1" customHeight="1" x14ac:dyDescent="0.3">
      <c r="A71" s="10" t="s">
        <v>106</v>
      </c>
      <c r="B71" s="11" t="s">
        <v>27</v>
      </c>
      <c r="C71" s="11">
        <v>20</v>
      </c>
      <c r="D71" s="11">
        <v>6200000</v>
      </c>
      <c r="E71" s="11">
        <v>2579700</v>
      </c>
      <c r="F71" s="11">
        <v>1662401.7145343914</v>
      </c>
      <c r="G71" s="12">
        <f>Table521117681522293437414651589162332374253[[#This Row],[LỢI NHUẬN RÒNG]]+Table521117681522293437414651589162332374253[[#This Row],[VỐN CP]]</f>
        <v>7862401.7145343916</v>
      </c>
    </row>
    <row r="72" spans="1:7" ht="15" customHeight="1" x14ac:dyDescent="0.3">
      <c r="A72" s="10" t="s">
        <v>106</v>
      </c>
      <c r="B72" s="11" t="s">
        <v>31</v>
      </c>
      <c r="C72" s="11">
        <v>10</v>
      </c>
      <c r="D72" s="11">
        <v>3100000</v>
      </c>
      <c r="E72" s="11">
        <v>1289850</v>
      </c>
      <c r="F72" s="11">
        <v>831200.85726719571</v>
      </c>
      <c r="G72" s="12">
        <f>Table521117681522293437414651589162332374253[[#This Row],[LỢI NHUẬN RÒNG]]+Table521117681522293437414651589162332374253[[#This Row],[VỐN CP]]</f>
        <v>3931200.8572671958</v>
      </c>
    </row>
    <row r="73" spans="1:7" ht="15" hidden="1" customHeight="1" x14ac:dyDescent="0.3">
      <c r="A73" s="10" t="s">
        <v>107</v>
      </c>
      <c r="B73" s="11" t="s">
        <v>9</v>
      </c>
      <c r="C73" s="11">
        <v>20</v>
      </c>
      <c r="D73" s="11">
        <v>4800000</v>
      </c>
      <c r="E73" s="11">
        <v>4310991.2</v>
      </c>
      <c r="F73" s="11">
        <v>2797462.0038363575</v>
      </c>
      <c r="G73" s="12">
        <f>Table521117681522293437414651589162332374253[[#This Row],[LỢI NHUẬN RÒNG]]+Table521117681522293437414651589162332374253[[#This Row],[VỐN CP]]</f>
        <v>7597462.003836358</v>
      </c>
    </row>
    <row r="74" spans="1:7" ht="15" hidden="1" customHeight="1" x14ac:dyDescent="0.3">
      <c r="A74" s="10" t="s">
        <v>107</v>
      </c>
      <c r="B74" s="11" t="s">
        <v>19</v>
      </c>
      <c r="C74" s="11">
        <v>20</v>
      </c>
      <c r="D74" s="11">
        <v>4800000</v>
      </c>
      <c r="E74" s="11">
        <v>4310991.2</v>
      </c>
      <c r="F74" s="11">
        <v>2797462.0038363575</v>
      </c>
      <c r="G74" s="12">
        <f>Table521117681522293437414651589162332374253[[#This Row],[LỢI NHUẬN RÒNG]]+Table521117681522293437414651589162332374253[[#This Row],[VỐN CP]]</f>
        <v>7597462.003836358</v>
      </c>
    </row>
    <row r="75" spans="1:7" hidden="1" x14ac:dyDescent="0.3">
      <c r="A75" s="10" t="s">
        <v>107</v>
      </c>
      <c r="B75" s="11" t="s">
        <v>27</v>
      </c>
      <c r="C75" s="11">
        <v>50</v>
      </c>
      <c r="D75" s="11">
        <v>12000000</v>
      </c>
      <c r="E75" s="11">
        <v>10777478</v>
      </c>
      <c r="F75" s="11">
        <v>6993655.009590894</v>
      </c>
      <c r="G75" s="12">
        <f>Table521117681522293437414651589162332374253[[#This Row],[LỢI NHUẬN RÒNG]]+Table521117681522293437414651589162332374253[[#This Row],[VỐN CP]]</f>
        <v>18993655.009590894</v>
      </c>
    </row>
    <row r="76" spans="1:7" ht="15" hidden="1" customHeight="1" x14ac:dyDescent="0.3">
      <c r="A76" s="10" t="s">
        <v>107</v>
      </c>
      <c r="B76" s="11" t="s">
        <v>91</v>
      </c>
      <c r="C76" s="11">
        <v>10</v>
      </c>
      <c r="D76" s="11">
        <v>2400000</v>
      </c>
      <c r="E76" s="11">
        <v>2155495.6</v>
      </c>
      <c r="F76" s="11">
        <v>1398731.0019181788</v>
      </c>
      <c r="G76" s="12">
        <f>Table521117681522293437414651589162332374253[[#This Row],[LỢI NHUẬN RÒNG]]+Table521117681522293437414651589162332374253[[#This Row],[VỐN CP]]</f>
        <v>3798731.001918179</v>
      </c>
    </row>
    <row r="77" spans="1:7" ht="15" hidden="1" customHeight="1" x14ac:dyDescent="0.3">
      <c r="A77" s="10" t="s">
        <v>108</v>
      </c>
      <c r="B77" s="11" t="s">
        <v>9</v>
      </c>
      <c r="C77" s="11">
        <v>20</v>
      </c>
      <c r="D77" s="11">
        <v>12000000</v>
      </c>
      <c r="E77" s="11">
        <v>6944060.3333333349</v>
      </c>
      <c r="F77" s="11">
        <v>5166737.0827202378</v>
      </c>
      <c r="G77" s="12">
        <f>Table521117681522293437414651589162332374253[[#This Row],[LỢI NHUẬN RÒNG]]+Table521117681522293437414651589162332374253[[#This Row],[VỐN CP]]</f>
        <v>17166737.082720239</v>
      </c>
    </row>
    <row r="78" spans="1:7" ht="15" hidden="1" customHeight="1" x14ac:dyDescent="0.3">
      <c r="A78" s="10" t="s">
        <v>108</v>
      </c>
      <c r="B78" s="11" t="s">
        <v>19</v>
      </c>
      <c r="C78" s="11">
        <v>20</v>
      </c>
      <c r="D78" s="11">
        <v>12000000</v>
      </c>
      <c r="E78" s="11">
        <v>6944060.3333333349</v>
      </c>
      <c r="F78" s="11">
        <v>5166737.0827202378</v>
      </c>
      <c r="G78" s="12">
        <f>Table521117681522293437414651589162332374253[[#This Row],[LỢI NHUẬN RÒNG]]+Table521117681522293437414651589162332374253[[#This Row],[VỐN CP]]</f>
        <v>17166737.082720239</v>
      </c>
    </row>
    <row r="79" spans="1:7" ht="15" hidden="1" customHeight="1" x14ac:dyDescent="0.3">
      <c r="A79" s="10" t="s">
        <v>108</v>
      </c>
      <c r="B79" s="11" t="s">
        <v>27</v>
      </c>
      <c r="C79" s="11">
        <v>50</v>
      </c>
      <c r="D79" s="11">
        <v>30000000</v>
      </c>
      <c r="E79" s="11">
        <v>17360150.833333336</v>
      </c>
      <c r="F79" s="11">
        <v>12916842.706800595</v>
      </c>
      <c r="G79" s="12">
        <f>Table521117681522293437414651589162332374253[[#This Row],[LỢI NHUẬN RÒNG]]+Table521117681522293437414651589162332374253[[#This Row],[VỐN CP]]</f>
        <v>42916842.706800595</v>
      </c>
    </row>
    <row r="80" spans="1:7" hidden="1" x14ac:dyDescent="0.3">
      <c r="A80" s="10" t="s">
        <v>108</v>
      </c>
      <c r="B80" s="11" t="s">
        <v>91</v>
      </c>
      <c r="C80" s="11">
        <v>10</v>
      </c>
      <c r="D80" s="11">
        <v>6000000</v>
      </c>
      <c r="E80" s="11">
        <v>3472030.1666666674</v>
      </c>
      <c r="F80" s="11">
        <v>2583368.5413601189</v>
      </c>
      <c r="G80" s="12">
        <f>Table521117681522293437414651589162332374253[[#This Row],[LỢI NHUẬN RÒNG]]+Table521117681522293437414651589162332374253[[#This Row],[VỐN CP]]</f>
        <v>8583368.5413601194</v>
      </c>
    </row>
    <row r="81" spans="1:7" ht="15" hidden="1" customHeight="1" x14ac:dyDescent="0.3">
      <c r="A81" s="10" t="s">
        <v>109</v>
      </c>
      <c r="B81" s="11" t="s">
        <v>9</v>
      </c>
      <c r="C81" s="11">
        <v>35</v>
      </c>
      <c r="D81" s="11">
        <v>8190000</v>
      </c>
      <c r="E81" s="11">
        <v>4152293.6</v>
      </c>
      <c r="F81" s="11">
        <v>3078006.3128798846</v>
      </c>
      <c r="G81" s="12">
        <f>Table521117681522293437414651589162332374253[[#This Row],[LỢI NHUẬN RÒNG]]+Table521117681522293437414651589162332374253[[#This Row],[VỐN CP]]</f>
        <v>11268006.312879885</v>
      </c>
    </row>
    <row r="82" spans="1:7" ht="15" hidden="1" customHeight="1" x14ac:dyDescent="0.3">
      <c r="A82" s="10" t="s">
        <v>109</v>
      </c>
      <c r="B82" s="11" t="s">
        <v>19</v>
      </c>
      <c r="C82" s="11">
        <v>35</v>
      </c>
      <c r="D82" s="11">
        <v>8190000</v>
      </c>
      <c r="E82" s="11">
        <v>4152293.6</v>
      </c>
      <c r="F82" s="11">
        <v>3078006.3128798846</v>
      </c>
      <c r="G82" s="12">
        <f>Table521117681522293437414651589162332374253[[#This Row],[LỢI NHUẬN RÒNG]]+Table521117681522293437414651589162332374253[[#This Row],[VỐN CP]]</f>
        <v>11268006.312879885</v>
      </c>
    </row>
    <row r="83" spans="1:7" ht="15" hidden="1" customHeight="1" x14ac:dyDescent="0.3">
      <c r="A83" s="10" t="s">
        <v>109</v>
      </c>
      <c r="B83" s="11" t="s">
        <v>27</v>
      </c>
      <c r="C83" s="11">
        <v>30</v>
      </c>
      <c r="D83" s="11">
        <v>7020000</v>
      </c>
      <c r="E83" s="11">
        <v>3559108.8</v>
      </c>
      <c r="F83" s="11">
        <v>2638291.1253256155</v>
      </c>
      <c r="G83" s="12">
        <f>Table521117681522293437414651589162332374253[[#This Row],[LỢI NHUẬN RÒNG]]+Table521117681522293437414651589162332374253[[#This Row],[VỐN CP]]</f>
        <v>9658291.1253256164</v>
      </c>
    </row>
    <row r="84" spans="1:7" ht="15" hidden="1" customHeight="1" x14ac:dyDescent="0.3">
      <c r="A84" s="10" t="s">
        <v>110</v>
      </c>
      <c r="B84" s="11" t="s">
        <v>9</v>
      </c>
      <c r="C84" s="11">
        <v>30</v>
      </c>
      <c r="D84" s="11">
        <v>7500000</v>
      </c>
      <c r="E84" s="11">
        <v>4944951.9000000004</v>
      </c>
      <c r="F84" s="11">
        <v>3487003.586718048</v>
      </c>
      <c r="G84" s="12">
        <f>Table521117681522293437414651589162332374253[[#This Row],[LỢI NHUẬN RÒNG]]+Table521117681522293437414651589162332374253[[#This Row],[VỐN CP]]</f>
        <v>10987003.586718049</v>
      </c>
    </row>
    <row r="85" spans="1:7" ht="15" hidden="1" customHeight="1" x14ac:dyDescent="0.3">
      <c r="A85" s="10" t="s">
        <v>110</v>
      </c>
      <c r="B85" s="11" t="s">
        <v>19</v>
      </c>
      <c r="C85" s="11">
        <v>30</v>
      </c>
      <c r="D85" s="11">
        <v>7500000</v>
      </c>
      <c r="E85" s="11">
        <v>4944951.9000000004</v>
      </c>
      <c r="F85" s="11">
        <v>3487003.586718048</v>
      </c>
      <c r="G85" s="12">
        <f>Table521117681522293437414651589162332374253[[#This Row],[LỢI NHUẬN RÒNG]]+Table521117681522293437414651589162332374253[[#This Row],[VỐN CP]]</f>
        <v>10987003.586718049</v>
      </c>
    </row>
    <row r="86" spans="1:7" ht="15" hidden="1" customHeight="1" x14ac:dyDescent="0.3">
      <c r="A86" s="10" t="s">
        <v>110</v>
      </c>
      <c r="B86" s="11" t="s">
        <v>21</v>
      </c>
      <c r="C86" s="11">
        <v>15</v>
      </c>
      <c r="D86" s="11">
        <v>3750000</v>
      </c>
      <c r="E86" s="11">
        <v>2472475.9500000002</v>
      </c>
      <c r="F86" s="11">
        <v>1743501.793359024</v>
      </c>
      <c r="G86" s="12">
        <f>Table521117681522293437414651589162332374253[[#This Row],[LỢI NHUẬN RÒNG]]+Table521117681522293437414651589162332374253[[#This Row],[VỐN CP]]</f>
        <v>5493501.7933590245</v>
      </c>
    </row>
    <row r="87" spans="1:7" ht="15" hidden="1" customHeight="1" x14ac:dyDescent="0.3">
      <c r="A87" s="10" t="s">
        <v>110</v>
      </c>
      <c r="B87" s="11" t="s">
        <v>27</v>
      </c>
      <c r="C87" s="11">
        <v>25</v>
      </c>
      <c r="D87" s="11">
        <v>6250000</v>
      </c>
      <c r="E87" s="11">
        <v>4120793.25</v>
      </c>
      <c r="F87" s="11">
        <v>2905836.3222650401</v>
      </c>
      <c r="G87" s="12">
        <f>Table521117681522293437414651589162332374253[[#This Row],[LỢI NHUẬN RÒNG]]+Table521117681522293437414651589162332374253[[#This Row],[VỐN CP]]</f>
        <v>9155836.3222650401</v>
      </c>
    </row>
    <row r="88" spans="1:7" ht="15" hidden="1" customHeight="1" x14ac:dyDescent="0.3">
      <c r="A88" s="10" t="s">
        <v>111</v>
      </c>
      <c r="B88" s="11" t="s">
        <v>9</v>
      </c>
      <c r="C88" s="11">
        <v>30</v>
      </c>
      <c r="D88" s="11">
        <v>34500000</v>
      </c>
      <c r="E88" s="11">
        <v>14028745.800000001</v>
      </c>
      <c r="F88" s="11">
        <v>6581422.7662438806</v>
      </c>
      <c r="G88" s="12">
        <f>Table521117681522293437414651589162332374253[[#This Row],[LỢI NHUẬN RÒNG]]+Table521117681522293437414651589162332374253[[#This Row],[VỐN CP]]</f>
        <v>41081422.766243882</v>
      </c>
    </row>
    <row r="89" spans="1:7" ht="15" hidden="1" customHeight="1" x14ac:dyDescent="0.3">
      <c r="A89" s="10" t="s">
        <v>111</v>
      </c>
      <c r="B89" s="11" t="s">
        <v>19</v>
      </c>
      <c r="C89" s="11">
        <v>25</v>
      </c>
      <c r="D89" s="11">
        <v>28750000</v>
      </c>
      <c r="E89" s="11">
        <v>11690621.5</v>
      </c>
      <c r="F89" s="11">
        <v>5484518.9718698999</v>
      </c>
      <c r="G89" s="12">
        <f>Table521117681522293437414651589162332374253[[#This Row],[LỢI NHUẬN RÒNG]]+Table521117681522293437414651589162332374253[[#This Row],[VỐN CP]]</f>
        <v>34234518.971869901</v>
      </c>
    </row>
    <row r="90" spans="1:7" ht="15" hidden="1" customHeight="1" x14ac:dyDescent="0.3">
      <c r="A90" s="10" t="s">
        <v>111</v>
      </c>
      <c r="B90" s="11" t="s">
        <v>21</v>
      </c>
      <c r="C90" s="11">
        <v>15</v>
      </c>
      <c r="D90" s="11">
        <v>17250000</v>
      </c>
      <c r="E90" s="11">
        <v>7014372.9000000004</v>
      </c>
      <c r="F90" s="11">
        <v>3290711.3831219403</v>
      </c>
      <c r="G90" s="12">
        <f>Table521117681522293437414651589162332374253[[#This Row],[LỢI NHUẬN RÒNG]]+Table521117681522293437414651589162332374253[[#This Row],[VỐN CP]]</f>
        <v>20540711.383121941</v>
      </c>
    </row>
    <row r="91" spans="1:7" ht="15" hidden="1" customHeight="1" x14ac:dyDescent="0.3">
      <c r="A91" s="10" t="s">
        <v>111</v>
      </c>
      <c r="B91" s="11" t="s">
        <v>27</v>
      </c>
      <c r="C91" s="11">
        <v>20</v>
      </c>
      <c r="D91" s="11">
        <v>23000000</v>
      </c>
      <c r="E91" s="11">
        <v>9352497.1999999993</v>
      </c>
      <c r="F91" s="11">
        <v>4387615.177495921</v>
      </c>
      <c r="G91" s="12">
        <f>Table521117681522293437414651589162332374253[[#This Row],[LỢI NHUẬN RÒNG]]+Table521117681522293437414651589162332374253[[#This Row],[VỐN CP]]</f>
        <v>27387615.177495919</v>
      </c>
    </row>
    <row r="92" spans="1:7" ht="15" hidden="1" customHeight="1" x14ac:dyDescent="0.3">
      <c r="A92" s="10" t="s">
        <v>111</v>
      </c>
      <c r="B92" s="11" t="s">
        <v>37</v>
      </c>
      <c r="C92" s="11">
        <v>10</v>
      </c>
      <c r="D92" s="11">
        <v>11500000</v>
      </c>
      <c r="E92" s="11">
        <v>4676248.5999999996</v>
      </c>
      <c r="F92" s="11">
        <v>2193807.5887479605</v>
      </c>
      <c r="G92" s="12">
        <f>Table521117681522293437414651589162332374253[[#This Row],[LỢI NHUẬN RÒNG]]+Table521117681522293437414651589162332374253[[#This Row],[VỐN CP]]</f>
        <v>13693807.58874796</v>
      </c>
    </row>
    <row r="93" spans="1:7" ht="15" hidden="1" customHeight="1" x14ac:dyDescent="0.3">
      <c r="A93" s="10" t="s">
        <v>112</v>
      </c>
      <c r="B93" s="11" t="s">
        <v>9</v>
      </c>
      <c r="C93" s="11">
        <v>25</v>
      </c>
      <c r="D93" s="11">
        <v>12500000</v>
      </c>
      <c r="E93" s="11">
        <v>4534944.5</v>
      </c>
      <c r="F93" s="11">
        <v>2084684.4220542128</v>
      </c>
      <c r="G93" s="12">
        <f>Table521117681522293437414651589162332374253[[#This Row],[LỢI NHUẬN RÒNG]]+Table521117681522293437414651589162332374253[[#This Row],[VỐN CP]]</f>
        <v>14584684.422054213</v>
      </c>
    </row>
    <row r="94" spans="1:7" ht="15" hidden="1" customHeight="1" x14ac:dyDescent="0.3">
      <c r="A94" s="10" t="s">
        <v>112</v>
      </c>
      <c r="B94" s="11" t="s">
        <v>19</v>
      </c>
      <c r="C94" s="11">
        <v>25</v>
      </c>
      <c r="D94" s="11">
        <v>12500000</v>
      </c>
      <c r="E94" s="11">
        <v>4534944.5</v>
      </c>
      <c r="F94" s="11">
        <v>2084684.4220542128</v>
      </c>
      <c r="G94" s="12">
        <f>Table521117681522293437414651589162332374253[[#This Row],[LỢI NHUẬN RÒNG]]+Table521117681522293437414651589162332374253[[#This Row],[VỐN CP]]</f>
        <v>14584684.422054213</v>
      </c>
    </row>
    <row r="95" spans="1:7" ht="15" hidden="1" customHeight="1" x14ac:dyDescent="0.3">
      <c r="A95" s="10" t="s">
        <v>112</v>
      </c>
      <c r="B95" s="11" t="s">
        <v>23</v>
      </c>
      <c r="C95" s="11">
        <v>10</v>
      </c>
      <c r="D95" s="11">
        <v>5000000</v>
      </c>
      <c r="E95" s="11">
        <v>1813977.8</v>
      </c>
      <c r="F95" s="11">
        <v>833873.76882168499</v>
      </c>
      <c r="G95" s="12">
        <f>Table521117681522293437414651589162332374253[[#This Row],[LỢI NHUẬN RÒNG]]+Table521117681522293437414651589162332374253[[#This Row],[VỐN CP]]</f>
        <v>5833873.7688216846</v>
      </c>
    </row>
    <row r="96" spans="1:7" ht="15" hidden="1" customHeight="1" x14ac:dyDescent="0.3">
      <c r="A96" s="10" t="s">
        <v>112</v>
      </c>
      <c r="B96" s="11" t="s">
        <v>27</v>
      </c>
      <c r="C96" s="11">
        <v>40</v>
      </c>
      <c r="D96" s="11">
        <v>20000000</v>
      </c>
      <c r="E96" s="11">
        <v>7255911.2000000002</v>
      </c>
      <c r="F96" s="11">
        <v>3335495.07528674</v>
      </c>
      <c r="G96" s="12">
        <f>Table521117681522293437414651589162332374253[[#This Row],[LỢI NHUẬN RÒNG]]+Table521117681522293437414651589162332374253[[#This Row],[VỐN CP]]</f>
        <v>23335495.075286739</v>
      </c>
    </row>
    <row r="97" spans="1:7" ht="15" hidden="1" customHeight="1" x14ac:dyDescent="0.3">
      <c r="A97" s="10" t="s">
        <v>113</v>
      </c>
      <c r="B97" s="11" t="s">
        <v>9</v>
      </c>
      <c r="C97" s="11">
        <v>25</v>
      </c>
      <c r="D97" s="11">
        <v>12500000</v>
      </c>
      <c r="E97" s="11">
        <v>5213609.25</v>
      </c>
      <c r="F97" s="11">
        <v>3581065.3611898571</v>
      </c>
      <c r="G97" s="12">
        <f>Table521117681522293437414651589162332374253[[#This Row],[LỢI NHUẬN RÒNG]]+Table521117681522293437414651589162332374253[[#This Row],[VỐN CP]]</f>
        <v>16081065.361189857</v>
      </c>
    </row>
    <row r="98" spans="1:7" ht="15" hidden="1" customHeight="1" x14ac:dyDescent="0.3">
      <c r="A98" s="10" t="s">
        <v>113</v>
      </c>
      <c r="B98" s="11" t="s">
        <v>88</v>
      </c>
      <c r="C98" s="11">
        <v>10</v>
      </c>
      <c r="D98" s="11">
        <v>5000000</v>
      </c>
      <c r="E98" s="11">
        <v>2085443.7</v>
      </c>
      <c r="F98" s="11">
        <v>1432426.1444759429</v>
      </c>
      <c r="G98" s="12">
        <f>Table521117681522293437414651589162332374253[[#This Row],[LỢI NHUẬN RÒNG]]+Table521117681522293437414651589162332374253[[#This Row],[VỐN CP]]</f>
        <v>6432426.1444759425</v>
      </c>
    </row>
    <row r="99" spans="1:7" ht="15" hidden="1" customHeight="1" x14ac:dyDescent="0.3">
      <c r="A99" s="10" t="s">
        <v>113</v>
      </c>
      <c r="B99" s="11" t="s">
        <v>19</v>
      </c>
      <c r="C99" s="11">
        <v>25</v>
      </c>
      <c r="D99" s="11">
        <v>12500000</v>
      </c>
      <c r="E99" s="11">
        <v>5213609.25</v>
      </c>
      <c r="F99" s="11">
        <v>3581065.3611898571</v>
      </c>
      <c r="G99" s="12">
        <f>Table521117681522293437414651589162332374253[[#This Row],[LỢI NHUẬN RÒNG]]+Table521117681522293437414651589162332374253[[#This Row],[VỐN CP]]</f>
        <v>16081065.361189857</v>
      </c>
    </row>
    <row r="100" spans="1:7" ht="15" hidden="1" customHeight="1" x14ac:dyDescent="0.3">
      <c r="A100" s="10" t="s">
        <v>113</v>
      </c>
      <c r="B100" s="11" t="s">
        <v>27</v>
      </c>
      <c r="C100" s="11">
        <v>20</v>
      </c>
      <c r="D100" s="11">
        <v>10000000</v>
      </c>
      <c r="E100" s="11">
        <v>4170887.4</v>
      </c>
      <c r="F100" s="11">
        <v>2864852.2889518859</v>
      </c>
      <c r="G100" s="12">
        <f>Table521117681522293437414651589162332374253[[#This Row],[LỢI NHUẬN RÒNG]]+Table521117681522293437414651589162332374253[[#This Row],[VỐN CP]]</f>
        <v>12864852.288951885</v>
      </c>
    </row>
    <row r="101" spans="1:7" ht="15" hidden="1" customHeight="1" x14ac:dyDescent="0.3">
      <c r="A101" s="10" t="s">
        <v>113</v>
      </c>
      <c r="B101" s="11" t="s">
        <v>37</v>
      </c>
      <c r="C101" s="11">
        <v>20</v>
      </c>
      <c r="D101" s="11">
        <v>10000000</v>
      </c>
      <c r="E101" s="11">
        <v>4170887.4</v>
      </c>
      <c r="F101" s="11">
        <v>2864852.2889518859</v>
      </c>
      <c r="G101" s="12">
        <f>Table521117681522293437414651589162332374253[[#This Row],[LỢI NHUẬN RÒNG]]+Table521117681522293437414651589162332374253[[#This Row],[VỐN CP]]</f>
        <v>12864852.288951885</v>
      </c>
    </row>
    <row r="102" spans="1:7" ht="15" hidden="1" customHeight="1" x14ac:dyDescent="0.3">
      <c r="A102" s="10" t="s">
        <v>114</v>
      </c>
      <c r="B102" s="11" t="s">
        <v>9</v>
      </c>
      <c r="C102" s="11">
        <v>25</v>
      </c>
      <c r="D102" s="11">
        <v>15000000</v>
      </c>
      <c r="E102" s="11">
        <v>5234083.25</v>
      </c>
      <c r="F102" s="11">
        <v>1983523.2031561211</v>
      </c>
      <c r="G102" s="12">
        <f>Table521117681522293437414651589162332374253[[#This Row],[LỢI NHUẬN RÒNG]]+Table521117681522293437414651589162332374253[[#This Row],[VỐN CP]]</f>
        <v>16983523.203156121</v>
      </c>
    </row>
    <row r="103" spans="1:7" ht="15" hidden="1" customHeight="1" x14ac:dyDescent="0.3">
      <c r="A103" s="10" t="s">
        <v>114</v>
      </c>
      <c r="B103" s="11" t="s">
        <v>19</v>
      </c>
      <c r="C103" s="11">
        <v>25</v>
      </c>
      <c r="D103" s="11">
        <v>15000000</v>
      </c>
      <c r="E103" s="11">
        <v>5234083.25</v>
      </c>
      <c r="F103" s="11">
        <v>1983523.2031561211</v>
      </c>
      <c r="G103" s="12">
        <f>Table521117681522293437414651589162332374253[[#This Row],[LỢI NHUẬN RÒNG]]+Table521117681522293437414651589162332374253[[#This Row],[VỐN CP]]</f>
        <v>16983523.203156121</v>
      </c>
    </row>
    <row r="104" spans="1:7" ht="15" hidden="1" customHeight="1" x14ac:dyDescent="0.3">
      <c r="A104" s="10" t="s">
        <v>114</v>
      </c>
      <c r="B104" s="11" t="s">
        <v>27</v>
      </c>
      <c r="C104" s="11">
        <v>20</v>
      </c>
      <c r="D104" s="11">
        <v>12000000</v>
      </c>
      <c r="E104" s="11">
        <v>4187266.6</v>
      </c>
      <c r="F104" s="11">
        <v>1586818.5625248968</v>
      </c>
      <c r="G104" s="12">
        <f>Table521117681522293437414651589162332374253[[#This Row],[LỢI NHUẬN RÒNG]]+Table521117681522293437414651589162332374253[[#This Row],[VỐN CP]]</f>
        <v>13586818.562524896</v>
      </c>
    </row>
    <row r="105" spans="1:7" ht="15" customHeight="1" x14ac:dyDescent="0.3">
      <c r="A105" s="10" t="s">
        <v>114</v>
      </c>
      <c r="B105" s="11" t="s">
        <v>31</v>
      </c>
      <c r="C105" s="11">
        <v>20</v>
      </c>
      <c r="D105" s="11">
        <v>12000000</v>
      </c>
      <c r="E105" s="11">
        <v>4187266.6</v>
      </c>
      <c r="F105" s="11">
        <v>1586818.5625248968</v>
      </c>
      <c r="G105" s="12">
        <f>Table521117681522293437414651589162332374253[[#This Row],[LỢI NHUẬN RÒNG]]+Table521117681522293437414651589162332374253[[#This Row],[VỐN CP]]</f>
        <v>13586818.562524896</v>
      </c>
    </row>
    <row r="106" spans="1:7" ht="15" hidden="1" customHeight="1" x14ac:dyDescent="0.3">
      <c r="A106" s="10" t="s">
        <v>114</v>
      </c>
      <c r="B106" s="11" t="s">
        <v>33</v>
      </c>
      <c r="C106" s="11">
        <v>10</v>
      </c>
      <c r="D106" s="11">
        <v>6000000</v>
      </c>
      <c r="E106" s="11">
        <v>2093633.3</v>
      </c>
      <c r="F106" s="11">
        <v>793409.28126244841</v>
      </c>
      <c r="G106" s="12">
        <f>Table521117681522293437414651589162332374253[[#This Row],[LỢI NHUẬN RÒNG]]+Table521117681522293437414651589162332374253[[#This Row],[VỐN CP]]</f>
        <v>6793409.2812624481</v>
      </c>
    </row>
    <row r="107" spans="1:7" ht="15" hidden="1" customHeight="1" x14ac:dyDescent="0.3">
      <c r="A107" s="10" t="s">
        <v>115</v>
      </c>
      <c r="B107" s="11" t="s">
        <v>9</v>
      </c>
      <c r="C107" s="11">
        <v>35</v>
      </c>
      <c r="D107" s="11">
        <v>28000000</v>
      </c>
      <c r="E107" s="11">
        <v>13246212.699999999</v>
      </c>
      <c r="F107" s="11">
        <v>9000403.1900179796</v>
      </c>
      <c r="G107" s="12">
        <f>Table521117681522293437414651589162332374253[[#This Row],[LỢI NHUẬN RÒNG]]+Table521117681522293437414651589162332374253[[#This Row],[VỐN CP]]</f>
        <v>37000403.190017983</v>
      </c>
    </row>
    <row r="108" spans="1:7" hidden="1" x14ac:dyDescent="0.3">
      <c r="A108" s="10" t="s">
        <v>115</v>
      </c>
      <c r="B108" s="11" t="s">
        <v>19</v>
      </c>
      <c r="C108" s="11">
        <v>35</v>
      </c>
      <c r="D108" s="11">
        <v>28000000</v>
      </c>
      <c r="E108" s="11">
        <v>13246212.699999999</v>
      </c>
      <c r="F108" s="11">
        <v>9000403.1900179796</v>
      </c>
      <c r="G108" s="12">
        <f>Table521117681522293437414651589162332374253[[#This Row],[LỢI NHUẬN RÒNG]]+Table521117681522293437414651589162332374253[[#This Row],[VỐN CP]]</f>
        <v>37000403.190017983</v>
      </c>
    </row>
    <row r="109" spans="1:7" ht="15" hidden="1" customHeight="1" x14ac:dyDescent="0.3">
      <c r="A109" s="10" t="s">
        <v>115</v>
      </c>
      <c r="B109" s="11" t="s">
        <v>27</v>
      </c>
      <c r="C109" s="11">
        <v>20</v>
      </c>
      <c r="D109" s="11">
        <v>16000000</v>
      </c>
      <c r="E109" s="11">
        <v>7569264.4000000004</v>
      </c>
      <c r="F109" s="11">
        <v>5143087.5371531304</v>
      </c>
      <c r="G109" s="12">
        <f>Table521117681522293437414651589162332374253[[#This Row],[LỢI NHUẬN RÒNG]]+Table521117681522293437414651589162332374253[[#This Row],[VỐN CP]]</f>
        <v>21143087.537153132</v>
      </c>
    </row>
    <row r="110" spans="1:7" ht="15" customHeight="1" x14ac:dyDescent="0.3">
      <c r="A110" s="10" t="s">
        <v>115</v>
      </c>
      <c r="B110" s="11" t="s">
        <v>31</v>
      </c>
      <c r="C110" s="11">
        <v>10</v>
      </c>
      <c r="D110" s="11">
        <v>8000000</v>
      </c>
      <c r="E110" s="11">
        <v>3784632.2</v>
      </c>
      <c r="F110" s="11">
        <v>2571543.7685765652</v>
      </c>
      <c r="G110" s="12">
        <f>Table521117681522293437414651589162332374253[[#This Row],[LỢI NHUẬN RÒNG]]+Table521117681522293437414651589162332374253[[#This Row],[VỐN CP]]</f>
        <v>10571543.768576566</v>
      </c>
    </row>
    <row r="111" spans="1:7" ht="15" hidden="1" customHeight="1" x14ac:dyDescent="0.3">
      <c r="A111" s="10" t="s">
        <v>116</v>
      </c>
      <c r="B111" s="11" t="s">
        <v>9</v>
      </c>
      <c r="C111" s="11">
        <v>30</v>
      </c>
      <c r="D111" s="11">
        <v>5400000</v>
      </c>
      <c r="E111" s="11">
        <v>3364950.6</v>
      </c>
      <c r="F111" s="11">
        <v>2122525.2424370334</v>
      </c>
      <c r="G111" s="12">
        <f>Table521117681522293437414651589162332374253[[#This Row],[LỢI NHUẬN RÒNG]]+Table521117681522293437414651589162332374253[[#This Row],[VỐN CP]]</f>
        <v>7522525.242437033</v>
      </c>
    </row>
    <row r="112" spans="1:7" ht="15" hidden="1" customHeight="1" x14ac:dyDescent="0.3">
      <c r="A112" s="10" t="s">
        <v>116</v>
      </c>
      <c r="B112" s="11" t="s">
        <v>19</v>
      </c>
      <c r="C112" s="11">
        <v>30</v>
      </c>
      <c r="D112" s="11">
        <v>5400000</v>
      </c>
      <c r="E112" s="11">
        <v>3364950.6</v>
      </c>
      <c r="F112" s="11">
        <v>2122525.2424370334</v>
      </c>
      <c r="G112" s="12">
        <f>Table521117681522293437414651589162332374253[[#This Row],[LỢI NHUẬN RÒNG]]+Table521117681522293437414651589162332374253[[#This Row],[VỐN CP]]</f>
        <v>7522525.242437033</v>
      </c>
    </row>
    <row r="113" spans="1:7" ht="15" hidden="1" customHeight="1" x14ac:dyDescent="0.3">
      <c r="A113" s="10" t="s">
        <v>116</v>
      </c>
      <c r="B113" s="11" t="s">
        <v>23</v>
      </c>
      <c r="C113" s="11">
        <v>20</v>
      </c>
      <c r="D113" s="11">
        <v>3600000</v>
      </c>
      <c r="E113" s="11">
        <v>2243300.4</v>
      </c>
      <c r="F113" s="11">
        <v>1415016.8282913559</v>
      </c>
      <c r="G113" s="12">
        <f>Table521117681522293437414651589162332374253[[#This Row],[LỢI NHUẬN RÒNG]]+Table521117681522293437414651589162332374253[[#This Row],[VỐN CP]]</f>
        <v>5015016.8282913556</v>
      </c>
    </row>
    <row r="114" spans="1:7" ht="15" hidden="1" customHeight="1" x14ac:dyDescent="0.3">
      <c r="A114" s="10" t="s">
        <v>116</v>
      </c>
      <c r="B114" s="11" t="s">
        <v>27</v>
      </c>
      <c r="C114" s="11">
        <v>20</v>
      </c>
      <c r="D114" s="11">
        <v>3600000</v>
      </c>
      <c r="E114" s="11">
        <v>2243300.4</v>
      </c>
      <c r="F114" s="11">
        <v>1415016.8282913559</v>
      </c>
      <c r="G114" s="12">
        <f>Table521117681522293437414651589162332374253[[#This Row],[LỢI NHUẬN RÒNG]]+Table521117681522293437414651589162332374253[[#This Row],[VỐN CP]]</f>
        <v>5015016.8282913556</v>
      </c>
    </row>
    <row r="115" spans="1:7" ht="15" hidden="1" customHeight="1" x14ac:dyDescent="0.3">
      <c r="A115" s="10" t="s">
        <v>117</v>
      </c>
      <c r="B115" s="11" t="s">
        <v>9</v>
      </c>
      <c r="C115" s="11">
        <v>30</v>
      </c>
      <c r="D115" s="11">
        <v>11100000</v>
      </c>
      <c r="E115" s="11">
        <v>4011243.3</v>
      </c>
      <c r="F115" s="11">
        <v>2158711.7351318812</v>
      </c>
      <c r="G115" s="12">
        <f>Table521117681522293437414651589162332374253[[#This Row],[LỢI NHUẬN RÒNG]]+Table521117681522293437414651589162332374253[[#This Row],[VỐN CP]]</f>
        <v>13258711.735131882</v>
      </c>
    </row>
    <row r="116" spans="1:7" ht="15" hidden="1" customHeight="1" x14ac:dyDescent="0.3">
      <c r="A116" s="10" t="s">
        <v>117</v>
      </c>
      <c r="B116" s="11" t="s">
        <v>19</v>
      </c>
      <c r="C116" s="11">
        <v>30</v>
      </c>
      <c r="D116" s="11">
        <v>11100000</v>
      </c>
      <c r="E116" s="11">
        <v>4011243.3</v>
      </c>
      <c r="F116" s="11">
        <v>2158711.7351318812</v>
      </c>
      <c r="G116" s="12">
        <f>Table521117681522293437414651589162332374253[[#This Row],[LỢI NHUẬN RÒNG]]+Table521117681522293437414651589162332374253[[#This Row],[VỐN CP]]</f>
        <v>13258711.735131882</v>
      </c>
    </row>
    <row r="117" spans="1:7" hidden="1" x14ac:dyDescent="0.3">
      <c r="A117" s="10" t="s">
        <v>117</v>
      </c>
      <c r="B117" s="11" t="s">
        <v>23</v>
      </c>
      <c r="C117" s="11">
        <v>20</v>
      </c>
      <c r="D117" s="11">
        <v>7400000</v>
      </c>
      <c r="E117" s="11">
        <v>2674162.2000000002</v>
      </c>
      <c r="F117" s="11">
        <v>1439141.1567545875</v>
      </c>
      <c r="G117" s="12">
        <f>Table521117681522293437414651589162332374253[[#This Row],[LỢI NHUẬN RÒNG]]+Table521117681522293437414651589162332374253[[#This Row],[VỐN CP]]</f>
        <v>8839141.1567545868</v>
      </c>
    </row>
    <row r="118" spans="1:7" hidden="1" x14ac:dyDescent="0.3">
      <c r="A118" s="10" t="s">
        <v>117</v>
      </c>
      <c r="B118" s="11" t="s">
        <v>27</v>
      </c>
      <c r="C118" s="11">
        <v>20</v>
      </c>
      <c r="D118" s="11">
        <v>7400000</v>
      </c>
      <c r="E118" s="11">
        <v>2674162.2000000002</v>
      </c>
      <c r="F118" s="11">
        <v>1439141.1567545875</v>
      </c>
      <c r="G118" s="12">
        <f>Table521117681522293437414651589162332374253[[#This Row],[LỢI NHUẬN RÒNG]]+Table521117681522293437414651589162332374253[[#This Row],[VỐN CP]]</f>
        <v>8839141.1567545868</v>
      </c>
    </row>
    <row r="119" spans="1:7" hidden="1" x14ac:dyDescent="0.3">
      <c r="A119" s="10" t="s">
        <v>118</v>
      </c>
      <c r="B119" s="11" t="s">
        <v>9</v>
      </c>
      <c r="C119" s="1">
        <v>25</v>
      </c>
      <c r="D119" s="11">
        <v>5000000</v>
      </c>
      <c r="E119" s="11">
        <v>5454935.5</v>
      </c>
      <c r="F119" s="11">
        <v>4111563.3038633969</v>
      </c>
      <c r="G119" s="12">
        <f>Table521117681522293437414651589162332374253[[#This Row],[LỢI NHUẬN RÒNG]]+Table521117681522293437414651589162332374253[[#This Row],[VỐN CP]]</f>
        <v>9111563.3038633969</v>
      </c>
    </row>
    <row r="120" spans="1:7" hidden="1" x14ac:dyDescent="0.3">
      <c r="A120" s="10" t="s">
        <v>118</v>
      </c>
      <c r="B120" s="11" t="s">
        <v>19</v>
      </c>
      <c r="C120" s="1">
        <v>25</v>
      </c>
      <c r="D120" s="11">
        <v>5000000</v>
      </c>
      <c r="E120" s="11">
        <v>5454935.5</v>
      </c>
      <c r="F120" s="11">
        <v>4111563.3038633969</v>
      </c>
      <c r="G120" s="12">
        <f>Table521117681522293437414651589162332374253[[#This Row],[LỢI NHUẬN RÒNG]]+Table521117681522293437414651589162332374253[[#This Row],[VỐN CP]]</f>
        <v>9111563.3038633969</v>
      </c>
    </row>
    <row r="121" spans="1:7" hidden="1" x14ac:dyDescent="0.3">
      <c r="A121" s="10" t="s">
        <v>118</v>
      </c>
      <c r="B121" s="11" t="s">
        <v>21</v>
      </c>
      <c r="C121" s="1">
        <v>30</v>
      </c>
      <c r="D121" s="11">
        <v>6000000</v>
      </c>
      <c r="E121" s="11">
        <v>6545922.5999999996</v>
      </c>
      <c r="F121" s="11">
        <v>4933875.9646360762</v>
      </c>
      <c r="G121" s="12">
        <f>Table521117681522293437414651589162332374253[[#This Row],[LỢI NHUẬN RÒNG]]+Table521117681522293437414651589162332374253[[#This Row],[VỐN CP]]</f>
        <v>10933875.964636076</v>
      </c>
    </row>
    <row r="122" spans="1:7" hidden="1" x14ac:dyDescent="0.3">
      <c r="A122" s="10" t="s">
        <v>118</v>
      </c>
      <c r="B122" s="11" t="s">
        <v>27</v>
      </c>
      <c r="C122" s="1">
        <v>10</v>
      </c>
      <c r="D122" s="11">
        <v>2000000</v>
      </c>
      <c r="E122" s="11">
        <v>2181974.2000000002</v>
      </c>
      <c r="F122" s="11">
        <v>1644625.321545359</v>
      </c>
      <c r="G122" s="12">
        <f>Table521117681522293437414651589162332374253[[#This Row],[LỢI NHUẬN RÒNG]]+Table521117681522293437414651589162332374253[[#This Row],[VỐN CP]]</f>
        <v>3644625.3215453587</v>
      </c>
    </row>
    <row r="123" spans="1:7" ht="15" hidden="1" customHeight="1" x14ac:dyDescent="0.3">
      <c r="A123" s="10" t="s">
        <v>118</v>
      </c>
      <c r="B123" s="11" t="s">
        <v>37</v>
      </c>
      <c r="C123" s="1">
        <v>10</v>
      </c>
      <c r="D123" s="11">
        <v>2000000</v>
      </c>
      <c r="E123" s="11">
        <v>2181974.2000000002</v>
      </c>
      <c r="F123" s="11">
        <v>1644625.321545359</v>
      </c>
      <c r="G123" s="12">
        <f>Table521117681522293437414651589162332374253[[#This Row],[LỢI NHUẬN RÒNG]]+Table521117681522293437414651589162332374253[[#This Row],[VỐN CP]]</f>
        <v>3644625.3215453587</v>
      </c>
    </row>
    <row r="124" spans="1:7" ht="15" hidden="1" customHeight="1" x14ac:dyDescent="0.3">
      <c r="A124" s="10" t="s">
        <v>119</v>
      </c>
      <c r="B124" s="11" t="s">
        <v>9</v>
      </c>
      <c r="C124" s="11">
        <v>30</v>
      </c>
      <c r="D124" s="11">
        <v>5040000</v>
      </c>
      <c r="E124" s="11">
        <v>2674542.2999999998</v>
      </c>
      <c r="F124" s="11">
        <v>1490959.9791677548</v>
      </c>
      <c r="G124" s="12">
        <f>Table521117681522293437414651589162332374253[[#This Row],[LỢI NHUẬN RÒNG]]+Table521117681522293437414651589162332374253[[#This Row],[VỐN CP]]</f>
        <v>6530959.9791677548</v>
      </c>
    </row>
    <row r="125" spans="1:7" ht="15" hidden="1" customHeight="1" x14ac:dyDescent="0.3">
      <c r="A125" s="10" t="s">
        <v>119</v>
      </c>
      <c r="B125" s="11" t="s">
        <v>19</v>
      </c>
      <c r="C125" s="11">
        <v>30</v>
      </c>
      <c r="D125" s="11">
        <v>5040000</v>
      </c>
      <c r="E125" s="11">
        <v>2674542.2999999998</v>
      </c>
      <c r="F125" s="11">
        <v>1490959.9791677548</v>
      </c>
      <c r="G125" s="12">
        <f>Table521117681522293437414651589162332374253[[#This Row],[LỢI NHUẬN RÒNG]]+Table521117681522293437414651589162332374253[[#This Row],[VỐN CP]]</f>
        <v>6530959.9791677548</v>
      </c>
    </row>
    <row r="126" spans="1:7" ht="15" hidden="1" customHeight="1" x14ac:dyDescent="0.3">
      <c r="A126" s="10" t="s">
        <v>119</v>
      </c>
      <c r="B126" s="11" t="s">
        <v>27</v>
      </c>
      <c r="C126" s="11">
        <v>20</v>
      </c>
      <c r="D126" s="11">
        <v>3360000</v>
      </c>
      <c r="E126" s="11">
        <v>1783028.2</v>
      </c>
      <c r="F126" s="11">
        <v>993973.31944516976</v>
      </c>
      <c r="G126" s="12">
        <f>Table521117681522293437414651589162332374253[[#This Row],[LỢI NHUẬN RÒNG]]+Table521117681522293437414651589162332374253[[#This Row],[VỐN CP]]</f>
        <v>4353973.3194451695</v>
      </c>
    </row>
    <row r="127" spans="1:7" ht="15" customHeight="1" x14ac:dyDescent="0.3">
      <c r="A127" s="10" t="s">
        <v>119</v>
      </c>
      <c r="B127" s="11" t="s">
        <v>31</v>
      </c>
      <c r="C127" s="11">
        <v>20</v>
      </c>
      <c r="D127" s="11">
        <v>3360000</v>
      </c>
      <c r="E127" s="11">
        <v>1783028.2</v>
      </c>
      <c r="F127" s="11">
        <v>993973.31944516976</v>
      </c>
      <c r="G127" s="12">
        <f>Table521117681522293437414651589162332374253[[#This Row],[LỢI NHUẬN RÒNG]]+Table521117681522293437414651589162332374253[[#This Row],[VỐN CP]]</f>
        <v>4353973.3194451695</v>
      </c>
    </row>
    <row r="128" spans="1:7" ht="15" hidden="1" customHeight="1" x14ac:dyDescent="0.3">
      <c r="A128" s="10" t="s">
        <v>120</v>
      </c>
      <c r="B128" s="11" t="s">
        <v>9</v>
      </c>
      <c r="C128" s="11">
        <v>35</v>
      </c>
      <c r="D128" s="11">
        <v>15750000</v>
      </c>
      <c r="E128" s="11">
        <v>5039289.8499999996</v>
      </c>
      <c r="F128" s="11">
        <v>2357818.7818990373</v>
      </c>
      <c r="G128" s="12">
        <f>Table521117681522293437414651589162332374253[[#This Row],[LỢI NHUẬN RÒNG]]+Table521117681522293437414651589162332374253[[#This Row],[VỐN CP]]</f>
        <v>18107818.781899039</v>
      </c>
    </row>
    <row r="129" spans="1:7" ht="15" hidden="1" customHeight="1" x14ac:dyDescent="0.3">
      <c r="A129" s="10" t="s">
        <v>120</v>
      </c>
      <c r="B129" s="11" t="s">
        <v>19</v>
      </c>
      <c r="C129" s="11">
        <v>35</v>
      </c>
      <c r="D129" s="11">
        <v>15750000</v>
      </c>
      <c r="E129" s="11">
        <v>5039289.8499999996</v>
      </c>
      <c r="F129" s="11">
        <v>2357818.7818990373</v>
      </c>
      <c r="G129" s="12">
        <f>Table521117681522293437414651589162332374253[[#This Row],[LỢI NHUẬN RÒNG]]+Table521117681522293437414651589162332374253[[#This Row],[VỐN CP]]</f>
        <v>18107818.781899039</v>
      </c>
    </row>
    <row r="130" spans="1:7" ht="15" hidden="1" customHeight="1" x14ac:dyDescent="0.3">
      <c r="A130" s="10" t="s">
        <v>120</v>
      </c>
      <c r="B130" s="11" t="s">
        <v>27</v>
      </c>
      <c r="C130" s="11">
        <v>20</v>
      </c>
      <c r="D130" s="11">
        <v>9000000</v>
      </c>
      <c r="E130" s="11">
        <v>2879594.2</v>
      </c>
      <c r="F130" s="11">
        <v>1347325.0182280212</v>
      </c>
      <c r="G130" s="12">
        <f>Table521117681522293437414651589162332374253[[#This Row],[LỢI NHUẬN RÒNG]]+Table521117681522293437414651589162332374253[[#This Row],[VỐN CP]]</f>
        <v>10347325.018228021</v>
      </c>
    </row>
    <row r="131" spans="1:7" ht="15" hidden="1" customHeight="1" x14ac:dyDescent="0.3">
      <c r="A131" s="10" t="s">
        <v>120</v>
      </c>
      <c r="B131" s="11" t="s">
        <v>37</v>
      </c>
      <c r="C131" s="11">
        <v>10</v>
      </c>
      <c r="D131" s="11">
        <v>4500000</v>
      </c>
      <c r="E131" s="11">
        <v>1439797.1</v>
      </c>
      <c r="F131" s="11">
        <v>673662.50911401061</v>
      </c>
      <c r="G131" s="12">
        <f>Table521117681522293437414651589162332374253[[#This Row],[LỢI NHUẬN RÒNG]]+Table521117681522293437414651589162332374253[[#This Row],[VỐN CP]]</f>
        <v>5173662.5091140103</v>
      </c>
    </row>
    <row r="132" spans="1:7" ht="15" hidden="1" customHeight="1" x14ac:dyDescent="0.3">
      <c r="A132" s="10" t="s">
        <v>121</v>
      </c>
      <c r="B132" s="11" t="s">
        <v>10</v>
      </c>
      <c r="C132" s="11">
        <v>10</v>
      </c>
      <c r="D132" s="11">
        <v>2366666.666666667</v>
      </c>
      <c r="E132" s="11">
        <v>716621.63333333319</v>
      </c>
      <c r="F132" s="11">
        <v>448452.7372149296</v>
      </c>
      <c r="G132" s="12">
        <f>Table521117681522293437414651589162332374253[[#This Row],[LỢI NHUẬN RÒNG]]+Table521117681522293437414651589162332374253[[#This Row],[VỐN CP]]</f>
        <v>2815119.4038815964</v>
      </c>
    </row>
    <row r="133" spans="1:7" ht="15" hidden="1" customHeight="1" x14ac:dyDescent="0.3">
      <c r="A133" s="10" t="s">
        <v>121</v>
      </c>
      <c r="B133" s="11" t="s">
        <v>9</v>
      </c>
      <c r="C133" s="11">
        <v>15</v>
      </c>
      <c r="D133" s="11">
        <v>3550000.0000000005</v>
      </c>
      <c r="E133" s="11">
        <v>1074932.45</v>
      </c>
      <c r="F133" s="11">
        <v>672679.10582239449</v>
      </c>
      <c r="G133" s="12">
        <f>Table521117681522293437414651589162332374253[[#This Row],[LỢI NHUẬN RÒNG]]+Table521117681522293437414651589162332374253[[#This Row],[VỐN CP]]</f>
        <v>4222679.1058223946</v>
      </c>
    </row>
    <row r="134" spans="1:7" ht="15" hidden="1" customHeight="1" x14ac:dyDescent="0.3">
      <c r="A134" s="10" t="s">
        <v>121</v>
      </c>
      <c r="B134" s="11" t="s">
        <v>88</v>
      </c>
      <c r="C134" s="11">
        <v>20</v>
      </c>
      <c r="D134" s="11">
        <v>4733333.333333334</v>
      </c>
      <c r="E134" s="11">
        <v>1433243.2666666664</v>
      </c>
      <c r="F134" s="11">
        <v>896905.4744298592</v>
      </c>
      <c r="G134" s="12">
        <f>Table521117681522293437414651589162332374253[[#This Row],[LỢI NHUẬN RÒNG]]+Table521117681522293437414651589162332374253[[#This Row],[VỐN CP]]</f>
        <v>5630238.8077631928</v>
      </c>
    </row>
    <row r="135" spans="1:7" hidden="1" x14ac:dyDescent="0.3">
      <c r="A135" s="10" t="s">
        <v>121</v>
      </c>
      <c r="B135" s="11" t="s">
        <v>19</v>
      </c>
      <c r="C135" s="11">
        <v>20</v>
      </c>
      <c r="D135" s="11">
        <v>4733333.333333334</v>
      </c>
      <c r="E135" s="11">
        <v>1433243.2666666664</v>
      </c>
      <c r="F135" s="11">
        <v>896905.4744298592</v>
      </c>
      <c r="G135" s="12">
        <f>Table521117681522293437414651589162332374253[[#This Row],[LỢI NHUẬN RÒNG]]+Table521117681522293437414651589162332374253[[#This Row],[VỐN CP]]</f>
        <v>5630238.8077631928</v>
      </c>
    </row>
    <row r="136" spans="1:7" ht="15" hidden="1" customHeight="1" x14ac:dyDescent="0.3">
      <c r="A136" s="10" t="s">
        <v>121</v>
      </c>
      <c r="B136" s="11" t="s">
        <v>21</v>
      </c>
      <c r="C136" s="11">
        <v>20</v>
      </c>
      <c r="D136" s="11">
        <v>4733333.333333334</v>
      </c>
      <c r="E136" s="11">
        <v>1433243.2666666664</v>
      </c>
      <c r="F136" s="11">
        <v>896905.4744298592</v>
      </c>
      <c r="G136" s="12">
        <f>Table521117681522293437414651589162332374253[[#This Row],[LỢI NHUẬN RÒNG]]+Table521117681522293437414651589162332374253[[#This Row],[VỐN CP]]</f>
        <v>5630238.8077631928</v>
      </c>
    </row>
    <row r="137" spans="1:7" ht="15" hidden="1" customHeight="1" x14ac:dyDescent="0.3">
      <c r="A137" s="10" t="s">
        <v>121</v>
      </c>
      <c r="B137" s="11" t="s">
        <v>27</v>
      </c>
      <c r="C137" s="11">
        <v>15</v>
      </c>
      <c r="D137" s="11">
        <v>3550000.0000000005</v>
      </c>
      <c r="E137" s="11">
        <v>1074932.45</v>
      </c>
      <c r="F137" s="11">
        <v>672679.10582239449</v>
      </c>
      <c r="G137" s="12">
        <f>Table521117681522293437414651589162332374253[[#This Row],[LỢI NHUẬN RÒNG]]+Table521117681522293437414651589162332374253[[#This Row],[VỐN CP]]</f>
        <v>4222679.1058223946</v>
      </c>
    </row>
    <row r="138" spans="1:7" ht="15" hidden="1" customHeight="1" x14ac:dyDescent="0.3">
      <c r="A138" s="10" t="s">
        <v>122</v>
      </c>
      <c r="B138" s="11" t="s">
        <v>10</v>
      </c>
      <c r="C138" s="11">
        <v>10</v>
      </c>
      <c r="D138" s="11">
        <v>6666666.666666666</v>
      </c>
      <c r="E138" s="11">
        <v>2200576.8333333344</v>
      </c>
      <c r="F138" s="11">
        <v>1188674.5539379537</v>
      </c>
      <c r="G138" s="12">
        <f>Table521117681522293437414651589162332374253[[#This Row],[LỢI NHUẬN RÒNG]]+Table521117681522293437414651589162332374253[[#This Row],[VỐN CP]]</f>
        <v>7855341.2206046199</v>
      </c>
    </row>
    <row r="139" spans="1:7" ht="15" hidden="1" customHeight="1" x14ac:dyDescent="0.3">
      <c r="A139" s="10" t="s">
        <v>94</v>
      </c>
      <c r="B139" s="11" t="s">
        <v>10</v>
      </c>
      <c r="C139" s="11">
        <v>10</v>
      </c>
      <c r="D139" s="11">
        <v>5333333.333333334</v>
      </c>
      <c r="E139" s="11">
        <v>865035.06666666572</v>
      </c>
      <c r="F139" s="11">
        <v>271681.18056993035</v>
      </c>
      <c r="G139" s="12">
        <f>Table521117681522293437414651589162332374253[[#This Row],[LỢI NHUẬN RÒNG]]+Table521117681522293437414651589162332374253[[#This Row],[VỐN CP]]</f>
        <v>5605014.513903264</v>
      </c>
    </row>
    <row r="140" spans="1:7" ht="15" hidden="1" customHeight="1" x14ac:dyDescent="0.3">
      <c r="A140" s="10" t="s">
        <v>123</v>
      </c>
      <c r="B140" s="11" t="s">
        <v>10</v>
      </c>
      <c r="C140" s="11">
        <v>5</v>
      </c>
      <c r="D140" s="11">
        <v>6462500</v>
      </c>
      <c r="E140" s="11">
        <v>2793646.25</v>
      </c>
      <c r="F140" s="11">
        <v>1433804.7364752353</v>
      </c>
      <c r="G140" s="12">
        <f>Table521117681522293437414651589162332374253[[#This Row],[LỢI NHUẬN RÒNG]]+Table521117681522293437414651589162332374253[[#This Row],[VỐN CP]]</f>
        <v>7896304.7364752349</v>
      </c>
    </row>
    <row r="141" spans="1:7" ht="15" hidden="1" customHeight="1" x14ac:dyDescent="0.3">
      <c r="A141" s="10" t="s">
        <v>124</v>
      </c>
      <c r="B141" s="11" t="s">
        <v>9</v>
      </c>
      <c r="C141" s="11">
        <v>30</v>
      </c>
      <c r="D141" s="11">
        <v>8220000</v>
      </c>
      <c r="E141" s="11">
        <v>3866495.1</v>
      </c>
      <c r="F141" s="11">
        <v>2857843.457317221</v>
      </c>
      <c r="G141" s="12">
        <f>Table521117681522293437414651589162332374253[[#This Row],[LỢI NHUẬN RÒNG]]+Table521117681522293437414651589162332374253[[#This Row],[VỐN CP]]</f>
        <v>11077843.457317222</v>
      </c>
    </row>
    <row r="142" spans="1:7" ht="15" hidden="1" customHeight="1" x14ac:dyDescent="0.3">
      <c r="A142" s="10" t="s">
        <v>124</v>
      </c>
      <c r="B142" s="11" t="s">
        <v>19</v>
      </c>
      <c r="C142" s="11">
        <v>30</v>
      </c>
      <c r="D142" s="11">
        <v>8220000</v>
      </c>
      <c r="E142" s="11">
        <v>3866495.1</v>
      </c>
      <c r="F142" s="11">
        <v>2857843.457317221</v>
      </c>
      <c r="G142" s="12">
        <f>Table521117681522293437414651589162332374253[[#This Row],[LỢI NHUẬN RÒNG]]+Table521117681522293437414651589162332374253[[#This Row],[VỐN CP]]</f>
        <v>11077843.457317222</v>
      </c>
    </row>
    <row r="143" spans="1:7" ht="15" hidden="1" customHeight="1" x14ac:dyDescent="0.3">
      <c r="A143" s="10" t="s">
        <v>124</v>
      </c>
      <c r="B143" s="11" t="s">
        <v>21</v>
      </c>
      <c r="C143" s="11">
        <v>40</v>
      </c>
      <c r="D143" s="11">
        <v>10960000</v>
      </c>
      <c r="E143" s="11">
        <v>5155326.8</v>
      </c>
      <c r="F143" s="11">
        <v>3810457.9430896281</v>
      </c>
      <c r="G143" s="12">
        <f>Table521117681522293437414651589162332374253[[#This Row],[LỢI NHUẬN RÒNG]]+Table521117681522293437414651589162332374253[[#This Row],[VỐN CP]]</f>
        <v>14770457.943089629</v>
      </c>
    </row>
    <row r="144" spans="1:7" ht="15.75" hidden="1" customHeight="1" x14ac:dyDescent="0.3">
      <c r="A144" s="10" t="s">
        <v>125</v>
      </c>
      <c r="B144" s="11" t="s">
        <v>87</v>
      </c>
      <c r="C144" s="11">
        <v>30</v>
      </c>
      <c r="D144" s="11">
        <v>11100000</v>
      </c>
      <c r="E144" s="11">
        <v>209271.6</v>
      </c>
      <c r="F144" s="11">
        <v>-2050188.5551706071</v>
      </c>
      <c r="G144" s="12">
        <f>Table521117681522293437414651589162332374253[[#This Row],[LỢI NHUẬN RÒNG]]+Table521117681522293437414651589162332374253[[#This Row],[VỐN CP]]</f>
        <v>9049811.4448293932</v>
      </c>
    </row>
    <row r="145" spans="1:8" ht="15" hidden="1" customHeight="1" x14ac:dyDescent="0.3">
      <c r="A145" s="10" t="s">
        <v>125</v>
      </c>
      <c r="B145" s="11" t="s">
        <v>9</v>
      </c>
      <c r="C145" s="11">
        <v>35</v>
      </c>
      <c r="D145" s="11">
        <v>12950000</v>
      </c>
      <c r="E145" s="11">
        <v>244150.2</v>
      </c>
      <c r="F145" s="11">
        <v>-2391886.6476990413</v>
      </c>
      <c r="G145" s="12">
        <f>Table521117681522293437414651589162332374253[[#This Row],[LỢI NHUẬN RÒNG]]+Table521117681522293437414651589162332374253[[#This Row],[VỐN CP]]</f>
        <v>10558113.352300959</v>
      </c>
    </row>
    <row r="146" spans="1:8" ht="15" hidden="1" customHeight="1" x14ac:dyDescent="0.3">
      <c r="A146" s="10" t="s">
        <v>125</v>
      </c>
      <c r="B146" s="11" t="s">
        <v>19</v>
      </c>
      <c r="C146" s="11">
        <v>35</v>
      </c>
      <c r="D146" s="11">
        <v>12950000</v>
      </c>
      <c r="E146" s="11">
        <v>244150.2</v>
      </c>
      <c r="F146" s="11">
        <v>-2391886.6476990413</v>
      </c>
      <c r="G146" s="12">
        <f>Table521117681522293437414651589162332374253[[#This Row],[LỢI NHUẬN RÒNG]]+Table521117681522293437414651589162332374253[[#This Row],[VỐN CP]]</f>
        <v>10558113.352300959</v>
      </c>
    </row>
    <row r="147" spans="1:8" ht="15" hidden="1" customHeight="1" x14ac:dyDescent="0.3">
      <c r="A147" s="10" t="s">
        <v>126</v>
      </c>
      <c r="B147" s="11" t="s">
        <v>87</v>
      </c>
      <c r="C147" s="11">
        <v>40</v>
      </c>
      <c r="D147" s="11">
        <v>9333333.3333333321</v>
      </c>
      <c r="E147" s="11">
        <v>4871733.4666666677</v>
      </c>
      <c r="F147" s="11">
        <v>2236851.8922380181</v>
      </c>
      <c r="G147" s="12">
        <f>Table521117681522293437414651589162332374253[[#This Row],[LỢI NHUẬN RÒNG]]+Table521117681522293437414651589162332374253[[#This Row],[VỐN CP]]</f>
        <v>11570185.225571349</v>
      </c>
    </row>
    <row r="148" spans="1:8" ht="15" hidden="1" customHeight="1" x14ac:dyDescent="0.3">
      <c r="A148" s="10" t="s">
        <v>126</v>
      </c>
      <c r="B148" s="11" t="s">
        <v>9</v>
      </c>
      <c r="C148" s="11">
        <v>20</v>
      </c>
      <c r="D148" s="11">
        <v>4666666.666666666</v>
      </c>
      <c r="E148" s="11">
        <v>2435866.7333333339</v>
      </c>
      <c r="F148" s="11">
        <v>1118425.9461190091</v>
      </c>
      <c r="G148" s="12">
        <f>Table521117681522293437414651589162332374253[[#This Row],[LỢI NHUẬN RÒNG]]+Table521117681522293437414651589162332374253[[#This Row],[VỐN CP]]</f>
        <v>5785092.6127856746</v>
      </c>
    </row>
    <row r="149" spans="1:8" ht="15" hidden="1" customHeight="1" x14ac:dyDescent="0.3">
      <c r="A149" s="10" t="s">
        <v>126</v>
      </c>
      <c r="B149" s="11" t="s">
        <v>19</v>
      </c>
      <c r="C149" s="11">
        <v>20</v>
      </c>
      <c r="D149" s="11">
        <v>4666666.666666666</v>
      </c>
      <c r="E149" s="11">
        <v>2435866.7333333339</v>
      </c>
      <c r="F149" s="11">
        <v>1118425.9461190091</v>
      </c>
      <c r="G149" s="12">
        <f>Table521117681522293437414651589162332374253[[#This Row],[LỢI NHUẬN RÒNG]]+Table521117681522293437414651589162332374253[[#This Row],[VỐN CP]]</f>
        <v>5785092.6127856746</v>
      </c>
    </row>
    <row r="150" spans="1:8" ht="15" hidden="1" customHeight="1" x14ac:dyDescent="0.3">
      <c r="A150" s="10" t="s">
        <v>126</v>
      </c>
      <c r="B150" s="11" t="s">
        <v>27</v>
      </c>
      <c r="C150" s="11">
        <v>20</v>
      </c>
      <c r="D150" s="11">
        <v>4666666.666666666</v>
      </c>
      <c r="E150" s="11">
        <v>2435866.7333333339</v>
      </c>
      <c r="F150" s="11">
        <v>1118425.9461190091</v>
      </c>
      <c r="G150" s="12">
        <f>Table521117681522293437414651589162332374253[[#This Row],[LỢI NHUẬN RÒNG]]+Table521117681522293437414651589162332374253[[#This Row],[VỐN CP]]</f>
        <v>5785092.6127856746</v>
      </c>
    </row>
    <row r="151" spans="1:8" ht="15" hidden="1" customHeight="1" x14ac:dyDescent="0.3">
      <c r="A151" s="10" t="s">
        <v>127</v>
      </c>
      <c r="B151" s="11" t="s">
        <v>87</v>
      </c>
      <c r="C151" s="11">
        <v>20</v>
      </c>
      <c r="D151" s="11">
        <v>6660000</v>
      </c>
      <c r="E151" s="11">
        <v>2554923.6</v>
      </c>
      <c r="F151" s="11">
        <v>1941455.9400747076</v>
      </c>
      <c r="G151" s="12">
        <f>Table521117681522293437414651589162332374253[[#This Row],[LỢI NHUẬN RÒNG]]+Table521117681522293437414651589162332374253[[#This Row],[VỐN CP]]</f>
        <v>8601455.9400747083</v>
      </c>
    </row>
    <row r="152" spans="1:8" ht="15" hidden="1" customHeight="1" x14ac:dyDescent="0.3">
      <c r="A152" s="10" t="s">
        <v>127</v>
      </c>
      <c r="B152" s="11" t="s">
        <v>9</v>
      </c>
      <c r="C152" s="11">
        <v>20</v>
      </c>
      <c r="D152" s="11">
        <v>6660000</v>
      </c>
      <c r="E152" s="11">
        <v>2554923.6</v>
      </c>
      <c r="F152" s="11">
        <v>1941455.9400747076</v>
      </c>
      <c r="G152" s="12">
        <f>Table521117681522293437414651589162332374253[[#This Row],[LỢI NHUẬN RÒNG]]+Table521117681522293437414651589162332374253[[#This Row],[VỐN CP]]</f>
        <v>8601455.9400747083</v>
      </c>
    </row>
    <row r="153" spans="1:8" ht="15" hidden="1" customHeight="1" x14ac:dyDescent="0.3">
      <c r="A153" s="10" t="s">
        <v>127</v>
      </c>
      <c r="B153" s="11" t="s">
        <v>19</v>
      </c>
      <c r="C153" s="11">
        <v>20</v>
      </c>
      <c r="D153" s="11">
        <v>6660000</v>
      </c>
      <c r="E153" s="11">
        <v>2554923.6</v>
      </c>
      <c r="F153" s="11">
        <v>1941455.9400747076</v>
      </c>
      <c r="G153" s="12">
        <f>Table521117681522293437414651589162332374253[[#This Row],[LỢI NHUẬN RÒNG]]+Table521117681522293437414651589162332374253[[#This Row],[VỐN CP]]</f>
        <v>8601455.9400747083</v>
      </c>
    </row>
    <row r="154" spans="1:8" hidden="1" x14ac:dyDescent="0.3">
      <c r="A154" s="20" t="s">
        <v>127</v>
      </c>
      <c r="B154" s="11" t="s">
        <v>27</v>
      </c>
      <c r="C154" s="21">
        <v>40</v>
      </c>
      <c r="D154" s="21">
        <v>13320000</v>
      </c>
      <c r="E154" s="21">
        <v>5109847.2</v>
      </c>
      <c r="F154" s="21">
        <v>3882911.8801494152</v>
      </c>
      <c r="G154" s="12">
        <f>Table521117681522293437414651589162332374253[[#This Row],[LỢI NHUẬN RÒNG]]+Table521117681522293437414651589162332374253[[#This Row],[VỐN CP]]</f>
        <v>17202911.880149417</v>
      </c>
    </row>
    <row r="155" spans="1:8" x14ac:dyDescent="0.3">
      <c r="A155" s="20"/>
      <c r="B155" s="21"/>
      <c r="C155" s="21"/>
      <c r="D155" s="21">
        <f>SUBTOTAL(109,Table521117681522293437414651589162332374253[VỐN CP])</f>
        <v>49526666.666666664</v>
      </c>
      <c r="E155" s="21">
        <f>SUBTOTAL(109,Table521117681522293437414651589162332374253[LỢI NHUẬN GỘP])</f>
        <v>17909110.933333334</v>
      </c>
      <c r="F155" s="21">
        <f>SUBTOTAL(109,Table521117681522293437414651589162332374253[LỢI NHUẬN RÒNG])</f>
        <v>9582858.6871266793</v>
      </c>
      <c r="G155" s="21">
        <f>SUBTOTAL(109,Table521117681522293437414651589162332374253[TỔNG NHẬN])</f>
        <v>59109525.353793345</v>
      </c>
    </row>
    <row r="156" spans="1:8" x14ac:dyDescent="0.3">
      <c r="G156" s="45"/>
    </row>
    <row r="157" spans="1:8" x14ac:dyDescent="0.3">
      <c r="G157" s="45"/>
    </row>
    <row r="158" spans="1:8" x14ac:dyDescent="0.3">
      <c r="H158" s="11"/>
    </row>
    <row r="161" spans="9:9" x14ac:dyDescent="0.3">
      <c r="I161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69A0-1A90-4FB0-A1FA-6A92A1180393}">
  <sheetPr codeName="Sheet25"/>
  <dimension ref="A1:O416"/>
  <sheetViews>
    <sheetView topLeftCell="A138" workbookViewId="0">
      <selection activeCell="B419" sqref="B419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158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2949624.3</v>
      </c>
      <c r="F3" s="11">
        <v>1082211.8719227943</v>
      </c>
      <c r="G3" s="12">
        <f>D3+Table84141941013242732394348535671421283544[[#This Row],[LỢI NHUẬN RÒNG]]</f>
        <v>9482211.8719227947</v>
      </c>
      <c r="K3" s="13" t="s">
        <v>10</v>
      </c>
      <c r="L3" s="14">
        <f>SUMIF(Table84141941013242732394348535671421283544[CỔ ĐÔNG],K3,Table84141941013242732394348535671421283544[VỐN CP])</f>
        <v>47288333.333333336</v>
      </c>
      <c r="M3" s="14">
        <f>SUMIF(Table84141941013242732394348535671421283544[CỔ ĐÔNG],K3,Table84141941013242732394348535671421283544[LỢI NHUẬN GỘP])</f>
        <v>19503084.533333335</v>
      </c>
      <c r="N3" s="14">
        <f>SUMIF(Table84141941013242732394348535671421283544[CỔ ĐÔNG],K3,Table84141941013242732394348535671421283544[LỢI NHUẬN RÒNG])</f>
        <v>12455499.846940564</v>
      </c>
      <c r="O3" s="15">
        <f>SUMIF(Table84141941013242732394348535671421283544[CỔ ĐÔNG],K3,Table84141941013242732394348535671421283544[TỔNG NHẬN])</f>
        <v>59743833.18027389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17850000</v>
      </c>
      <c r="E4" s="11">
        <v>3777192.65</v>
      </c>
      <c r="F4" s="11">
        <v>962725.99319720198</v>
      </c>
      <c r="G4" s="12">
        <f>D4+Table84141941013242732394348535671421283544[[#This Row],[LỢI NHUẬN RÒNG]]</f>
        <v>18812725.993197203</v>
      </c>
      <c r="K4" s="13" t="s">
        <v>9</v>
      </c>
      <c r="L4" s="14">
        <f>SUMIF(Table84141941013242732394348535671421283544[CỔ ĐÔNG],K4,Table84141941013242732394348535671421283544[VỐN CP])</f>
        <v>374344999.99999994</v>
      </c>
      <c r="M4" s="14">
        <f>SUMIF(Table84141941013242732394348535671421283544[CỔ ĐÔNG],K4,Table84141941013242732394348535671421283544[LỢI NHUẬN GỘP])</f>
        <v>138928030.49416667</v>
      </c>
      <c r="N4" s="14">
        <f>SUMIF(Table84141941013242732394348535671421283544[CỔ ĐÔNG],K4,Table84141941013242732394348535671421283544[LỢI NHUẬN RÒNG])</f>
        <v>80034982.595789582</v>
      </c>
      <c r="O4" s="15">
        <f>SUMIF(Table84141941013242732394348535671421283544[CỔ ĐÔNG],Table95152051114252833404449545781522293645[[#This Row],[CỔ ĐÔNG]],Table84141941013242732394348535671421283544[TỔNG NHẬN])</f>
        <v>454379982.59578955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12799999.999999998</v>
      </c>
      <c r="E5" s="11">
        <v>2007555.1000000006</v>
      </c>
      <c r="F5" s="11">
        <v>-700862.8613640368</v>
      </c>
      <c r="G5" s="12">
        <f>D5+Table84141941013242732394348535671421283544[[#This Row],[LỢI NHUẬN RÒNG]]</f>
        <v>12099137.138635961</v>
      </c>
      <c r="K5" s="13" t="s">
        <v>13</v>
      </c>
      <c r="L5" s="14">
        <f>SUMIF(Table84141941013242732394348535671421283544[CỔ ĐÔNG],K5,Table84141941013242732394348535671421283544[VỐN CP])</f>
        <v>63052500</v>
      </c>
      <c r="M5" s="14">
        <f>SUMIF(Table84141941013242732394348535671421283544[CỔ ĐÔNG],K5,Table84141941013242732394348535671421283544[LỢI NHUẬN GỘP])</f>
        <v>25560943.046666663</v>
      </c>
      <c r="N5" s="14">
        <f>SUMIF(Table84141941013242732394348535671421283544[CỔ ĐÔNG],K5,Table84141941013242732394348535671421283544[LỢI NHUẬN RÒNG])</f>
        <v>14277185.676714959</v>
      </c>
      <c r="O5" s="15">
        <f>SUMIF(Table84141941013242732394348535671421283544[CỔ ĐÔNG],Table95152051114252833404449545781522293645[[#This Row],[CỔ ĐÔNG]],Table84141941013242732394348535671421283544[TỔNG NHẬN])</f>
        <v>77329685.676714957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14340000</v>
      </c>
      <c r="E6" s="11">
        <v>5142917.4000000004</v>
      </c>
      <c r="F6" s="11">
        <v>1580662.3417085633</v>
      </c>
      <c r="G6" s="12">
        <f>D6+Table84141941013242732394348535671421283544[[#This Row],[LỢI NHUẬN RÒNG]]</f>
        <v>15920662.341708563</v>
      </c>
      <c r="K6" s="13" t="s">
        <v>15</v>
      </c>
      <c r="L6" s="14">
        <f>SUMIF(Table84141941013242732394348535671421283544[CỔ ĐÔNG],K6,Table84141941013242732394348535671421283544[VỐN CP])</f>
        <v>27671666.666666668</v>
      </c>
      <c r="M6" s="14">
        <f>SUMIF(Table84141941013242732394348535671421283544[CỔ ĐÔNG],K6,Table84141941013242732394348535671421283544[LỢI NHUẬN GỘP])</f>
        <v>14067884.75</v>
      </c>
      <c r="N6" s="14">
        <f>SUMIF(Table84141941013242732394348535671421283544[CỔ ĐÔNG],K6,Table84141941013242732394348535671421283544[LỢI NHUẬN RÒNG])</f>
        <v>8794445.1176608726</v>
      </c>
      <c r="O6" s="15">
        <f>SUMIF(Table84141941013242732394348535671421283544[CỔ ĐÔNG],K6,Table84141941013242732394348535671421283544[TỔNG NHẬN])</f>
        <v>36466111.784327537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5447124</v>
      </c>
      <c r="F7" s="11">
        <v>1775381.6964262365</v>
      </c>
      <c r="G7" s="12">
        <f>D7+Table84141941013242732394348535671421283544[[#This Row],[LỢI NHUẬN RÒNG]]</f>
        <v>19775381.696426235</v>
      </c>
      <c r="I7" s="11"/>
      <c r="K7" s="13" t="s">
        <v>17</v>
      </c>
      <c r="L7" s="14">
        <f>SUMIF(Table84141941013242732394348535671421283544[CỔ ĐÔNG],K7,Table84141941013242732394348535671421283544[VỐN CP])</f>
        <v>6795000</v>
      </c>
      <c r="M7" s="14">
        <f>SUMIF(Table84141941013242732394348535671421283544[CỔ ĐÔNG],K7,Table84141941013242732394348535671421283544[LỢI NHUẬN GỘP])</f>
        <v>3829256.9</v>
      </c>
      <c r="N7" s="14">
        <f>SUMIF(Table84141941013242732394348535671421283544[CỔ ĐÔNG],K7,Table84141941013242732394348535671421283544[LỢI NHUẬN RÒNG])</f>
        <v>2724914.0465526823</v>
      </c>
      <c r="O7" s="15">
        <f>SUMIF(Table84141941013242732394348535671421283544[CỔ ĐÔNG],Table95152051114252833404449545781522293645[[#This Row],[CỔ ĐÔNG]],Table84141941013242732394348535671421283544[TỔNG NHẬN])</f>
        <v>9519914.0465526804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9500000</v>
      </c>
      <c r="E8" s="11">
        <v>3264733.1374999993</v>
      </c>
      <c r="F8" s="11">
        <v>2072726.5223182365</v>
      </c>
      <c r="G8" s="12">
        <f>D8+Table84141941013242732394348535671421283544[[#This Row],[LỢI NHUẬN RÒNG]]</f>
        <v>11572726.522318237</v>
      </c>
      <c r="K8" s="13" t="s">
        <v>19</v>
      </c>
      <c r="L8" s="14">
        <f>SUMIF(Table84141941013242732394348535671421283544[CỔ ĐÔNG],K8,Table84141941013242732394348535671421283544[VỐN CP])</f>
        <v>390366666.66666669</v>
      </c>
      <c r="M8" s="14">
        <f>SUMIF(Table84141941013242732394348535671421283544[CỔ ĐÔNG],K8,Table84141941013242732394348535671421283544[LỢI NHUẬN GỘP])</f>
        <v>148902958.67499998</v>
      </c>
      <c r="N8" s="14">
        <f>SUMIF(Table84141941013242732394348535671421283544[CỔ ĐÔNG],K8,Table84141941013242732394348535671421283544[LỢI NHUẬN RÒNG])</f>
        <v>86718164.911064282</v>
      </c>
      <c r="O8" s="15">
        <f>SUMIF(Table84141941013242732394348535671421283544[CỔ ĐÔNG],Table95152051114252833404449545781522293645[[#This Row],[CỔ ĐÔNG]],Table84141941013242732394348535671421283544[TỔNG NHẬN])</f>
        <v>477084831.57773083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2981078.9666666668</v>
      </c>
      <c r="F9" s="11">
        <v>1779919.6579019222</v>
      </c>
      <c r="G9" s="12">
        <f>D9+Table84141941013242732394348535671421283544[[#This Row],[LỢI NHUẬN RÒNG]]</f>
        <v>10779919.657901922</v>
      </c>
      <c r="K9" s="13" t="s">
        <v>21</v>
      </c>
      <c r="L9" s="14">
        <f>SUMIF(Table84141941013242732394348535671421283544[CỔ ĐÔNG],K9,Table84141941013242732394348535671421283544[VỐN CP])</f>
        <v>345311666.66666669</v>
      </c>
      <c r="M9" s="14">
        <f>SUMIF(Table84141941013242732394348535671421283544[CỔ ĐÔNG],K9,Table84141941013242732394348535671421283544[LỢI NHUẬN GỘP])</f>
        <v>140619922.8125</v>
      </c>
      <c r="N9" s="14">
        <f>SUMIF(Table84141941013242732394348535671421283544[CỔ ĐÔNG],K9,Table84141941013242732394348535671421283544[LỢI NHUẬN RÒNG])</f>
        <v>85895036.867424726</v>
      </c>
      <c r="O9" s="15">
        <f>SUMIF(Table84141941013242732394348535671421283544[CỔ ĐÔNG],Table95152051114252833404449545781522293645[[#This Row],[CỔ ĐÔNG]],Table84141941013242732394348535671421283544[TỔNG NHẬN])</f>
        <v>431206703.53409129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1168900.833333333</v>
      </c>
      <c r="F10" s="11">
        <v>230751.55424580164</v>
      </c>
      <c r="G10" s="12">
        <f>D10+Table84141941013242732394348535671421283544[[#This Row],[LỢI NHUẬN RÒNG]]</f>
        <v>5730751.5542458016</v>
      </c>
      <c r="I10" s="11"/>
      <c r="K10" s="13" t="s">
        <v>23</v>
      </c>
      <c r="L10" s="14">
        <f>SUMIF(Table84141941013242732394348535671421283544[CỔ ĐÔNG],K10,Table84141941013242732394348535671421283544[VỐN CP])</f>
        <v>35435000</v>
      </c>
      <c r="M10" s="14">
        <f>SUMIF(Table84141941013242732394348535671421283544[CỔ ĐÔNG],K10,Table84141941013242732394348535671421283544[LỢI NHUẬN GỘP])</f>
        <v>15345528.483333334</v>
      </c>
      <c r="N10" s="14">
        <f>SUMIF(Table84141941013242732394348535671421283544[CỔ ĐÔNG],K10,Table84141941013242732394348535671421283544[LỢI NHUẬN RÒNG])</f>
        <v>10580891.307181511</v>
      </c>
      <c r="O10" s="15">
        <f>SUMIF(Table84141941013242732394348535671421283544[CỔ ĐÔNG],Table95152051114252833404449545781522293645[[#This Row],[CỔ ĐÔNG]],Table84141941013242732394348535671421283544[TỔNG NHẬN])</f>
        <v>46015891.307181507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5683980.9333333345</v>
      </c>
      <c r="F11" s="11">
        <v>4200227.4827168975</v>
      </c>
      <c r="G11" s="12">
        <f>D11+Table84141941013242732394348535671421283544[[#This Row],[LỢI NHUẬN RÒNG]]</f>
        <v>18980227.482716896</v>
      </c>
      <c r="K11" s="13" t="s">
        <v>25</v>
      </c>
      <c r="L11" s="14">
        <f>SUMIF(Table84141941013242732394348535671421283544[CỔ ĐÔNG],K11,Table84141941013242732394348535671421283544[VỐN CP])</f>
        <v>96430833.333333328</v>
      </c>
      <c r="M11" s="14">
        <f>SUMIF(Table84141941013242732394348535671421283544[CỔ ĐÔNG],K11,Table84141941013242732394348535671421283544[LỢI NHUẬN GỘP])</f>
        <v>39373454.363333337</v>
      </c>
      <c r="N11" s="14">
        <f>SUMIF(Table84141941013242732394348535671421283544[CỔ ĐÔNG],K11,Table84141941013242732394348535671421283544[LỢI NHUẬN RÒNG])</f>
        <v>26013032.048462398</v>
      </c>
      <c r="O11" s="15">
        <f>SUMIF(Table84141941013242732394348535671421283544[CỔ ĐÔNG],Table95152051114252833404449545781522293645[[#This Row],[CỔ ĐÔNG]],Table84141941013242732394348535671421283544[TỔNG NHẬN])</f>
        <v>122443865.38179572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5285242.2</v>
      </c>
      <c r="F12" s="11">
        <v>2492040.5990797384</v>
      </c>
      <c r="G12" s="12">
        <f>D12+Table84141941013242732394348535671421283544[[#This Row],[LỢI NHUẬN RÒNG]]</f>
        <v>16322040.599079739</v>
      </c>
      <c r="K12" s="13" t="s">
        <v>27</v>
      </c>
      <c r="L12" s="14">
        <f>SUMIF(Table84141941013242732394348535671421283544[CỔ ĐÔNG],K12,Table84141941013242732394348535671421283544[VỐN CP])</f>
        <v>79870000</v>
      </c>
      <c r="M12" s="14">
        <f>SUMIF(Table84141941013242732394348535671421283544[CỔ ĐÔNG],K12,Table84141941013242732394348535671421283544[LỢI NHUẬN GỘP])</f>
        <v>27928490.224999998</v>
      </c>
      <c r="N12" s="14">
        <f>SUMIF(Table84141941013242732394348535671421283544[CỔ ĐÔNG],K12,Table84141941013242732394348535671421283544[LỢI NHUẬN RÒNG])</f>
        <v>16753686.070903836</v>
      </c>
      <c r="O12" s="15">
        <f>SUMIF(Table84141941013242732394348535671421283544[CỔ ĐÔNG],Table95152051114252833404449545781522293645[[#This Row],[CỔ ĐÔNG]],Table84141941013242732394348535671421283544[TỔNG NHẬN])</f>
        <v>96623686.070903838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SUMIF(Table84141941013242732394348535671421283544[CỔ ĐÔNG],K13,Table84141941013242732394348535671421283544[VỐN CP])</f>
        <v>38848333.333333328</v>
      </c>
      <c r="M13" s="14">
        <f>SUMIF(Table84141941013242732394348535671421283544[CỔ ĐÔNG],K13,Table84141941013242732394348535671421283544[LỢI NHUẬN GỘP])</f>
        <v>16043488.666666666</v>
      </c>
      <c r="N13" s="14">
        <f>SUMIF(Table84141941013242732394348535671421283544[CỔ ĐÔNG],K13,Table84141941013242732394348535671421283544[LỢI NHUẬN RÒNG])</f>
        <v>10087577.967641419</v>
      </c>
      <c r="O13" s="15">
        <f>SUMIF(Table84141941013242732394348535671421283544[CỔ ĐÔNG],Table95152051114252833404449545781522293645[[#This Row],[CỔ ĐÔNG]],Table84141941013242732394348535671421283544[TỔNG NHẬN])</f>
        <v>48935911.300974756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20000000</v>
      </c>
      <c r="E14" s="11">
        <v>6595345.5999999996</v>
      </c>
      <c r="F14" s="11">
        <v>4053019.5416276692</v>
      </c>
      <c r="G14" s="12">
        <f>D14+Table84141941013242732394348535671421283544[[#This Row],[LỢI NHUẬN RÒNG]]</f>
        <v>24053019.541627668</v>
      </c>
      <c r="K14" s="13" t="s">
        <v>31</v>
      </c>
      <c r="L14" s="14">
        <f>SUMIF(Table84141941013242732394348535671421283544[CỔ ĐÔNG],K14,Table84141941013242732394348535671421283544[VỐN CP])</f>
        <v>145201666.66666666</v>
      </c>
      <c r="M14" s="14">
        <f>SUMIF(Table84141941013242732394348535671421283544[CỔ ĐÔNG],K14,Table84141941013242732394348535671421283544[LỢI NHUẬN GỘP])</f>
        <v>55453885.966666646</v>
      </c>
      <c r="N14" s="14">
        <f>SUMIF(Table84141941013242732394348535671421283544[CỔ ĐÔNG],K14,Table84141941013242732394348535671421283544[LỢI NHUẬN RÒNG])</f>
        <v>33741566.149368241</v>
      </c>
      <c r="O14" s="15">
        <f>SUMIF(Table84141941013242732394348535671421283544[CỔ ĐÔNG],Table95152051114252833404449545781522293645[[#This Row],[CỔ ĐÔNG]],Table84141941013242732394348535671421283544[TỔNG NHẬN])</f>
        <v>178943232.81603491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3280510.95</v>
      </c>
      <c r="F15" s="11">
        <v>2249463.0133290319</v>
      </c>
      <c r="G15" s="12">
        <f>D15+Table84141941013242732394348535671421283544[[#This Row],[LỢI NHUẬN RÒNG]]</f>
        <v>11399463.013329033</v>
      </c>
      <c r="K15" s="13" t="s">
        <v>33</v>
      </c>
      <c r="L15" s="14">
        <f>SUMIF(Table84141941013242732394348535671421283544[CỔ ĐÔNG],K15,Table84141941013242732394348535671421283544[VỐN CP])</f>
        <v>61358333.333333336</v>
      </c>
      <c r="M15" s="14">
        <f>SUMIF(Table84141941013242732394348535671421283544[CỔ ĐÔNG],K15,Table84141941013242732394348535671421283544[LỢI NHUẬN GỘP])</f>
        <v>27591505.58333334</v>
      </c>
      <c r="N15" s="14">
        <f>SUMIF(Table84141941013242732394348535671421283544[CỔ ĐÔNG],K15,Table84141941013242732394348535671421283544[LỢI NHUẬN RÒNG])</f>
        <v>18560729.635340985</v>
      </c>
      <c r="O15" s="15">
        <f>SUMIF(Table84141941013242732394348535671421283544[CỔ ĐÔNG],Table95152051114252833404449545781522293645[[#This Row],[CỔ ĐÔNG]],Table84141941013242732394348535671421283544[TỔNG NHẬN])</f>
        <v>79919062.968674317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3491520.4</v>
      </c>
      <c r="F16" s="11">
        <v>2731933.2950111688</v>
      </c>
      <c r="G16" s="12">
        <f>D16+Table84141941013242732394348535671421283544[[#This Row],[LỢI NHUẬN RÒNG]]</f>
        <v>8891933.2950111683</v>
      </c>
      <c r="K16" s="13" t="s">
        <v>35</v>
      </c>
      <c r="L16" s="14">
        <f>SUMIF(Table84141941013242732394348535671421283544[CỔ ĐÔNG],K16,Table84141941013242732394348535671421283544[VỐN CP])</f>
        <v>51196666.666666672</v>
      </c>
      <c r="M16" s="14">
        <f>SUMIF(Table84141941013242732394348535671421283544[CỔ ĐÔNG],K16,Table84141941013242732394348535671421283544[LỢI NHUẬN GỘP])</f>
        <v>21262623.233333334</v>
      </c>
      <c r="N16" s="14">
        <f>SUMIF(Table84141941013242732394348535671421283544[CỔ ĐÔNG],K16,Table84141941013242732394348535671421283544[LỢI NHUẬN RÒNG])</f>
        <v>14021267.588507675</v>
      </c>
      <c r="O16" s="15">
        <f>SUMIF(Table84141941013242732394348535671421283544[CỔ ĐÔNG],Table95152051114252833404449545781522293645[[#This Row],[CỔ ĐÔNG]],Table84141941013242732394348535671421283544[TỔNG NHẬN])</f>
        <v>65217934.255174354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2904227.8</v>
      </c>
      <c r="F17" s="11">
        <v>1744246.0497580289</v>
      </c>
      <c r="G17" s="12">
        <f>D17+Table84141941013242732394348535671421283544[[#This Row],[LỢI NHUẬN RÒNG]]</f>
        <v>10744246.049758028</v>
      </c>
      <c r="K17" s="16" t="s">
        <v>37</v>
      </c>
      <c r="L17" s="17">
        <f>SUMIF(Table84141941013242732394348535671421283544[CỔ ĐÔNG],K17,Table84141941013242732394348535671421283544[VỐN CP])</f>
        <v>159585000</v>
      </c>
      <c r="M17" s="17">
        <f>SUMIF(Table84141941013242732394348535671421283544[CỔ ĐÔNG],K17,Table84141941013242732394348535671421283544[LỢI NHUẬN GỘP])</f>
        <v>64462016.783333339</v>
      </c>
      <c r="N17" s="17">
        <f>SUMIF(Table84141941013242732394348535671421283544[CỔ ĐÔNG],K17,Table84141941013242732394348535671421283544[LỢI NHUẬN RÒNG])</f>
        <v>40821640.527491763</v>
      </c>
      <c r="O17" s="15">
        <f>SUMIF(Table84141941013242732394348535671421283544[CỔ ĐÔNG],Table95152051114252833404449545781522293645[[#This Row],[CỔ ĐÔNG]],Table84141941013242732394348535671421283544[TỔNG NHẬN])</f>
        <v>200406640.52749178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3326577.8</v>
      </c>
      <c r="F18" s="11">
        <v>2718189.1199117065</v>
      </c>
      <c r="G18" s="12">
        <f>D18+Table84141941013242732394348535671421283544[[#This Row],[LỢI NHUẬN RÒNG]]</f>
        <v>7718189.1199117061</v>
      </c>
      <c r="K18" s="13" t="s">
        <v>39</v>
      </c>
      <c r="L18" s="17">
        <f>SUMIF(Table84141941013242732394348535671421283544[CỔ ĐÔNG],K18,Table84141941013242732394348535671421283544[VỐN CP])</f>
        <v>1583333.3333333335</v>
      </c>
      <c r="M18" s="17">
        <f>SUMIF(Table84141941013242732394348535671421283544[CỔ ĐÔNG],K18,Table84141941013242732394348535671421283544[LỢI NHUẬN GỘP])</f>
        <v>812008.36666666646</v>
      </c>
      <c r="N18" s="17">
        <f>SUMIF(Table84141941013242732394348535671421283544[CỔ ĐÔNG],K18,Table84141941013242732394348535671421283544[LỢI NHUẬN RÒNG])</f>
        <v>608705.60832491517</v>
      </c>
      <c r="O18" s="15">
        <f>SUMIF(Table84141941013242732394348535671421283544[CỔ ĐÔNG],Table95152051114252833404449545781522293645[[#This Row],[CỔ ĐÔNG]],Table84141941013242732394348535671421283544[TỔNG NHẬN])</f>
        <v>2192038.9416582487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1194211</v>
      </c>
      <c r="F19" s="11">
        <v>866708.72926942527</v>
      </c>
      <c r="G19" s="12">
        <f>D19+Table84141941013242732394348535671421283544[[#This Row],[LỢI NHUẬN RÒNG]]</f>
        <v>1966708.7292694254</v>
      </c>
      <c r="I19" s="11"/>
      <c r="K19" s="13" t="s">
        <v>41</v>
      </c>
      <c r="L19" s="17">
        <f>SUMIF(Table84141941013242732394348535671421283544[CỔ ĐÔNG],K19,Table84141941013242732394348535671421283544[VỐN CP])</f>
        <v>2533333.3333333335</v>
      </c>
      <c r="M19" s="17">
        <f>SUMIF(Table84141941013242732394348535671421283544[CỔ ĐÔNG],K19,Table84141941013242732394348535671421283544[LỢI NHUẬN GỘP])</f>
        <v>1345055.2666666666</v>
      </c>
      <c r="N19" s="17">
        <f>SUMIF(Table84141941013242732394348535671421283544[CỔ ĐÔNG],K19,Table84141941013242732394348535671421283544[LỢI NHUẬN RÒNG])</f>
        <v>940902.27002048469</v>
      </c>
      <c r="O19" s="15">
        <f>SUMIF(Table84141941013242732394348535671421283544[CỔ ĐÔNG],Table95152051114252833404449545781522293645[[#This Row],[CỔ ĐÔNG]],Table84141941013242732394348535671421283544[TỔNG NHẬN])</f>
        <v>3474235.6033538179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842749.8</v>
      </c>
      <c r="F20" s="11">
        <v>309203.39197794127</v>
      </c>
      <c r="G20" s="12">
        <f>D20+Table84141941013242732394348535671421283544[[#This Row],[LỢI NHUẬN RÒNG]]</f>
        <v>2709203.3919779412</v>
      </c>
      <c r="K20" s="13" t="s">
        <v>42</v>
      </c>
      <c r="L20" s="17">
        <f>SUMIF(Table84141941013242732394348535671421283544[CỔ ĐÔNG],K20,Table84141941013242732394348535671421283544[VỐN CP])</f>
        <v>2083333.3333333335</v>
      </c>
      <c r="M20" s="17">
        <f>SUMIF(Table84141941013242732394348535671421283544[CỔ ĐÔNG],K20,Table84141941013242732394348535671421283544[LỢI NHUẬN GỘP])</f>
        <v>1233066.5666666664</v>
      </c>
      <c r="N20" s="17">
        <f>SUMIF(Table84141941013242732394348535671421283544[CỔ ĐÔNG],K20,Table84141941013242732394348535671421283544[LỢI NHUẬN RÒNG])</f>
        <v>878342.66639691649</v>
      </c>
      <c r="O20" s="15">
        <f>SUMIF(Table84141941013242732394348535671421283544[CỔ ĐÔNG],Table95152051114252833404449545781522293645[[#This Row],[CỔ ĐÔNG]],Table84141941013242732394348535671421283544[TỔNG NHẬN])</f>
        <v>2961675.9997302499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5100000</v>
      </c>
      <c r="E21" s="11">
        <v>1079197.8999999999</v>
      </c>
      <c r="F21" s="11">
        <v>275064.56948491483</v>
      </c>
      <c r="G21" s="12">
        <f>D21+Table84141941013242732394348535671421283544[[#This Row],[LỢI NHUẬN RÒNG]]</f>
        <v>5375064.5694849147</v>
      </c>
      <c r="K21" s="13" t="s">
        <v>43</v>
      </c>
      <c r="L21" s="17">
        <f>SUMIF(Table84141941013242732394348535671421283544[CỔ ĐÔNG],K21,Table84141941013242732394348535671421283544[VỐN CP])</f>
        <v>90068333.333333343</v>
      </c>
      <c r="M21" s="17">
        <f>SUMIF(Table84141941013242732394348535671421283544[CỔ ĐÔNG],K21,Table84141941013242732394348535671421283544[LỢI NHUẬN GỘP])</f>
        <v>34495360.283333331</v>
      </c>
      <c r="N21" s="17">
        <f>SUMIF(Table84141941013242732394348535671421283544[CỔ ĐÔNG],K21,Table84141941013242732394348535671421283544[LỢI NHUẬN RÒNG])</f>
        <v>22579147.334351856</v>
      </c>
      <c r="O21" s="15">
        <f>SUMIF(Table84141941013242732394348535671421283544[CỔ ĐÔNG],Table95152051114252833404449545781522293645[[#This Row],[CỔ ĐÔNG]],Table84141941013242732394348535671421283544[TỔNG NHẬN])</f>
        <v>112647480.66768517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4266666.666666666</v>
      </c>
      <c r="E22" s="18">
        <v>669185.03333333356</v>
      </c>
      <c r="F22" s="18">
        <v>-233620.95378801227</v>
      </c>
      <c r="G22" s="12">
        <f>D22+Table84141941013242732394348535671421283544[[#This Row],[LỢI NHUẬN RÒNG]]</f>
        <v>4033045.7128786538</v>
      </c>
      <c r="K22" s="13" t="s">
        <v>44</v>
      </c>
      <c r="L22" s="17">
        <f>SUMIF(Table84141941013242732394348535671421283544[CỔ ĐÔNG],K22,Table84141941013242732394348535671421283544[VỐN CP])</f>
        <v>4700000</v>
      </c>
      <c r="M22" s="17">
        <f>SUMIF(Table84141941013242732394348535671421283544[CỔ ĐÔNG],K22,Table84141941013242732394348535671421283544[LỢI NHUẬN GỘP])</f>
        <v>2902653.65</v>
      </c>
      <c r="N22" s="17">
        <f>SUMIF(Table84141941013242732394348535671421283544[CỔ ĐÔNG],K22,Table84141941013242732394348535671421283544[LỢI NHUẬN RÒNG])</f>
        <v>1892982.0867404593</v>
      </c>
      <c r="O22" s="15">
        <f>SUMIF(Table84141941013242732394348535671421283544[CỔ ĐÔNG],Table95152051114252833404449545781522293645[[#This Row],[CỔ ĐÔNG]],Table84141941013242732394348535671421283544[TỔNG NHẬN])</f>
        <v>6592982.0867404593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4780000</v>
      </c>
      <c r="E23" s="11">
        <v>1714305.8</v>
      </c>
      <c r="F23" s="11">
        <v>526887.44723618776</v>
      </c>
      <c r="G23" s="12">
        <f>D23+Table84141941013242732394348535671421283544[[#This Row],[LỢI NHUẬN RÒNG]]</f>
        <v>5306887.4472361878</v>
      </c>
      <c r="K23" s="13" t="s">
        <v>45</v>
      </c>
      <c r="L23" s="17">
        <f>SUMIF(Table84141941013242732394348535671421283544[CỔ ĐÔNG],K23,Table84141941013242732394348535671421283544[VỐN CP])</f>
        <v>12925000</v>
      </c>
      <c r="M23" s="17">
        <f>SUMIF(Table84141941013242732394348535671421283544[CỔ ĐÔNG],K23,Table84141941013242732394348535671421283544[LỢI NHUẬN GỘP])</f>
        <v>5776754.583333333</v>
      </c>
      <c r="N23" s="17">
        <f>SUMIF(Table84141941013242732394348535671421283544[CỔ ĐÔNG],K23,Table84141941013242732394348535671421283544[LỢI NHUẬN RÒNG])</f>
        <v>3897617.3488850165</v>
      </c>
      <c r="O23" s="15">
        <f>SUMIF(Table84141941013242732394348535671421283544[CỔ ĐÔNG],Table95152051114252833404449545781522293645[[#This Row],[CỔ ĐÔNG]],Table84141941013242732394348535671421283544[TỔNG NHẬN])</f>
        <v>16822617.348885015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2949624.3</v>
      </c>
      <c r="F24" s="11">
        <v>1082211.8719227943</v>
      </c>
      <c r="G24" s="12">
        <f>D24+Table84141941013242732394348535671421283544[[#This Row],[LỢI NHUẬN RÒNG]]</f>
        <v>9482211.8719227947</v>
      </c>
      <c r="K24" s="13" t="s">
        <v>46</v>
      </c>
      <c r="L24" s="17">
        <f>SUMIF(Table84141941013242732394348535671421283544[CỔ ĐÔNG],K24,Table84141941013242732394348535671421283544[VỐN CP])</f>
        <v>13350000</v>
      </c>
      <c r="M24" s="17">
        <f>SUMIF(Table84141941013242732394348535671421283544[CỔ ĐÔNG],K24,Table84141941013242732394348535671421283544[LỢI NHUẬN GỘP])</f>
        <v>4774066.8500000006</v>
      </c>
      <c r="N24" s="17">
        <f>SUMIF(Table84141941013242732394348535671421283544[CỔ ĐÔNG],K24,Table84141941013242732394348535671421283544[LỢI NHUẬN RÒNG])</f>
        <v>3049975.2605163776</v>
      </c>
      <c r="O24" s="15">
        <f>SUMIF(Table84141941013242732394348535671421283544[CỔ ĐÔNG],Table95152051114252833404449545781522293645[[#This Row],[CỔ ĐÔNG]],Table84141941013242732394348535671421283544[TỔNG NHẬN])</f>
        <v>16399975.260516377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17850000</v>
      </c>
      <c r="E25" s="11">
        <v>3777192.65</v>
      </c>
      <c r="F25" s="11">
        <v>962725.99319720198</v>
      </c>
      <c r="G25" s="12">
        <f>D25+Table84141941013242732394348535671421283544[[#This Row],[LỢI NHUẬN RÒNG]]</f>
        <v>18812725.993197203</v>
      </c>
      <c r="K25" s="13" t="s">
        <v>47</v>
      </c>
      <c r="L25" s="14">
        <f>SUM(L2:L24)</f>
        <v>2049999999.9999995</v>
      </c>
      <c r="M25" s="14">
        <f>SUM(M2:M24)</f>
        <v>810212040.08333337</v>
      </c>
      <c r="N25" s="14">
        <f>SUM(N2:N24)</f>
        <v>495328292.93228149</v>
      </c>
      <c r="O25" s="14">
        <f>SUM(O2:O24)</f>
        <v>2545328292.9322805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12799999.999999998</v>
      </c>
      <c r="E26" s="11">
        <v>2007555.1000000006</v>
      </c>
      <c r="F26" s="11">
        <v>-700862.8613640368</v>
      </c>
      <c r="G26" s="12">
        <f>D26+Table84141941013242732394348535671421283544[[#This Row],[LỢI NHUẬN RÒNG]]</f>
        <v>12099137.138635961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14340000</v>
      </c>
      <c r="E27" s="11">
        <v>5142917.4000000004</v>
      </c>
      <c r="F27" s="11">
        <v>1580662.3417085633</v>
      </c>
      <c r="G27" s="12">
        <f>D27+Table84141941013242732394348535671421283544[[#This Row],[LỢI NHUẬN RÒNG]]</f>
        <v>15920662.341708563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5447124</v>
      </c>
      <c r="F28" s="11">
        <v>1775381.6964262365</v>
      </c>
      <c r="G28" s="12">
        <f>D28+Table84141941013242732394348535671421283544[[#This Row],[LỢI NHUẬN RÒNG]]</f>
        <v>19775381.696426235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11400000</v>
      </c>
      <c r="E29" s="11">
        <v>3917679.7649999987</v>
      </c>
      <c r="F29" s="11">
        <v>2487271.8267818838</v>
      </c>
      <c r="G29" s="12">
        <f>D29+Table84141941013242732394348535671421283544[[#This Row],[LỢI NHUẬN RÒNG]]</f>
        <v>13887271.826781884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3577294.76</v>
      </c>
      <c r="F30" s="11">
        <v>2135903.589482307</v>
      </c>
      <c r="G30" s="12">
        <f>D30+Table84141941013242732394348535671421283544[[#This Row],[LỢI NHUẬN RÒNG]]</f>
        <v>12935903.589482307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935120.6666666664</v>
      </c>
      <c r="F31" s="11">
        <v>184601.24339664131</v>
      </c>
      <c r="G31" s="12">
        <f>D31+Table84141941013242732394348535671421283544[[#This Row],[LỢI NHUẬN RÒNG]]</f>
        <v>4584601.2433966417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7104976.1666666679</v>
      </c>
      <c r="F32" s="11">
        <v>5250284.3533961214</v>
      </c>
      <c r="G32" s="12">
        <f>D32+Table84141941013242732394348535671421283544[[#This Row],[LỢI NHUẬN RÒNG]]</f>
        <v>23725284.353396121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7046989.5999999996</v>
      </c>
      <c r="F33" s="11">
        <v>3322720.7987729846</v>
      </c>
      <c r="G33" s="12">
        <f>D33+Table84141941013242732394348535671421283544[[#This Row],[LỢI NHUẬN RÒNG]]</f>
        <v>21762720.798772983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25000000</v>
      </c>
      <c r="E35" s="11">
        <v>8244182</v>
      </c>
      <c r="F35" s="11">
        <v>5066274.4270345867</v>
      </c>
      <c r="G35" s="12">
        <f>D35+Table84141941013242732394348535671421283544[[#This Row],[LỢI NHUẬN RÒNG]]</f>
        <v>30066274.427034587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4374014.5999999996</v>
      </c>
      <c r="F36" s="11">
        <v>2999284.0177720427</v>
      </c>
      <c r="G36" s="12">
        <f>D36+Table84141941013242732394348535671421283544[[#This Row],[LỢI NHUẬN RÒNG]]</f>
        <v>15199284.017772043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1745760.2</v>
      </c>
      <c r="F37" s="11">
        <v>1365966.6475055844</v>
      </c>
      <c r="G37" s="12">
        <f>D37+Table84141941013242732394348535671421283544[[#This Row],[LỢI NHUẬN RÒNG]]</f>
        <v>4445966.6475055842</v>
      </c>
      <c r="L37" s="11">
        <f>N25+'Tháng 1 nhà T  '!N17</f>
        <v>772596952.38200784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2904227.8</v>
      </c>
      <c r="F38" s="11">
        <v>1744246.0497580289</v>
      </c>
      <c r="G38" s="12">
        <f>D38+Table84141941013242732394348535671421283544[[#This Row],[LỢI NHUẬN RÒNG]]</f>
        <v>10744246.049758028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3326577.8</v>
      </c>
      <c r="F39" s="11">
        <v>2718189.1199117065</v>
      </c>
      <c r="G39" s="12">
        <f>D39+Table84141941013242732394348535671421283544[[#This Row],[LỢI NHUẬN RÒNG]]</f>
        <v>7718189.1199117061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1194211</v>
      </c>
      <c r="F40" s="11">
        <v>866708.72926942527</v>
      </c>
      <c r="G40" s="12">
        <f>D40+Table84141941013242732394348535671421283544[[#This Row],[LỢI NHUẬN RÒNG]]</f>
        <v>1966708.7292694254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1685499.6</v>
      </c>
      <c r="F41" s="11">
        <v>618406.78395588254</v>
      </c>
      <c r="G41" s="12">
        <f>D41+Table84141941013242732394348535671421283544[[#This Row],[LỢI NHUẬN RÒNG]]</f>
        <v>5418406.7839558823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5100000</v>
      </c>
      <c r="E42" s="11">
        <v>1079197.8999999999</v>
      </c>
      <c r="F42" s="11">
        <v>275064.56948491483</v>
      </c>
      <c r="G42" s="12">
        <f>D42+Table84141941013242732394348535671421283544[[#This Row],[LỢI NHUẬN RÒNG]]</f>
        <v>5375064.5694849147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4780000</v>
      </c>
      <c r="E43" s="11">
        <v>1714305.8</v>
      </c>
      <c r="F43" s="11">
        <v>526887.44723618776</v>
      </c>
      <c r="G43" s="12">
        <f>D43+Table84141941013242732394348535671421283544[[#This Row],[LỢI NHUẬN RÒNG]]</f>
        <v>5306887.4472361878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2723562</v>
      </c>
      <c r="F44" s="11">
        <v>887690.84821311827</v>
      </c>
      <c r="G44" s="12">
        <f>D44+Table84141941013242732394348535671421283544[[#This Row],[LỢI NHUẬN RÒNG]]</f>
        <v>9887690.8482131176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5700000</v>
      </c>
      <c r="E45" s="11">
        <v>1958839.8824999994</v>
      </c>
      <c r="F45" s="11">
        <v>1243635.9133909419</v>
      </c>
      <c r="G45" s="12">
        <f>D45+Table84141941013242732394348535671421283544[[#This Row],[LỢI NHUẬN RÒNG]]</f>
        <v>6943635.9133909419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1788647.38</v>
      </c>
      <c r="F46" s="11">
        <v>1067951.7947411535</v>
      </c>
      <c r="G46" s="12">
        <f>D46+Table84141941013242732394348535671421283544[[#This Row],[LỢI NHUẬN RÒNG]]</f>
        <v>6467951.7947411537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701340.49999999988</v>
      </c>
      <c r="F47" s="11">
        <v>138450.93254748097</v>
      </c>
      <c r="G47" s="12">
        <f>D47+Table84141941013242732394348535671421283544[[#This Row],[LỢI NHUẬN RÒNG]]</f>
        <v>3438450.9325474808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4262985.7</v>
      </c>
      <c r="F48" s="11">
        <v>3150170.6120376731</v>
      </c>
      <c r="G48" s="12">
        <f>D48+Table84141941013242732394348535671421283544[[#This Row],[LỢI NHUẬN RÒNG]]</f>
        <v>14235170.612037674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5285242.2</v>
      </c>
      <c r="F49" s="11">
        <v>2492040.5990797384</v>
      </c>
      <c r="G49" s="12">
        <f>D49+Table84141941013242732394348535671421283544[[#This Row],[LỢI NHUẬN RÒNG]]</f>
        <v>16322040.599079739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6561021.9000000004</v>
      </c>
      <c r="F51" s="11">
        <v>4498926.0266580638</v>
      </c>
      <c r="G51" s="12">
        <f>D51+Table84141941013242732394348535671421283544[[#This Row],[LỢI NHUẬN RÒNG]]</f>
        <v>22798926.026658066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3491520.4</v>
      </c>
      <c r="F52" s="11">
        <v>2731933.2950111688</v>
      </c>
      <c r="G52" s="12">
        <f>D52+Table84141941013242732394348535671421283544[[#This Row],[LỢI NHUẬN RÒNG]]</f>
        <v>8891933.2950111683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4356341.7</v>
      </c>
      <c r="F53" s="11">
        <v>2616369.0746370433</v>
      </c>
      <c r="G53" s="12">
        <f>D53+Table84141941013242732394348535671421283544[[#This Row],[LỢI NHUẬN RÒNG]]</f>
        <v>16116369.074637044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4989866.7</v>
      </c>
      <c r="F54" s="11">
        <v>4077283.6798675596</v>
      </c>
      <c r="G54" s="12">
        <f>D54+Table84141941013242732394348535671421283544[[#This Row],[LỢI NHUẬN RÒNG]]</f>
        <v>11577283.67986756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3582633</v>
      </c>
      <c r="F55" s="11">
        <v>2600126.1878082757</v>
      </c>
      <c r="G55" s="12">
        <f>D55+Table84141941013242732394348535671421283544[[#This Row],[LỢI NHUẬN RÒNG]]</f>
        <v>5900126.1878082752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4266666.666666666</v>
      </c>
      <c r="E56" s="18">
        <v>669185.03333333356</v>
      </c>
      <c r="F56" s="18">
        <v>-233620.95378801227</v>
      </c>
      <c r="G56" s="12">
        <f>D56+Table84141941013242732394348535671421283544[[#This Row],[LỢI NHUẬN RÒNG]]</f>
        <v>4033045.7128786538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1745760.2</v>
      </c>
      <c r="F57" s="11">
        <v>1365966.6475055844</v>
      </c>
      <c r="G57" s="12">
        <f>D57+Table84141941013242732394348535671421283544[[#This Row],[LỢI NHUẬN RÒNG]]</f>
        <v>4445966.6475055842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726056.95</v>
      </c>
      <c r="F58" s="11">
        <v>436061.51243950723</v>
      </c>
      <c r="G58" s="12">
        <f>D58+Table84141941013242732394348535671421283544[[#This Row],[LỢI NHUẬN RÒNG]]</f>
        <v>2686061.5124395071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4266666.666666666</v>
      </c>
      <c r="E59" s="11">
        <v>669185.03333333356</v>
      </c>
      <c r="F59" s="11">
        <v>-233620.95378801227</v>
      </c>
      <c r="G59" s="12">
        <f>D59+Table84141941013242732394348535671421283544[[#This Row],[LỢI NHUẬN RÒNG]]</f>
        <v>4033045.7128786538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1663288.9</v>
      </c>
      <c r="F60" s="11">
        <v>1359094.5599558533</v>
      </c>
      <c r="G60" s="12">
        <f>D60+Table84141941013242732394348535671421283544[[#This Row],[LỢI NHUẬN RÒNG]]</f>
        <v>3859094.559955853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11400000</v>
      </c>
      <c r="E61" s="11">
        <v>3917679.7649999987</v>
      </c>
      <c r="F61" s="11">
        <v>2487271.8267818838</v>
      </c>
      <c r="G61" s="12">
        <f>D61+Table84141941013242732394348535671421283544[[#This Row],[LỢI NHUẬN RÒNG]]</f>
        <v>13887271.826781884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3577294.76</v>
      </c>
      <c r="F62" s="11">
        <v>2135903.589482307</v>
      </c>
      <c r="G62" s="12">
        <f>D62+Table84141941013242732394348535671421283544[[#This Row],[LỢI NHUẬN RÒNG]]</f>
        <v>12935903.589482307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1402680.9999999998</v>
      </c>
      <c r="F63" s="11">
        <v>276901.86509496195</v>
      </c>
      <c r="G63" s="12">
        <f>D63+Table84141941013242732394348535671421283544[[#This Row],[LỢI NHUẬN RÒNG]]</f>
        <v>6876901.8650949616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8525971.4000000004</v>
      </c>
      <c r="F64" s="11">
        <v>6300341.2240753463</v>
      </c>
      <c r="G64" s="12">
        <f>D64+Table84141941013242732394348535671421283544[[#This Row],[LỢI NHUẬN RÒNG]]</f>
        <v>28470341.224075347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2388422</v>
      </c>
      <c r="F66" s="11">
        <v>1733417.4585388505</v>
      </c>
      <c r="G66" s="12">
        <f>D66+Table84141941013242732394348535671421283544[[#This Row],[LỢI NHUẬN RÒNG]]</f>
        <v>3933417.4585388508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5100000</v>
      </c>
      <c r="E67" s="18">
        <v>1079197.8999999999</v>
      </c>
      <c r="F67" s="18">
        <v>275064.56948491483</v>
      </c>
      <c r="G67" s="12">
        <f>D67+Table84141941013242732394348535671421283544[[#This Row],[LỢI NHUẬN RÒNG]]</f>
        <v>5375064.5694849147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4266666.666666666</v>
      </c>
      <c r="E68" s="11">
        <v>669185.03333333356</v>
      </c>
      <c r="F68" s="11">
        <v>-233620.95378801227</v>
      </c>
      <c r="G68" s="12">
        <f>D68+Table84141941013242732394348535671421283544[[#This Row],[LỢI NHUẬN RÒNG]]</f>
        <v>4033045.7128786538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4780000</v>
      </c>
      <c r="E69" s="11">
        <v>1714305.8</v>
      </c>
      <c r="F69" s="11">
        <v>526887.44723618776</v>
      </c>
      <c r="G69" s="12">
        <f>D69+Table84141941013242732394348535671421283544[[#This Row],[LỢI NHUẬN RÒNG]]</f>
        <v>5306887.4472361878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5000000</v>
      </c>
      <c r="E70" s="11">
        <v>1648836.4</v>
      </c>
      <c r="F70" s="11">
        <v>1013254.8854069173</v>
      </c>
      <c r="G70" s="12">
        <f>D70+Table84141941013242732394348535671421283544[[#This Row],[LỢI NHUẬN RÒNG]]</f>
        <v>6013254.885406917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2187007.2999999998</v>
      </c>
      <c r="F71" s="11">
        <v>1499642.0088860213</v>
      </c>
      <c r="G71" s="12">
        <f>D71+Table84141941013242732394348535671421283544[[#This Row],[LỢI NHUẬN RÒNG]]</f>
        <v>7599642.0088860216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1745760.2</v>
      </c>
      <c r="F72" s="11">
        <v>1365966.6475055844</v>
      </c>
      <c r="G72" s="12">
        <f>D72+Table84141941013242732394348535671421283544[[#This Row],[LỢI NHUẬN RÒNG]]</f>
        <v>4445966.6475055842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1452113.9</v>
      </c>
      <c r="F73" s="11">
        <v>872123.02487901447</v>
      </c>
      <c r="G73" s="12">
        <f>D73+Table84141941013242732394348535671421283544[[#This Row],[LỢI NHUẬN RÒNG]]</f>
        <v>5372123.0248790141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1663288.9</v>
      </c>
      <c r="F74" s="11">
        <v>1359094.5599558533</v>
      </c>
      <c r="G74" s="12">
        <f>D74+Table84141941013242732394348535671421283544[[#This Row],[LỢI NHUẬN RÒNG]]</f>
        <v>3859094.559955853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2388422</v>
      </c>
      <c r="F75" s="11">
        <v>1733417.4585388505</v>
      </c>
      <c r="G75" s="12">
        <f>D75+Table84141941013242732394348535671421283544[[#This Row],[LỢI NHUẬN RÒNG]]</f>
        <v>3933417.4585388508</v>
      </c>
    </row>
    <row r="76" spans="1:7" ht="15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467560.3333333332</v>
      </c>
      <c r="F76" s="11">
        <v>92300.621698320654</v>
      </c>
      <c r="G76" s="12">
        <f>D76+Table84141941013242732394348535671421283544[[#This Row],[LỢI NHUẬN RÒNG]]</f>
        <v>2292300.6216983208</v>
      </c>
    </row>
    <row r="77" spans="1:7" ht="15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2841990.4666666673</v>
      </c>
      <c r="F77" s="11">
        <v>2100113.7413584488</v>
      </c>
      <c r="G77" s="12">
        <f>D77+Table84141941013242732394348535671421283544[[#This Row],[LỢI NHUẬN RÒNG]]</f>
        <v>9490113.7413584478</v>
      </c>
    </row>
    <row r="78" spans="1:7" ht="15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2187007.2999999998</v>
      </c>
      <c r="F79" s="11">
        <v>1499642.0088860213</v>
      </c>
      <c r="G79" s="12">
        <f>D79+Table84141941013242732394348535671421283544[[#This Row],[LỢI NHUẬN RÒNG]]</f>
        <v>7599642.0088860216</v>
      </c>
    </row>
    <row r="80" spans="1:7" ht="15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1745760.2</v>
      </c>
      <c r="F80" s="11">
        <v>1365966.6475055844</v>
      </c>
      <c r="G80" s="12">
        <f>D80+Table84141941013242732394348535671421283544[[#This Row],[LỢI NHUẬN RÒNG]]</f>
        <v>4445966.6475055842</v>
      </c>
    </row>
    <row r="81" spans="1:7" ht="15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2178170.85</v>
      </c>
      <c r="F81" s="11">
        <v>1308184.5373185216</v>
      </c>
      <c r="G81" s="12">
        <f>D81+Table84141941013242732394348535671421283544[[#This Row],[LỢI NHUẬN RÒNG]]</f>
        <v>8058184.5373185221</v>
      </c>
    </row>
    <row r="82" spans="1:7" ht="15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1663288.9</v>
      </c>
      <c r="F82" s="11">
        <v>1359094.5599558533</v>
      </c>
      <c r="G82" s="12">
        <f>D82+Table84141941013242732394348535671421283544[[#This Row],[LỢI NHUẬN RÒNG]]</f>
        <v>3859094.559955853</v>
      </c>
    </row>
    <row r="83" spans="1:7" ht="15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1194211</v>
      </c>
      <c r="F83" s="11">
        <v>866708.72926942527</v>
      </c>
      <c r="G83" s="12">
        <f>D83+Table84141941013242732394348535671421283544[[#This Row],[LỢI NHUẬN RÒNG]]</f>
        <v>1966708.7292694254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4780000</v>
      </c>
      <c r="E84" s="11">
        <v>1714305.8</v>
      </c>
      <c r="F84" s="11">
        <v>526887.44723618776</v>
      </c>
      <c r="G84" s="12">
        <f>D84+Table84141941013242732394348535671421283544[[#This Row],[LỢI NHUẬN RÒNG]]</f>
        <v>5306887.4472361878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3280510.95</v>
      </c>
      <c r="F85" s="11">
        <v>2249463.0133290319</v>
      </c>
      <c r="G85" s="12">
        <f>D85+Table84141941013242732394348535671421283544[[#This Row],[LỢI NHUẬN RÒNG]]</f>
        <v>11399463.013329033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1745760.2</v>
      </c>
      <c r="F86" s="21">
        <v>1365966.6475055844</v>
      </c>
      <c r="G86" s="12">
        <f>D86+Table84141941013242732394348535671421283544[[#This Row],[LỢI NHUẬN RÒNG]]</f>
        <v>4445966.6475055842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7421529.2000000002</v>
      </c>
      <c r="F87" s="21">
        <v>3403194.7069335459</v>
      </c>
      <c r="G87" s="12">
        <f>D87+Table84141941013242732394348535671421283544[[#This Row],[LỢI NHUẬN RÒNG]]</f>
        <v>27403194.706933547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5566146.9000000004</v>
      </c>
      <c r="F88" s="21">
        <v>2552396.0302001596</v>
      </c>
      <c r="G88" s="12">
        <f>D88+Table84141941013242732394348535671421283544[[#This Row],[LỢI NHUẬN RÒNG]]</f>
        <v>20552396.030200161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927691.15</v>
      </c>
      <c r="F89" s="21">
        <v>425399.33836669324</v>
      </c>
      <c r="G89" s="12">
        <f>D89+Table84141941013242732394348535671421283544[[#This Row],[LỢI NHUẬN RÒNG]]</f>
        <v>3425399.3383666934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1855382.3</v>
      </c>
      <c r="F90" s="21">
        <v>850798.67673338647</v>
      </c>
      <c r="G90" s="12">
        <f>D90+Table84141941013242732394348535671421283544[[#This Row],[LỢI NHUẬN RÒNG]]</f>
        <v>6850798.6767333867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927691.15</v>
      </c>
      <c r="F91" s="21">
        <v>425399.33836669324</v>
      </c>
      <c r="G91" s="12">
        <f>D91+Table84141941013242732394348535671421283544[[#This Row],[LỢI NHUẬN RÒNG]]</f>
        <v>3425399.3383666934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927691.15</v>
      </c>
      <c r="F92" s="21">
        <v>425399.33836669324</v>
      </c>
      <c r="G92" s="12">
        <f>D92+Table84141941013242732394348535671421283544[[#This Row],[LỢI NHUẬN RÒNG]]</f>
        <v>3425399.3383666934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927691.15</v>
      </c>
      <c r="F93" s="21">
        <v>425399.33836669324</v>
      </c>
      <c r="G93" s="12">
        <f>D93+Table84141941013242732394348535671421283544[[#This Row],[LỢI NHUẬN RÒNG]]</f>
        <v>3425399.3383666934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828750.55</v>
      </c>
      <c r="F94" s="21">
        <v>548898.31568628433</v>
      </c>
      <c r="G94" s="12">
        <f>D94+Table84141941013242732394348535671421283544[[#This Row],[LỢI NHUẬN RÒNG]]</f>
        <v>2198898.3156862846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4972503.3</v>
      </c>
      <c r="F95" s="21">
        <v>3293389.8941177065</v>
      </c>
      <c r="G95" s="12">
        <f>D95+Table84141941013242732394348535671421283544[[#This Row],[LỢI NHUẬN RÒNG]]</f>
        <v>13193389.894117706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828750.55</v>
      </c>
      <c r="F96" s="21">
        <v>548898.31568628433</v>
      </c>
      <c r="G96" s="12">
        <f>D96+Table84141941013242732394348535671421283544[[#This Row],[LỢI NHUẬN RÒNG]]</f>
        <v>2198898.3156862846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1657501.1</v>
      </c>
      <c r="F97" s="21">
        <v>1097796.6313725687</v>
      </c>
      <c r="G97" s="12">
        <f>D97+Table84141941013242732394348535671421283544[[#This Row],[LỢI NHUẬN RÒNG]]</f>
        <v>4397796.6313725691</v>
      </c>
    </row>
    <row r="98" spans="1:7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828750.55</v>
      </c>
      <c r="F98" s="21">
        <v>548898.31568628433</v>
      </c>
      <c r="G98" s="12">
        <f>D98+Table84141941013242732394348535671421283544[[#This Row],[LỢI NHUẬN RÒNG]]</f>
        <v>2198898.3156862846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4972503.3</v>
      </c>
      <c r="F99" s="21">
        <v>3293389.8941177065</v>
      </c>
      <c r="G99" s="12">
        <f>D99+Table84141941013242732394348535671421283544[[#This Row],[LỢI NHUẬN RÒNG]]</f>
        <v>13193389.894117706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828750.55</v>
      </c>
      <c r="F100" s="21">
        <v>548898.31568628433</v>
      </c>
      <c r="G100" s="12">
        <f>D100+Table84141941013242732394348535671421283544[[#This Row],[LỢI NHUẬN RÒNG]]</f>
        <v>2198898.3156862846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828750.55</v>
      </c>
      <c r="F101" s="21">
        <v>548898.31568628433</v>
      </c>
      <c r="G101" s="12">
        <f>D101+Table84141941013242732394348535671421283544[[#This Row],[LỢI NHUẬN RÒNG]]</f>
        <v>2198898.3156862846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828750.55</v>
      </c>
      <c r="F102" s="21">
        <v>548898.31568628433</v>
      </c>
      <c r="G102" s="12">
        <f>D102+Table84141941013242732394348535671421283544[[#This Row],[LỢI NHUẬN RÒNG]]</f>
        <v>2198898.3156862846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813562</v>
      </c>
      <c r="F103" s="21">
        <v>490576.8513795085</v>
      </c>
      <c r="G103" s="12">
        <f>D103+Table84141941013242732394348535671421283544[[#This Row],[LỢI NHUẬN RÒNG]]</f>
        <v>2415576.8513795086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4881372</v>
      </c>
      <c r="F104" s="21">
        <v>2943461.1082770512</v>
      </c>
      <c r="G104" s="12">
        <f>D104+Table84141941013242732394348535671421283544[[#This Row],[LỢI NHUẬN RÒNG]]</f>
        <v>14493461.108277051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813562</v>
      </c>
      <c r="F105" s="21">
        <v>490576.8513795085</v>
      </c>
      <c r="G105" s="12">
        <f>D105+Table84141941013242732394348535671421283544[[#This Row],[LỢI NHUẬN RÒNG]]</f>
        <v>2415576.8513795086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1627124</v>
      </c>
      <c r="F106" s="21">
        <v>981153.702759017</v>
      </c>
      <c r="G106" s="12">
        <f>D106+Table84141941013242732394348535671421283544[[#This Row],[LỢI NHUẬN RÒNG]]</f>
        <v>4831153.7027590172</v>
      </c>
    </row>
    <row r="107" spans="1:7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813562</v>
      </c>
      <c r="F107" s="21">
        <v>490576.8513795085</v>
      </c>
      <c r="G107" s="12">
        <f>D107+Table84141941013242732394348535671421283544[[#This Row],[LỢI NHUẬN RÒNG]]</f>
        <v>2415576.8513795086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4881372</v>
      </c>
      <c r="F108" s="21">
        <v>2943461.1082770512</v>
      </c>
      <c r="G108" s="12">
        <f>D108+Table84141941013242732394348535671421283544[[#This Row],[LỢI NHUẬN RÒNG]]</f>
        <v>14493461.108277051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813562</v>
      </c>
      <c r="F109" s="21">
        <v>490576.8513795085</v>
      </c>
      <c r="G109" s="12">
        <f>D109+Table84141941013242732394348535671421283544[[#This Row],[LỢI NHUẬN RÒNG]]</f>
        <v>2415576.8513795086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813562</v>
      </c>
      <c r="F110" s="21">
        <v>490576.8513795085</v>
      </c>
      <c r="G110" s="12">
        <f>D110+Table84141941013242732394348535671421283544[[#This Row],[LỢI NHUẬN RÒNG]]</f>
        <v>2415576.8513795086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813562</v>
      </c>
      <c r="F111" s="21">
        <v>490576.8513795085</v>
      </c>
      <c r="G111" s="12">
        <f>D111+Table84141941013242732394348535671421283544[[#This Row],[LỢI NHUẬN RÒNG]]</f>
        <v>2415576.8513795086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630328.25</v>
      </c>
      <c r="F112" s="21">
        <v>433582.21203394572</v>
      </c>
      <c r="G112" s="12">
        <f>D112+Table84141941013242732394348535671421283544[[#This Row],[LỢI NHUẬN RÒNG]]</f>
        <v>1633582.2120339456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3781969.5</v>
      </c>
      <c r="F113" s="21">
        <v>2601493.2722036745</v>
      </c>
      <c r="G113" s="12">
        <f>D113+Table84141941013242732394348535671421283544[[#This Row],[LỢI NHUẬN RÒNG]]</f>
        <v>9801493.2722036745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630328.25</v>
      </c>
      <c r="F114" s="21">
        <v>433582.21203394572</v>
      </c>
      <c r="G114" s="12">
        <f>D114+Table84141941013242732394348535671421283544[[#This Row],[LỢI NHUẬN RÒNG]]</f>
        <v>1633582.2120339456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1260656.5</v>
      </c>
      <c r="F115" s="11">
        <v>867164.42406789144</v>
      </c>
      <c r="G115" s="12">
        <f>D115+Table84141941013242732394348535671421283544[[#This Row],[LỢI NHUẬN RÒNG]]</f>
        <v>3267164.4240678912</v>
      </c>
    </row>
    <row r="116" spans="1:7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630328.25</v>
      </c>
      <c r="F116" s="11">
        <v>433582.21203394572</v>
      </c>
      <c r="G116" s="12">
        <f>D116+Table84141941013242732394348535671421283544[[#This Row],[LỢI NHUẬN RÒNG]]</f>
        <v>1633582.2120339456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3781969.5</v>
      </c>
      <c r="F117" s="11">
        <v>2601493.2722036745</v>
      </c>
      <c r="G117" s="12">
        <f>D117+Table84141941013242732394348535671421283544[[#This Row],[LỢI NHUẬN RÒNG]]</f>
        <v>9801493.2722036745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630328.25</v>
      </c>
      <c r="F118" s="11">
        <v>433582.21203394572</v>
      </c>
      <c r="G118" s="12">
        <f>D118+Table84141941013242732394348535671421283544[[#This Row],[LỢI NHUẬN RÒNG]]</f>
        <v>1633582.2120339456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630328.25</v>
      </c>
      <c r="F119" s="11">
        <v>433582.21203394572</v>
      </c>
      <c r="G119" s="12">
        <f>D119+Table84141941013242732394348535671421283544[[#This Row],[LỢI NHUẬN RÒNG]]</f>
        <v>1633582.2120339456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630328.25</v>
      </c>
      <c r="F120" s="21">
        <v>433582.21203394572</v>
      </c>
      <c r="G120" s="12">
        <f>D120+Table84141941013242732394348535671421283544[[#This Row],[LỢI NHUẬN RÒNG]]</f>
        <v>1633582.2120339456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3083334.1</v>
      </c>
      <c r="F121" s="11">
        <v>2150072.8585357904</v>
      </c>
      <c r="G121" s="12">
        <f>D121+Table84141941013242732394348535671421283544[[#This Row],[LỢI NHUẬN RÒNG]]</f>
        <v>7050072.8585357908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880952.6</v>
      </c>
      <c r="F122" s="11">
        <v>614306.53101022576</v>
      </c>
      <c r="G122" s="12">
        <f>D122+Table84141941013242732394348535671421283544[[#This Row],[LỢI NHUẬN RÒNG]]</f>
        <v>2014306.5310102259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880952.6</v>
      </c>
      <c r="F123" s="11">
        <v>614306.53101022576</v>
      </c>
      <c r="G123" s="12">
        <f>D123+Table84141941013242732394348535671421283544[[#This Row],[LỢI NHUẬN RÒNG]]</f>
        <v>2014306.5310102259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880952.6</v>
      </c>
      <c r="F124" s="11">
        <v>614306.53101022576</v>
      </c>
      <c r="G124" s="12">
        <f>D124+Table84141941013242732394348535671421283544[[#This Row],[LỢI NHUẬN RÒNG]]</f>
        <v>2014306.5310102259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440476.3</v>
      </c>
      <c r="F125" s="11">
        <v>307153.26550511288</v>
      </c>
      <c r="G125" s="12">
        <f>D125+Table84141941013242732394348535671421283544[[#This Row],[LỢI NHUẬN RÒNG]]</f>
        <v>1007153.2655051129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1761905.2</v>
      </c>
      <c r="F126" s="11">
        <v>1228613.0620204515</v>
      </c>
      <c r="G126" s="12">
        <f>D126+Table84141941013242732394348535671421283544[[#This Row],[LỢI NHUẬN RÒNG]]</f>
        <v>4028613.0620204518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880952.6</v>
      </c>
      <c r="F127" s="21">
        <v>614306.53101022576</v>
      </c>
      <c r="G127" s="12">
        <f>D127+Table84141941013242732394348535671421283544[[#This Row],[LỢI NHUẬN RÒNG]]</f>
        <v>2014306.5310102259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3841848.2</v>
      </c>
      <c r="F128" s="11">
        <v>2727526.1989614544</v>
      </c>
      <c r="G128" s="12">
        <f>D128+Table84141941013242732394348535671421283544[[#This Row],[LỢI NHUẬN RÒNG]]</f>
        <v>11387526.198961455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1920924.1</v>
      </c>
      <c r="F129" s="11">
        <v>1363763.0994807272</v>
      </c>
      <c r="G129" s="12">
        <f>D129+Table84141941013242732394348535671421283544[[#This Row],[LỢI NHUẬN RÒNG]]</f>
        <v>5693763.0994807277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1920924.1</v>
      </c>
      <c r="F130" s="11">
        <v>1363763.0994807272</v>
      </c>
      <c r="G130" s="12">
        <f>D130+Table84141941013242732394348535671421283544[[#This Row],[LỢI NHUẬN RÒNG]]</f>
        <v>5693763.0994807277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3841848.2</v>
      </c>
      <c r="F131" s="11">
        <v>2727526.1989614544</v>
      </c>
      <c r="G131" s="12">
        <f>D131+Table84141941013242732394348535671421283544[[#This Row],[LỢI NHUẬN RÒNG]]</f>
        <v>11387526.198961455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960462.05</v>
      </c>
      <c r="F132" s="11">
        <v>681881.54974036361</v>
      </c>
      <c r="G132" s="12">
        <f>D132+Table84141941013242732394348535671421283544[[#This Row],[LỢI NHUẬN RÒNG]]</f>
        <v>2846881.5497403638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1920924.1</v>
      </c>
      <c r="F133" s="11">
        <v>1363763.0994807272</v>
      </c>
      <c r="G133" s="12">
        <f>D133+Table84141941013242732394348535671421283544[[#This Row],[LỢI NHUẬN RÒNG]]</f>
        <v>5693763.0994807277</v>
      </c>
    </row>
    <row r="134" spans="1:7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960462.05</v>
      </c>
      <c r="F134" s="11">
        <v>681881.54974036361</v>
      </c>
      <c r="G134" s="12">
        <f>D134+Table84141941013242732394348535671421283544[[#This Row],[LỢI NHUẬN RÒNG]]</f>
        <v>2846881.5497403638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960462.05</v>
      </c>
      <c r="F135" s="11">
        <v>681881.54974036361</v>
      </c>
      <c r="G135" s="12">
        <f>D135+Table84141941013242732394348535671421283544[[#This Row],[LỢI NHUẬN RÒNG]]</f>
        <v>2846881.5497403638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2881386.15</v>
      </c>
      <c r="F136" s="11">
        <v>2045644.6492210911</v>
      </c>
      <c r="G136" s="12">
        <f>D136+Table84141941013242732394348535671421283544[[#This Row],[LỢI NHUẬN RÒNG]]</f>
        <v>8540644.6492210906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1004009.8</v>
      </c>
      <c r="F137" s="11">
        <v>726860.1027275935</v>
      </c>
      <c r="G137" s="12">
        <f>D137+Table84141941013242732394348535671421283544[[#This Row],[LỢI NHUẬN RÒNG]]</f>
        <v>1776860.1027275934</v>
      </c>
    </row>
    <row r="138" spans="1:7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1004009.8</v>
      </c>
      <c r="F138" s="11">
        <v>726860.1027275935</v>
      </c>
      <c r="G138" s="12">
        <f>D138+Table84141941013242732394348535671421283544[[#This Row],[LỢI NHUẬN RÒNG]]</f>
        <v>1776860.1027275934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4518044.0999999996</v>
      </c>
      <c r="F139" s="11">
        <v>3270870.4622741705</v>
      </c>
      <c r="G139" s="12">
        <f>D139+Table84141941013242732394348535671421283544[[#This Row],[LỢI NHUẬN RÒNG]]</f>
        <v>7995870.4622741705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1004009.8</v>
      </c>
      <c r="F140" s="11">
        <v>726860.1027275935</v>
      </c>
      <c r="G140" s="12">
        <f>D140+Table84141941013242732394348535671421283544[[#This Row],[LỢI NHUẬN RÒNG]]</f>
        <v>1776860.1027275934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1745760.2</v>
      </c>
      <c r="F141" s="21">
        <v>1365966.6475055844</v>
      </c>
      <c r="G141" s="12">
        <f>D141+Table84141941013242732394348535671421283544[[#This Row],[LỢI NHUẬN RÒNG]]</f>
        <v>4445966.6475055842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1004009.8</v>
      </c>
      <c r="F142" s="21">
        <v>726860.1027275935</v>
      </c>
      <c r="G142" s="12">
        <f>D142+Table84141941013242732394348535671421283544[[#This Row],[LỢI NHUẬN RÒNG]]</f>
        <v>1776860.1027275934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1506014.7</v>
      </c>
      <c r="F143" s="21">
        <v>1090290.1540913903</v>
      </c>
      <c r="G143" s="12">
        <f>D143+Table84141941013242732394348535671421283544[[#This Row],[LỢI NHUẬN RÒNG]]</f>
        <v>2665290.1540913903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5120176.7333333325</v>
      </c>
      <c r="F144" s="21">
        <v>2985590.9495257614</v>
      </c>
      <c r="G144" s="12">
        <f>D144+Table84141941013242732394348535671421283544[[#This Row],[LỢI NHUẬN RÒNG]]</f>
        <v>11385590.949525762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3840132.5499999993</v>
      </c>
      <c r="F145" s="21">
        <v>2239193.2121443213</v>
      </c>
      <c r="G145" s="12">
        <f>D145+Table84141941013242732394348535671421283544[[#This Row],[LỢI NHUẬN RÒNG]]</f>
        <v>8539193.2121443208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2560088.3666666662</v>
      </c>
      <c r="F146" s="21">
        <v>1492795.4747628807</v>
      </c>
      <c r="G146" s="12">
        <f>D146+Table84141941013242732394348535671421283544[[#This Row],[LỢI NHUẬN RÒNG]]</f>
        <v>5692795.4747628812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7680265.0999999987</v>
      </c>
      <c r="F147" s="21">
        <v>4478386.4242886426</v>
      </c>
      <c r="G147" s="12">
        <f>D147+Table84141941013242732394348535671421283544[[#This Row],[LỢI NHUẬN RÒNG]]</f>
        <v>17078386.424288642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2560088.3666666662</v>
      </c>
      <c r="F148" s="21">
        <v>1492795.4747628807</v>
      </c>
      <c r="G148" s="12">
        <f>D148+Table84141941013242732394348535671421283544[[#This Row],[LỢI NHUẬN RÒNG]]</f>
        <v>5692795.4747628812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3840132.5499999993</v>
      </c>
      <c r="F149" s="21">
        <v>2239193.2121443213</v>
      </c>
      <c r="G149" s="12">
        <f>D149+Table84141941013242732394348535671421283544[[#This Row],[LỢI NHUẬN RÒNG]]</f>
        <v>8539193.2121443208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821222.7</v>
      </c>
      <c r="F150" s="21">
        <v>495233.061346256</v>
      </c>
      <c r="G150" s="12">
        <f>D150+Table84141941013242732394348535671421283544[[#This Row],[LỢI NHUẬN RÒNG]]</f>
        <v>3345233.0613462562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821222.7</v>
      </c>
      <c r="F151" s="21">
        <v>495233.061346256</v>
      </c>
      <c r="G151" s="12">
        <f>D151+Table84141941013242732394348535671421283544[[#This Row],[LỢI NHUẬN RÒNG]]</f>
        <v>3345233.0613462562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821222.7</v>
      </c>
      <c r="F152" s="21">
        <v>495233.061346256</v>
      </c>
      <c r="G152" s="12">
        <f>D152+Table84141941013242732394348535671421283544[[#This Row],[LỢI NHUẬN RÒNG]]</f>
        <v>3345233.0613462562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1642445.4</v>
      </c>
      <c r="F153" s="21">
        <v>990466.122692512</v>
      </c>
      <c r="G153" s="12">
        <f>D153+Table84141941013242732394348535671421283544[[#This Row],[LỢI NHUẬN RÒNG]]</f>
        <v>6690466.1226925123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1642445.4</v>
      </c>
      <c r="F154" s="21">
        <v>990466.122692512</v>
      </c>
      <c r="G154" s="12">
        <f>D154+Table84141941013242732394348535671421283544[[#This Row],[LỢI NHUẬN RÒNG]]</f>
        <v>6690466.1226925123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821222.7</v>
      </c>
      <c r="F155" s="21">
        <v>495233.061346256</v>
      </c>
      <c r="G155" s="12">
        <f>D155+Table84141941013242732394348535671421283544[[#This Row],[LỢI NHUẬN RÒNG]]</f>
        <v>3345233.0613462562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821222.7</v>
      </c>
      <c r="F156" s="21">
        <v>495233.061346256</v>
      </c>
      <c r="G156" s="12">
        <f>D156+Table84141941013242732394348535671421283544[[#This Row],[LỢI NHUẬN RÒNG]]</f>
        <v>3345233.0613462562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821222.7</v>
      </c>
      <c r="F157" s="21">
        <v>495233.061346256</v>
      </c>
      <c r="G157" s="12">
        <f>D157+Table84141941013242732394348535671421283544[[#This Row],[LỢI NHUẬN RÒNG]]</f>
        <v>3345233.0613462562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11625000</v>
      </c>
      <c r="E158" s="21">
        <v>4968437.22</v>
      </c>
      <c r="F158" s="21">
        <v>3305591.0919355922</v>
      </c>
      <c r="G158" s="12">
        <f>D158+Table84141941013242732394348535671421283544[[#This Row],[LỢI NHUẬN RÒNG]]</f>
        <v>14930591.091935592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1937500</v>
      </c>
      <c r="E159" s="21">
        <v>828072.87</v>
      </c>
      <c r="F159" s="21">
        <v>550931.848655932</v>
      </c>
      <c r="G159" s="12">
        <f>D159+Table84141941013242732394348535671421283544[[#This Row],[LỢI NHUẬN RÒNG]]</f>
        <v>2488431.8486559321</v>
      </c>
      <c r="H159" s="11"/>
    </row>
    <row r="160" spans="1:10" x14ac:dyDescent="0.3">
      <c r="A160" s="23" t="s">
        <v>57</v>
      </c>
      <c r="B160" s="21" t="s">
        <v>33</v>
      </c>
      <c r="C160" s="21">
        <v>5</v>
      </c>
      <c r="D160" s="21">
        <v>1937500</v>
      </c>
      <c r="E160" s="21">
        <v>828072.87</v>
      </c>
      <c r="F160" s="21">
        <v>550931.848655932</v>
      </c>
      <c r="G160" s="12">
        <f>D160+Table84141941013242732394348535671421283544[[#This Row],[LỢI NHUẬN RÒNG]]</f>
        <v>2488431.8486559321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3875000</v>
      </c>
      <c r="E161" s="21">
        <v>1656145.74</v>
      </c>
      <c r="F161" s="21">
        <v>1101863.697311864</v>
      </c>
      <c r="G161" s="12">
        <f>D161+Table84141941013242732394348535671421283544[[#This Row],[LỢI NHUẬN RÒNG]]</f>
        <v>4976863.6973118642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7750000</v>
      </c>
      <c r="E162" s="21">
        <v>3312291.48</v>
      </c>
      <c r="F162" s="21">
        <v>2203727.394623728</v>
      </c>
      <c r="G162" s="12">
        <f>D162+Table84141941013242732394348535671421283544[[#This Row],[LỢI NHUẬN RÒNG]]</f>
        <v>9953727.3946237285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1937500</v>
      </c>
      <c r="E163" s="21">
        <v>828072.87</v>
      </c>
      <c r="F163" s="21">
        <v>550931.848655932</v>
      </c>
      <c r="G163" s="12">
        <f>D163+Table84141941013242732394348535671421283544[[#This Row],[LỢI NHUẬN RÒNG]]</f>
        <v>2488431.8486559321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9687500</v>
      </c>
      <c r="E164" s="21">
        <v>4140364.3499999996</v>
      </c>
      <c r="F164" s="21">
        <v>2754659.2432796601</v>
      </c>
      <c r="G164" s="12">
        <f>D164+Table84141941013242732394348535671421283544[[#This Row],[LỢI NHUẬN RÒNG]]</f>
        <v>12442159.24327966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1687500</v>
      </c>
      <c r="E165" s="21">
        <v>1132705.74</v>
      </c>
      <c r="F165" s="21">
        <v>741370.42007667734</v>
      </c>
      <c r="G165" s="12">
        <f>D165+Table84141941013242732394348535671421283544[[#This Row],[LỢI NHUẬN RÒNG]]</f>
        <v>2428870.4200766776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3375000</v>
      </c>
      <c r="E166" s="21">
        <v>2265411.48</v>
      </c>
      <c r="F166" s="21">
        <v>1482740.8401533547</v>
      </c>
      <c r="G166" s="12">
        <f>D166+Table84141941013242732394348535671421283544[[#This Row],[LỢI NHUẬN RÒNG]]</f>
        <v>4857740.8401533552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562500</v>
      </c>
      <c r="E167" s="18">
        <v>377568.58</v>
      </c>
      <c r="F167" s="18">
        <v>247123.47335889246</v>
      </c>
      <c r="G167" s="12">
        <f>D167+Table84141941013242732394348535671421283544[[#This Row],[LỢI NHUẬN RÒNG]]</f>
        <v>809623.47335889249</v>
      </c>
      <c r="H167" s="11"/>
    </row>
    <row r="168" spans="1:10" x14ac:dyDescent="0.3">
      <c r="A168" s="23" t="s">
        <v>58</v>
      </c>
      <c r="B168" s="21" t="s">
        <v>33</v>
      </c>
      <c r="C168" s="21">
        <v>5</v>
      </c>
      <c r="D168" s="21">
        <v>562500</v>
      </c>
      <c r="E168" s="21">
        <v>377568.58</v>
      </c>
      <c r="F168" s="21">
        <v>247123.47335889246</v>
      </c>
      <c r="G168" s="12">
        <f>D168+Table84141941013242732394348535671421283544[[#This Row],[LỢI NHUẬN RÒNG]]</f>
        <v>809623.47335889249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1125000</v>
      </c>
      <c r="E169" s="21">
        <v>755137.16</v>
      </c>
      <c r="F169" s="21">
        <v>494246.94671778491</v>
      </c>
      <c r="G169" s="12">
        <f>D169+Table84141941013242732394348535671421283544[[#This Row],[LỢI NHUẬN RÒNG]]</f>
        <v>1619246.946717785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2250000</v>
      </c>
      <c r="E170" s="21">
        <v>1510274.32</v>
      </c>
      <c r="F170" s="21">
        <v>988493.89343556983</v>
      </c>
      <c r="G170" s="12">
        <f>D170+Table84141941013242732394348535671421283544[[#This Row],[LỢI NHUẬN RÒNG]]</f>
        <v>3238493.8934355699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562500</v>
      </c>
      <c r="E171" s="21">
        <v>377568.58</v>
      </c>
      <c r="F171" s="21">
        <v>247123.47335889246</v>
      </c>
      <c r="G171" s="12">
        <f>D171+Table84141941013242732394348535671421283544[[#This Row],[LỢI NHUẬN RÒNG]]</f>
        <v>809623.47335889249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562500</v>
      </c>
      <c r="E172" s="21">
        <v>377568.58</v>
      </c>
      <c r="F172" s="21">
        <v>247123.47335889246</v>
      </c>
      <c r="G172" s="12">
        <f>D172+Table84141941013242732394348535671421283544[[#This Row],[LỢI NHUẬN RÒNG]]</f>
        <v>809623.47335889249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562500</v>
      </c>
      <c r="E173" s="21">
        <v>377568.58</v>
      </c>
      <c r="F173" s="21">
        <v>247123.47335889246</v>
      </c>
      <c r="G173" s="12">
        <f>D173+Table84141941013242732394348535671421283544[[#This Row],[LỢI NHUẬN RÒNG]]</f>
        <v>809623.47335889249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3088362.6</v>
      </c>
      <c r="F174" s="21">
        <v>1846047.8354367018</v>
      </c>
      <c r="G174" s="12">
        <f>D174+Table84141941013242732394348535671421283544[[#This Row],[LỢI NHUẬN RÒNG]]</f>
        <v>9246047.8354367018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772090.65</v>
      </c>
      <c r="F175" s="21">
        <v>461511.95885917544</v>
      </c>
      <c r="G175" s="12">
        <f>D175+Table84141941013242732394348535671421283544[[#This Row],[LỢI NHUẬN RÒNG]]</f>
        <v>2311511.9588591754</v>
      </c>
      <c r="H175" s="11"/>
    </row>
    <row r="176" spans="1:10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1544181.3</v>
      </c>
      <c r="F176" s="21">
        <v>923023.91771835089</v>
      </c>
      <c r="G176" s="12">
        <f>D176+Table84141941013242732394348535671421283544[[#This Row],[LỢI NHUẬN RÒNG]]</f>
        <v>4623023.9177183509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1544181.3</v>
      </c>
      <c r="F177" s="21">
        <v>923023.91771835089</v>
      </c>
      <c r="G177" s="12">
        <f>D177+Table84141941013242732394348535671421283544[[#This Row],[LỢI NHUẬN RÒNG]]</f>
        <v>4623023.9177183509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772090.65</v>
      </c>
      <c r="F178" s="21">
        <v>461511.95885917544</v>
      </c>
      <c r="G178" s="12">
        <f>D178+Table84141941013242732394348535671421283544[[#This Row],[LỢI NHUẬN RÒNG]]</f>
        <v>2311511.9588591754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3088362.6</v>
      </c>
      <c r="F179" s="21">
        <v>1846047.8354367018</v>
      </c>
      <c r="G179" s="12">
        <f>D179+Table84141941013242732394348535671421283544[[#This Row],[LỢI NHUẬN RÒNG]]</f>
        <v>9246047.8354367018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1544181.3</v>
      </c>
      <c r="F180" s="21">
        <v>923023.91771835089</v>
      </c>
      <c r="G180" s="12">
        <f>D180+Table84141941013242732394348535671421283544[[#This Row],[LỢI NHUẬN RÒNG]]</f>
        <v>4623023.9177183509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772090.65</v>
      </c>
      <c r="F181" s="21">
        <v>461511.95885917544</v>
      </c>
      <c r="G181" s="12">
        <f>D181+Table84141941013242732394348535671421283544[[#This Row],[LỢI NHUẬN RÒNG]]</f>
        <v>2311511.9588591754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2316271.9500000002</v>
      </c>
      <c r="F182" s="21">
        <v>1384535.8765775263</v>
      </c>
      <c r="G182" s="12">
        <f>D182+Table84141941013242732394348535671421283544[[#This Row],[LỢI NHUẬN RÒNG]]</f>
        <v>6934535.8765775263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1624016.7333333329</v>
      </c>
      <c r="F183" s="18">
        <v>1217411.2166498303</v>
      </c>
      <c r="G183" s="12">
        <f>D183+Table84141941013242732394348535671421283544[[#This Row],[LỢI NHUẬN RÒNG]]</f>
        <v>4384077.8833164973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2436025.0999999996</v>
      </c>
      <c r="F184" s="21">
        <v>1826116.8249747455</v>
      </c>
      <c r="G184" s="12">
        <f>D184+Table84141941013242732394348535671421283544[[#This Row],[LỢI NHUẬN RÒNG]]</f>
        <v>6576116.8249747455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812008.36666666646</v>
      </c>
      <c r="F185" s="21">
        <v>608705.60832491517</v>
      </c>
      <c r="G185" s="12">
        <f>D185+Table84141941013242732394348535671421283544[[#This Row],[LỢI NHUẬN RÒNG]]</f>
        <v>2192038.9416582487</v>
      </c>
      <c r="H185" s="28"/>
    </row>
    <row r="186" spans="1:9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812008.36666666646</v>
      </c>
      <c r="F186" s="21">
        <v>608705.60832491517</v>
      </c>
      <c r="G186" s="12">
        <f>D186+Table84141941013242732394348535671421283544[[#This Row],[LỢI NHUẬN RÒNG]]</f>
        <v>2192038.9416582487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1624016.7333333329</v>
      </c>
      <c r="F187" s="21">
        <v>1217411.2166498303</v>
      </c>
      <c r="G187" s="12">
        <f>D187+Table84141941013242732394348535671421283544[[#This Row],[LỢI NHUẬN RÒNG]]</f>
        <v>4384077.8833164973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1624016.7333333329</v>
      </c>
      <c r="F188" s="21">
        <v>1217411.2166498303</v>
      </c>
      <c r="G188" s="12">
        <f>D188+Table84141941013242732394348535671421283544[[#This Row],[LỢI NHUẬN RÒNG]]</f>
        <v>4384077.8833164973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2436025.0999999996</v>
      </c>
      <c r="F189" s="21">
        <v>1826116.8249747455</v>
      </c>
      <c r="G189" s="12">
        <f>D189+Table84141941013242732394348535671421283544[[#This Row],[LỢI NHUẬN RÒNG]]</f>
        <v>6576116.8249747455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812008.36666666646</v>
      </c>
      <c r="F190" s="21">
        <v>608705.60832491517</v>
      </c>
      <c r="G190" s="12">
        <f>D190+Table84141941013242732394348535671421283544[[#This Row],[LỢI NHUẬN RÒNG]]</f>
        <v>2192038.9416582487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1624016.7333333329</v>
      </c>
      <c r="F191" s="21">
        <v>1217411.2166498303</v>
      </c>
      <c r="G191" s="12">
        <f>D191+Table84141941013242732394348535671421283544[[#This Row],[LỢI NHUẬN RÒNG]]</f>
        <v>4384077.8833164973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812008.36666666646</v>
      </c>
      <c r="F192" s="21">
        <v>608705.60832491517</v>
      </c>
      <c r="G192" s="12">
        <f>D192+Table84141941013242732394348535671421283544[[#This Row],[LỢI NHUẬN RÒNG]]</f>
        <v>2192038.9416582487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812008.36666666646</v>
      </c>
      <c r="F193" s="21">
        <v>608705.60832491517</v>
      </c>
      <c r="G193" s="12">
        <f>D193+Table84141941013242732394348535671421283544[[#This Row],[LỢI NHUẬN RÒNG]]</f>
        <v>2192038.9416582487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812008.36666666646</v>
      </c>
      <c r="F194" s="21">
        <v>608705.60832491517</v>
      </c>
      <c r="G194" s="12">
        <f>D194+Table84141941013242732394348535671421283544[[#This Row],[LỢI NHUẬN RÒNG]]</f>
        <v>2192038.9416582487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1263174.6000000001</v>
      </c>
      <c r="F195" s="21">
        <v>808911.17421600386</v>
      </c>
      <c r="G195" s="12">
        <f>D195+Table84141941013242732394348535671421283544[[#This Row],[LỢI NHUẬN RÒNG]]</f>
        <v>2308911.1742160041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1263174.6000000001</v>
      </c>
      <c r="F196" s="21">
        <v>808911.17421600386</v>
      </c>
      <c r="G196" s="12">
        <f>D196+Table84141941013242732394348535671421283544[[#This Row],[LỢI NHUẬN RÒNG]]</f>
        <v>2308911.1742160041</v>
      </c>
      <c r="H196" s="28"/>
    </row>
    <row r="197" spans="1:8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421058.2</v>
      </c>
      <c r="F197" s="21">
        <v>269637.05807200132</v>
      </c>
      <c r="G197" s="12">
        <f>D197+Table84141941013242732394348535671421283544[[#This Row],[LỢI NHUẬN RÒNG]]</f>
        <v>769637.05807200132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842116.4</v>
      </c>
      <c r="F198" s="21">
        <v>539274.11614400265</v>
      </c>
      <c r="G198" s="12">
        <f>D198+Table84141941013242732394348535671421283544[[#This Row],[LỢI NHUẬN RÒNG]]</f>
        <v>1539274.1161440026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842116.4</v>
      </c>
      <c r="F199" s="21">
        <v>539274.11614400265</v>
      </c>
      <c r="G199" s="12">
        <f>D199+Table84141941013242732394348535671421283544[[#This Row],[LỢI NHUẬN RÒNG]]</f>
        <v>1539274.1161440026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1263174.6000000001</v>
      </c>
      <c r="F200" s="21">
        <v>808911.17421600386</v>
      </c>
      <c r="G200" s="12">
        <f>D200+Table84141941013242732394348535671421283544[[#This Row],[LỢI NHUẬN RÒNG]]</f>
        <v>2308911.1742160041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421058.2</v>
      </c>
      <c r="F201" s="21">
        <v>269637.05807200132</v>
      </c>
      <c r="G201" s="12">
        <f>D201+Table84141941013242732394348535671421283544[[#This Row],[LỢI NHUẬN RÒNG]]</f>
        <v>769637.05807200132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421058.2</v>
      </c>
      <c r="F202" s="21">
        <v>269637.05807200132</v>
      </c>
      <c r="G202" s="12">
        <f>D202+Table84141941013242732394348535671421283544[[#This Row],[LỢI NHUẬN RÒNG]]</f>
        <v>769637.05807200132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421058.2</v>
      </c>
      <c r="F203" s="21">
        <v>269637.05807200132</v>
      </c>
      <c r="G203" s="12">
        <f>D203+Table84141941013242732394348535671421283544[[#This Row],[LỢI NHUẬN RÒNG]]</f>
        <v>769637.05807200132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842116.4</v>
      </c>
      <c r="F204" s="21">
        <v>539274.11614400265</v>
      </c>
      <c r="G204" s="12">
        <f>D204+Table84141941013242732394348535671421283544[[#This Row],[LỢI NHUẬN RÒNG]]</f>
        <v>1539274.1161440026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421058.2</v>
      </c>
      <c r="F205" s="21">
        <v>269637.05807200132</v>
      </c>
      <c r="G205" s="12">
        <f>D205+Table84141941013242732394348535671421283544[[#This Row],[LỢI NHUẬN RÒNG]]</f>
        <v>769637.05807200132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1636585.2</v>
      </c>
      <c r="F206" s="21">
        <v>921727.05488328787</v>
      </c>
      <c r="G206" s="21">
        <f>Table84141941013242732394348535671421283544[[#This Row],[VỐN CP]]+Table84141941013242732394348535671421283544[[#This Row],[LỢI NHUẬN RÒNG]]</f>
        <v>4521727.0548832882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4091463</v>
      </c>
      <c r="F207" s="21">
        <v>2304317.6372082196</v>
      </c>
      <c r="G207" s="21">
        <f>Table84141941013242732394348535671421283544[[#This Row],[VỐN CP]]+Table84141941013242732394348535671421283544[[#This Row],[LỢI NHUẬN RÒNG]]</f>
        <v>11304317.63720822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1636585.2</v>
      </c>
      <c r="F208" s="21">
        <v>921727.05488328787</v>
      </c>
      <c r="G208" s="21">
        <f>Table84141941013242732394348535671421283544[[#This Row],[VỐN CP]]+Table84141941013242732394348535671421283544[[#This Row],[LỢI NHUẬN RÒNG]]</f>
        <v>4521727.0548832882</v>
      </c>
      <c r="H208" s="28"/>
    </row>
    <row r="209" spans="1:8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818292.6</v>
      </c>
      <c r="F209" s="21">
        <v>460863.52744164394</v>
      </c>
      <c r="G209" s="21">
        <f>Table84141941013242732394348535671421283544[[#This Row],[VỐN CP]]+Table84141941013242732394348535671421283544[[#This Row],[LỢI NHUẬN RÒNG]]</f>
        <v>2260863.5274416441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818292.6</v>
      </c>
      <c r="F210" s="21">
        <v>460863.52744164394</v>
      </c>
      <c r="G210" s="21">
        <f>Table84141941013242732394348535671421283544[[#This Row],[VỐN CP]]+Table84141941013242732394348535671421283544[[#This Row],[LỢI NHUẬN RÒNG]]</f>
        <v>2260863.5274416441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3273170.4</v>
      </c>
      <c r="F211" s="21">
        <v>1843454.1097665757</v>
      </c>
      <c r="G211" s="21">
        <f>Table84141941013242732394348535671421283544[[#This Row],[VỐN CP]]+Table84141941013242732394348535671421283544[[#This Row],[LỢI NHUẬN RÒNG]]</f>
        <v>9043454.1097665764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1636585.2</v>
      </c>
      <c r="F212" s="21">
        <v>921727.05488328787</v>
      </c>
      <c r="G212" s="21">
        <f>Table84141941013242732394348535671421283544[[#This Row],[VỐN CP]]+Table84141941013242732394348535671421283544[[#This Row],[LỢI NHUẬN RÒNG]]</f>
        <v>4521727.0548832882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818292.6</v>
      </c>
      <c r="F213" s="21">
        <v>460863.52744164394</v>
      </c>
      <c r="G213" s="21">
        <f>Table84141941013242732394348535671421283544[[#This Row],[VỐN CP]]+Table84141941013242732394348535671421283544[[#This Row],[LỢI NHUẬN RÒNG]]</f>
        <v>2260863.5274416441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1636585.2</v>
      </c>
      <c r="F214" s="21">
        <v>921727.05488328787</v>
      </c>
      <c r="G214" s="21">
        <f>Table84141941013242732394348535671421283544[[#This Row],[VỐN CP]]+Table84141941013242732394348535671421283544[[#This Row],[LỢI NHUẬN RÒNG]]</f>
        <v>4521727.0548832882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1421139.6</v>
      </c>
      <c r="F215" s="21">
        <v>803360.31716698408</v>
      </c>
      <c r="G215" s="21">
        <f>Table84141941013242732394348535671421283544[[#This Row],[VỐN CP]]+Table84141941013242732394348535671421283544[[#This Row],[LỢI NHUẬN RÒNG]]</f>
        <v>7003360.3171669841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2842279.2</v>
      </c>
      <c r="F216" s="21">
        <v>1606720.6343339682</v>
      </c>
      <c r="G216" s="21">
        <f>Table84141941013242732394348535671421283544[[#This Row],[VỐN CP]]+Table84141941013242732394348535671421283544[[#This Row],[LỢI NHUẬN RÒNG]]</f>
        <v>14006720.634333968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1421139.6</v>
      </c>
      <c r="F217" s="21">
        <v>803360.31716698408</v>
      </c>
      <c r="G217" s="21">
        <f>Table84141941013242732394348535671421283544[[#This Row],[VỐN CP]]+Table84141941013242732394348535671421283544[[#This Row],[LỢI NHUẬN RÒNG]]</f>
        <v>7003360.3171669841</v>
      </c>
      <c r="H217" s="28"/>
    </row>
    <row r="218" spans="1:8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710569.8</v>
      </c>
      <c r="F218" s="21">
        <v>401680.15858349204</v>
      </c>
      <c r="G218" s="21">
        <f>Table84141941013242732394348535671421283544[[#This Row],[VỐN CP]]+Table84141941013242732394348535671421283544[[#This Row],[LỢI NHUẬN RÒNG]]</f>
        <v>3501680.158583492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710569.8</v>
      </c>
      <c r="F219" s="21">
        <v>401680.15858349204</v>
      </c>
      <c r="G219" s="21">
        <f>Table84141941013242732394348535671421283544[[#This Row],[VỐN CP]]+Table84141941013242732394348535671421283544[[#This Row],[LỢI NHUẬN RÒNG]]</f>
        <v>3501680.158583492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1421139.6</v>
      </c>
      <c r="F220" s="21">
        <v>803360.31716698408</v>
      </c>
      <c r="G220" s="21">
        <f>Table84141941013242732394348535671421283544[[#This Row],[VỐN CP]]+Table84141941013242732394348535671421283544[[#This Row],[LỢI NHUẬN RÒNG]]</f>
        <v>7003360.3171669841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710569.8</v>
      </c>
      <c r="F221" s="21">
        <v>401680.15858349204</v>
      </c>
      <c r="G221" s="21">
        <f>Table84141941013242732394348535671421283544[[#This Row],[VỐN CP]]+Table84141941013242732394348535671421283544[[#This Row],[LỢI NHUẬN RÒNG]]</f>
        <v>3501680.158583492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1421139.6</v>
      </c>
      <c r="F222" s="21">
        <v>803360.31716698408</v>
      </c>
      <c r="G222" s="21">
        <f>Table84141941013242732394348535671421283544[[#This Row],[VỐN CP]]+Table84141941013242732394348535671421283544[[#This Row],[LỢI NHUẬN RÒNG]]</f>
        <v>7003360.3171669841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1421139.6</v>
      </c>
      <c r="F223" s="21">
        <v>803360.31716698408</v>
      </c>
      <c r="G223" s="21">
        <f>Table84141941013242732394348535671421283544[[#This Row],[VỐN CP]]+Table84141941013242732394348535671421283544[[#This Row],[LỢI NHUẬN RÒNG]]</f>
        <v>7003360.3171669841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710569.8</v>
      </c>
      <c r="F224" s="21">
        <v>401680.15858349204</v>
      </c>
      <c r="G224" s="21">
        <f>Table84141941013242732394348535671421283544[[#This Row],[VỐN CP]]+Table84141941013242732394348535671421283544[[#This Row],[LỢI NHUẬN RÒNG]]</f>
        <v>3501680.158583492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1421139.6</v>
      </c>
      <c r="F225" s="21">
        <v>803360.31716698408</v>
      </c>
      <c r="G225" s="21">
        <f>Table84141941013242732394348535671421283544[[#This Row],[VỐN CP]]+Table84141941013242732394348535671421283544[[#This Row],[LỢI NHUẬN RÒNG]]</f>
        <v>7003360.3171669841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2009418.7</v>
      </c>
      <c r="F226" s="21">
        <v>1422768.8967135667</v>
      </c>
      <c r="G226" s="21">
        <f>Table84141941013242732394348535671421283544[[#This Row],[VỐN CP]]+Table84141941013242732394348535671421283544[[#This Row],[LỢI NHUẬN RÒNG]]</f>
        <v>5122768.896713567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4018837.4</v>
      </c>
      <c r="F227" s="21">
        <v>2845537.7934271335</v>
      </c>
      <c r="G227" s="21">
        <f>Table84141941013242732394348535671421283544[[#This Row],[VỐN CP]]+Table84141941013242732394348535671421283544[[#This Row],[LỢI NHUẬN RÒNG]]</f>
        <v>10245537.793427134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2009418.7</v>
      </c>
      <c r="F228" s="21">
        <v>1422768.8967135667</v>
      </c>
      <c r="G228" s="21">
        <f>Table84141941013242732394348535671421283544[[#This Row],[VỐN CP]]+Table84141941013242732394348535671421283544[[#This Row],[LỢI NHUẬN RÒNG]]</f>
        <v>5122768.896713567</v>
      </c>
      <c r="H228" s="28"/>
    </row>
    <row r="229" spans="1:10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1004709.35</v>
      </c>
      <c r="F229" s="21">
        <v>711384.44835678337</v>
      </c>
      <c r="G229" s="21">
        <f>Table84141941013242732394348535671421283544[[#This Row],[VỐN CP]]+Table84141941013242732394348535671421283544[[#This Row],[LỢI NHUẬN RÒNG]]</f>
        <v>2561384.4483567835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1004709.35</v>
      </c>
      <c r="F230" s="21">
        <v>711384.44835678337</v>
      </c>
      <c r="G230" s="21">
        <f>Table84141941013242732394348535671421283544[[#This Row],[VỐN CP]]+Table84141941013242732394348535671421283544[[#This Row],[LỢI NHUẬN RÒNG]]</f>
        <v>2561384.4483567835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2009418.7</v>
      </c>
      <c r="F231" s="21">
        <v>1422768.8967135667</v>
      </c>
      <c r="G231" s="21">
        <f>Table84141941013242732394348535671421283544[[#This Row],[VỐN CP]]+Table84141941013242732394348535671421283544[[#This Row],[LỢI NHUẬN RÒNG]]</f>
        <v>5122768.896713567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1004709.35</v>
      </c>
      <c r="F232" s="21">
        <v>711384.44835678337</v>
      </c>
      <c r="G232" s="21">
        <f>Table84141941013242732394348535671421283544[[#This Row],[VỐN CP]]+Table84141941013242732394348535671421283544[[#This Row],[LỢI NHUẬN RÒNG]]</f>
        <v>2561384.4483567835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2009418.7</v>
      </c>
      <c r="F233" s="21">
        <v>1422768.8967135667</v>
      </c>
      <c r="G233" s="21">
        <f>Table84141941013242732394348535671421283544[[#This Row],[VỐN CP]]+Table84141941013242732394348535671421283544[[#This Row],[LỢI NHUẬN RÒNG]]</f>
        <v>5122768.896713567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1004709.35</v>
      </c>
      <c r="F234" s="11">
        <v>711384.44835678337</v>
      </c>
      <c r="G234" s="21">
        <f>Table84141941013242732394348535671421283544[[#This Row],[VỐN CP]]+Table84141941013242732394348535671421283544[[#This Row],[LỢI NHUẬN RÒNG]]</f>
        <v>2561384.4483567835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2009418.7</v>
      </c>
      <c r="F235" s="21">
        <v>1422768.8967135667</v>
      </c>
      <c r="G235" s="21">
        <f>Table84141941013242732394348535671421283544[[#This Row],[VỐN CP]]+Table84141941013242732394348535671421283544[[#This Row],[LỢI NHUẬN RÒNG]]</f>
        <v>5122768.896713567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2009418.7</v>
      </c>
      <c r="F236" s="21">
        <v>1422768.8967135667</v>
      </c>
      <c r="G236" s="21">
        <f>Table84141941013242732394348535671421283544[[#This Row],[VỐN CP]]+Table84141941013242732394348535671421283544[[#This Row],[LỢI NHUẬN RÒNG]]</f>
        <v>5122768.896713567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1208201.8</v>
      </c>
      <c r="F237" s="21">
        <v>721658.72008281504</v>
      </c>
      <c r="G237" s="21">
        <f>Table84141941013242732394348535671421283544[[#This Row],[VỐN CP]]+Table84141941013242732394348535671421283544[[#This Row],[LỢI NHUẬN RÒNG]]</f>
        <v>4221658.7200828148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3624605.4</v>
      </c>
      <c r="F238" s="21">
        <v>2164976.1602484449</v>
      </c>
      <c r="G238" s="21">
        <f>Table84141941013242732394348535671421283544[[#This Row],[VỐN CP]]+Table84141941013242732394348535671421283544[[#This Row],[LỢI NHUẬN RÒNG]]</f>
        <v>12664976.160248445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1208201.8</v>
      </c>
      <c r="F239" s="21">
        <v>721658.72008281504</v>
      </c>
      <c r="G239" s="21">
        <f>Table84141941013242732394348535671421283544[[#This Row],[VỐN CP]]+Table84141941013242732394348535671421283544[[#This Row],[LỢI NHUẬN RÒNG]]</f>
        <v>4221658.7200828148</v>
      </c>
      <c r="H239" s="28"/>
      <c r="I239" s="11"/>
      <c r="J239" s="11"/>
    </row>
    <row r="240" spans="1:10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604100.9</v>
      </c>
      <c r="F240" s="21">
        <v>360829.36004140752</v>
      </c>
      <c r="G240" s="21">
        <f>Table84141941013242732394348535671421283544[[#This Row],[VỐN CP]]+Table84141941013242732394348535671421283544[[#This Row],[LỢI NHUẬN RÒNG]]</f>
        <v>2110829.3600414074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1208201.8</v>
      </c>
      <c r="F241" s="21">
        <v>721658.72008281504</v>
      </c>
      <c r="G241" s="21">
        <f>Table84141941013242732394348535671421283544[[#This Row],[VỐN CP]]+Table84141941013242732394348535671421283544[[#This Row],[LỢI NHUẬN RÒNG]]</f>
        <v>4221658.7200828148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1208201.8</v>
      </c>
      <c r="F242" s="21">
        <v>721658.72008281504</v>
      </c>
      <c r="G242" s="21">
        <f>Table84141941013242732394348535671421283544[[#This Row],[VỐN CP]]+Table84141941013242732394348535671421283544[[#This Row],[LỢI NHUẬN RÒNG]]</f>
        <v>4221658.7200828148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1208201.8</v>
      </c>
      <c r="F243" s="21">
        <v>721658.72008281504</v>
      </c>
      <c r="G243" s="21">
        <f>Table84141941013242732394348535671421283544[[#This Row],[VỐN CP]]+Table84141941013242732394348535671421283544[[#This Row],[LỢI NHUẬN RÒNG]]</f>
        <v>4221658.7200828148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1208201.8</v>
      </c>
      <c r="F244" s="21">
        <v>721658.72008281504</v>
      </c>
      <c r="G244" s="21">
        <f>Table84141941013242732394348535671421283544[[#This Row],[VỐN CP]]+Table84141941013242732394348535671421283544[[#This Row],[LỢI NHUẬN RÒNG]]</f>
        <v>4221658.7200828148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604100.9</v>
      </c>
      <c r="F245" s="21">
        <v>360829.36004140752</v>
      </c>
      <c r="G245" s="21">
        <f>Table84141941013242732394348535671421283544[[#This Row],[VỐN CP]]+Table84141941013242732394348535671421283544[[#This Row],[LỢI NHUẬN RÒNG]]</f>
        <v>2110829.3600414074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1620923.3</v>
      </c>
      <c r="F246" s="21">
        <v>983298.76988051389</v>
      </c>
      <c r="G246" s="21">
        <f>Table84141941013242732394348535671421283544[[#This Row],[VỐN CP]]+Table84141941013242732394348535671421283544[[#This Row],[LỢI NHUẬN RÒNG]]</f>
        <v>5983298.7698805137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3241846.6</v>
      </c>
      <c r="F247" s="21">
        <v>1966597.5397610278</v>
      </c>
      <c r="G247" s="21">
        <f>Table84141941013242732394348535671421283544[[#This Row],[VỐN CP]]+Table84141941013242732394348535671421283544[[#This Row],[LỢI NHUẬN RÒNG]]</f>
        <v>11966597.539761027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1620923.3</v>
      </c>
      <c r="F248" s="21">
        <v>983298.76988051389</v>
      </c>
      <c r="G248" s="21">
        <f>Table84141941013242732394348535671421283544[[#This Row],[VỐN CP]]+Table84141941013242732394348535671421283544[[#This Row],[LỢI NHUẬN RÒNG]]</f>
        <v>5983298.7698805137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810461.65</v>
      </c>
      <c r="F249" s="21">
        <v>491649.38494025695</v>
      </c>
      <c r="G249" s="21">
        <f>Table84141941013242732394348535671421283544[[#This Row],[VỐN CP]]+Table84141941013242732394348535671421283544[[#This Row],[LỢI NHUẬN RÒNG]]</f>
        <v>2991649.3849402568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1620923.3</v>
      </c>
      <c r="F250" s="21">
        <v>983298.76988051389</v>
      </c>
      <c r="G250" s="21">
        <f>Table84141941013242732394348535671421283544[[#This Row],[VỐN CP]]+Table84141941013242732394348535671421283544[[#This Row],[LỢI NHUẬN RÒNG]]</f>
        <v>5983298.7698805137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810461.65</v>
      </c>
      <c r="F251" s="21">
        <v>491649.38494025695</v>
      </c>
      <c r="G251" s="21">
        <f>Table84141941013242732394348535671421283544[[#This Row],[VỐN CP]]+Table84141941013242732394348535671421283544[[#This Row],[LỢI NHUẬN RÒNG]]</f>
        <v>2991649.3849402568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1620923.3</v>
      </c>
      <c r="F252" s="21">
        <v>983298.76988051389</v>
      </c>
      <c r="G252" s="21">
        <f>Table84141941013242732394348535671421283544[[#This Row],[VỐN CP]]+Table84141941013242732394348535671421283544[[#This Row],[LỢI NHUẬN RÒNG]]</f>
        <v>5983298.7698805137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810461.65</v>
      </c>
      <c r="F253" s="21">
        <v>491649.38494025695</v>
      </c>
      <c r="G253" s="21">
        <f>Table84141941013242732394348535671421283544[[#This Row],[VỐN CP]]+Table84141941013242732394348535671421283544[[#This Row],[LỢI NHUẬN RÒNG]]</f>
        <v>2991649.3849402568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810461.65</v>
      </c>
      <c r="F254" s="21">
        <v>491649.38494025695</v>
      </c>
      <c r="G254" s="21">
        <f>Table84141941013242732394348535671421283544[[#This Row],[VỐN CP]]+Table84141941013242732394348535671421283544[[#This Row],[LỢI NHUẬN RÒNG]]</f>
        <v>2991649.3849402568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1620923.3</v>
      </c>
      <c r="F255" s="21">
        <v>983298.76988051389</v>
      </c>
      <c r="G255" s="21">
        <f>Table84141941013242732394348535671421283544[[#This Row],[VỐN CP]]+Table84141941013242732394348535671421283544[[#This Row],[LỢI NHUẬN RÒNG]]</f>
        <v>5983298.7698805137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810461.65</v>
      </c>
      <c r="F256" s="21">
        <v>491649.38494025695</v>
      </c>
      <c r="G256" s="21">
        <f>Table84141941013242732394348535671421283544[[#This Row],[VỐN CP]]+Table84141941013242732394348535671421283544[[#This Row],[LỢI NHUẬN RÒNG]]</f>
        <v>2991649.3849402568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810461.65</v>
      </c>
      <c r="F257" s="21">
        <v>491649.38494025695</v>
      </c>
      <c r="G257" s="21">
        <f>Table84141941013242732394348535671421283544[[#This Row],[VỐN CP]]+Table84141941013242732394348535671421283544[[#This Row],[LỢI NHUẬN RÒNG]]</f>
        <v>2991649.3849402568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1066093.8</v>
      </c>
      <c r="F258" s="21">
        <v>664393.32339113916</v>
      </c>
      <c r="G258" s="21">
        <f>Table84141941013242732394348535671421283544[[#This Row],[VỐN CP]]+Table84141941013242732394348535671421283544[[#This Row],[LỢI NHUẬN RÒNG]]</f>
        <v>2564393.323391139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2132187.6</v>
      </c>
      <c r="F259" s="21">
        <v>1328786.6467822783</v>
      </c>
      <c r="G259" s="21">
        <f>Table84141941013242732394348535671421283544[[#This Row],[VỐN CP]]+Table84141941013242732394348535671421283544[[#This Row],[LỢI NHUẬN RÒNG]]</f>
        <v>5128786.6467822781</v>
      </c>
      <c r="H259" s="28"/>
      <c r="I259" s="11"/>
      <c r="J259" s="11"/>
    </row>
    <row r="260" spans="1:10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533046.9</v>
      </c>
      <c r="F260" s="21">
        <v>332196.66169556958</v>
      </c>
      <c r="G260" s="21">
        <f>Table84141941013242732394348535671421283544[[#This Row],[VỐN CP]]+Table84141941013242732394348535671421283544[[#This Row],[LỢI NHUẬN RÒNG]]</f>
        <v>1282196.6616955695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1066093.8</v>
      </c>
      <c r="F261" s="21">
        <v>664393.32339113916</v>
      </c>
      <c r="G261" s="21">
        <f>Table84141941013242732394348535671421283544[[#This Row],[VỐN CP]]+Table84141941013242732394348535671421283544[[#This Row],[LỢI NHUẬN RÒNG]]</f>
        <v>2564393.323391139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1599140.7</v>
      </c>
      <c r="F262" s="21">
        <v>996589.98508670868</v>
      </c>
      <c r="G262" s="21">
        <f>Table84141941013242732394348535671421283544[[#This Row],[VỐN CP]]+Table84141941013242732394348535671421283544[[#This Row],[LỢI NHUẬN RÒNG]]</f>
        <v>3846589.9850867088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1066093.8</v>
      </c>
      <c r="F263" s="21">
        <v>664393.32339113916</v>
      </c>
      <c r="G263" s="21">
        <f>Table84141941013242732394348535671421283544[[#This Row],[VỐN CP]]+Table84141941013242732394348535671421283544[[#This Row],[LỢI NHUẬN RÒNG]]</f>
        <v>2564393.323391139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533046.9</v>
      </c>
      <c r="F264" s="21">
        <v>332196.66169556958</v>
      </c>
      <c r="G264" s="21">
        <f>Table84141941013242732394348535671421283544[[#This Row],[VỐN CP]]+Table84141941013242732394348535671421283544[[#This Row],[LỢI NHUẬN RÒNG]]</f>
        <v>1282196.6616955695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2132187.6</v>
      </c>
      <c r="F265" s="21">
        <v>1328786.6467822783</v>
      </c>
      <c r="G265" s="21">
        <f>Table84141941013242732394348535671421283544[[#This Row],[VỐN CP]]+Table84141941013242732394348535671421283544[[#This Row],[LỢI NHUẬN RÒNG]]</f>
        <v>5128786.6467822781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533046.9</v>
      </c>
      <c r="F266" s="21">
        <v>332196.66169556958</v>
      </c>
      <c r="G266" s="21">
        <f>Table84141941013242732394348535671421283544[[#This Row],[VỐN CP]]+Table84141941013242732394348535671421283544[[#This Row],[LỢI NHUẬN RÒNG]]</f>
        <v>1282196.6616955695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2018829.15</v>
      </c>
      <c r="F267" s="21">
        <v>1556851.2407364785</v>
      </c>
      <c r="G267" s="21">
        <f>Table84141941013242732394348535671421283544[[#This Row],[VỐN CP]]+Table84141941013242732394348535671421283544[[#This Row],[LỢI NHUẬN RÒNG]]</f>
        <v>3056851.2407364785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672943.05</v>
      </c>
      <c r="F268" s="21">
        <v>518950.41357882618</v>
      </c>
      <c r="G268" s="21">
        <f>Table84141941013242732394348535671421283544[[#This Row],[VỐN CP]]+Table84141941013242732394348535671421283544[[#This Row],[LỢI NHUẬN RÒNG]]</f>
        <v>1018950.4135788262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1345886.1</v>
      </c>
      <c r="F269" s="21">
        <v>1037900.8271576524</v>
      </c>
      <c r="G269" s="21">
        <f>Table84141941013242732394348535671421283544[[#This Row],[VỐN CP]]+Table84141941013242732394348535671421283544[[#This Row],[LỢI NHUẬN RÒNG]]</f>
        <v>2037900.8271576525</v>
      </c>
      <c r="H269" s="28"/>
      <c r="I269" s="11"/>
      <c r="J269" s="11"/>
    </row>
    <row r="270" spans="1:10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672943.05</v>
      </c>
      <c r="F270" s="21">
        <v>518950.41357882618</v>
      </c>
      <c r="G270" s="21">
        <f>Table84141941013242732394348535671421283544[[#This Row],[VỐN CP]]+Table84141941013242732394348535671421283544[[#This Row],[LỢI NHUẬN RÒNG]]</f>
        <v>1018950.4135788262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672943.05</v>
      </c>
      <c r="F271" s="21">
        <v>518950.41357882618</v>
      </c>
      <c r="G271" s="21">
        <f>Table84141941013242732394348535671421283544[[#This Row],[VỐN CP]]+Table84141941013242732394348535671421283544[[#This Row],[LỢI NHUẬN RÒNG]]</f>
        <v>1018950.4135788262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672943.05</v>
      </c>
      <c r="F272" s="21">
        <v>518950.41357882618</v>
      </c>
      <c r="G272" s="21">
        <f>Table84141941013242732394348535671421283544[[#This Row],[VỐN CP]]+Table84141941013242732394348535671421283544[[#This Row],[LỢI NHUẬN RÒNG]]</f>
        <v>1018950.4135788262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2018829.15</v>
      </c>
      <c r="F273" s="21">
        <v>1556851.2407364785</v>
      </c>
      <c r="G273" s="21">
        <f>Table84141941013242732394348535671421283544[[#This Row],[VỐN CP]]+Table84141941013242732394348535671421283544[[#This Row],[LỢI NHUẬN RÒNG]]</f>
        <v>3056851.2407364785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672943.05</v>
      </c>
      <c r="F274" s="21">
        <v>518950.41357882618</v>
      </c>
      <c r="G274" s="21">
        <f>Table84141941013242732394348535671421283544[[#This Row],[VỐN CP]]+Table84141941013242732394348535671421283544[[#This Row],[LỢI NHUẬN RÒNG]]</f>
        <v>1018950.4135788262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1345886.1</v>
      </c>
      <c r="F275" s="21">
        <v>1037900.8271576524</v>
      </c>
      <c r="G275" s="21">
        <f>Table84141941013242732394348535671421283544[[#This Row],[VỐN CP]]+Table84141941013242732394348535671421283544[[#This Row],[LỢI NHUẬN RÒNG]]</f>
        <v>2037900.8271576525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1345886.1</v>
      </c>
      <c r="F276" s="21">
        <v>1037900.8271576524</v>
      </c>
      <c r="G276" s="21">
        <f>Table84141941013242732394348535671421283544[[#This Row],[VỐN CP]]+Table84141941013242732394348535671421283544[[#This Row],[LỢI NHUẬN RÒNG]]</f>
        <v>2037900.8271576525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672943.05</v>
      </c>
      <c r="F277" s="21">
        <v>518950.41357882618</v>
      </c>
      <c r="G277" s="21">
        <f>Table84141941013242732394348535671421283544[[#This Row],[VỐN CP]]+Table84141941013242732394348535671421283544[[#This Row],[LỢI NHUẬN RÒNG]]</f>
        <v>1018950.4135788262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1345886.1</v>
      </c>
      <c r="F278" s="21">
        <v>1037900.8271576524</v>
      </c>
      <c r="G278" s="21">
        <f>Table84141941013242732394348535671421283544[[#This Row],[VỐN CP]]+Table84141941013242732394348535671421283544[[#This Row],[LỢI NHUẬN RÒNG]]</f>
        <v>2037900.8271576525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2680705.2000000002</v>
      </c>
      <c r="F279" s="21">
        <v>1217735.800895141</v>
      </c>
      <c r="G279" s="21">
        <f>Table84141941013242732394348535671421283544[[#This Row],[VỐN CP]]+Table84141941013242732394348535671421283544[[#This Row],[LỢI NHUẬN RÒNG]]</f>
        <v>8417735.8008951414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1340352.6000000001</v>
      </c>
      <c r="F280" s="21">
        <v>608867.90044757049</v>
      </c>
      <c r="G280" s="21">
        <f>Table84141941013242732394348535671421283544[[#This Row],[VỐN CP]]+Table84141941013242732394348535671421283544[[#This Row],[LỢI NHUẬN RÒNG]]</f>
        <v>4208867.9004475707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1340352.6000000001</v>
      </c>
      <c r="F281" s="21">
        <v>608867.90044757049</v>
      </c>
      <c r="G281" s="21">
        <f>Table84141941013242732394348535671421283544[[#This Row],[VỐN CP]]+Table84141941013242732394348535671421283544[[#This Row],[LỢI NHUẬN RÒNG]]</f>
        <v>4208867.9004475707</v>
      </c>
      <c r="H281" s="28"/>
      <c r="I281" s="11"/>
      <c r="J281" s="11"/>
    </row>
    <row r="282" spans="1:10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670176.30000000005</v>
      </c>
      <c r="F282" s="21">
        <v>304433.95022378524</v>
      </c>
      <c r="G282" s="21">
        <f>Table84141941013242732394348535671421283544[[#This Row],[VỐN CP]]+Table84141941013242732394348535671421283544[[#This Row],[LỢI NHUẬN RÒNG]]</f>
        <v>2104433.9502237854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670176.30000000005</v>
      </c>
      <c r="F283" s="21">
        <v>304433.95022378524</v>
      </c>
      <c r="G283" s="21">
        <f>Table84141941013242732394348535671421283544[[#This Row],[VỐN CP]]+Table84141941013242732394348535671421283544[[#This Row],[LỢI NHUẬN RÒNG]]</f>
        <v>2104433.9502237854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670176.30000000005</v>
      </c>
      <c r="F284" s="21">
        <v>304433.95022378524</v>
      </c>
      <c r="G284" s="21">
        <f>Table84141941013242732394348535671421283544[[#This Row],[VỐN CP]]+Table84141941013242732394348535671421283544[[#This Row],[LỢI NHUẬN RÒNG]]</f>
        <v>2104433.9502237854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2010528.9</v>
      </c>
      <c r="F285" s="21">
        <v>913301.85067135573</v>
      </c>
      <c r="G285" s="21">
        <f>Table84141941013242732394348535671421283544[[#This Row],[VỐN CP]]+Table84141941013242732394348535671421283544[[#This Row],[LỢI NHUẬN RÒNG]]</f>
        <v>6313301.8506713556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670176.30000000005</v>
      </c>
      <c r="F286" s="21">
        <v>304433.95022378524</v>
      </c>
      <c r="G286" s="21">
        <f>Table84141941013242732394348535671421283544[[#This Row],[VỐN CP]]+Table84141941013242732394348535671421283544[[#This Row],[LỢI NHUẬN RÒNG]]</f>
        <v>2104433.9502237854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2010528.9</v>
      </c>
      <c r="F287" s="21">
        <v>913301.85067135573</v>
      </c>
      <c r="G287" s="21">
        <f>Table84141941013242732394348535671421283544[[#This Row],[VỐN CP]]+Table84141941013242732394348535671421283544[[#This Row],[LỢI NHUẬN RÒNG]]</f>
        <v>6313301.8506713556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1340352.6000000001</v>
      </c>
      <c r="F288" s="21">
        <v>608867.90044757049</v>
      </c>
      <c r="G288" s="21">
        <f>Table84141941013242732394348535671421283544[[#This Row],[VỐN CP]]+Table84141941013242732394348535671421283544[[#This Row],[LỢI NHUẬN RÒNG]]</f>
        <v>4208867.9004475707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2276090.4</v>
      </c>
      <c r="F289" s="21">
        <v>1518196.013754332</v>
      </c>
      <c r="G289" s="21">
        <f>Table84141941013242732394348535671421283544[[#This Row],[VỐN CP]]+Table84141941013242732394348535671421283544[[#This Row],[LỢI NHUẬN RÒNG]]</f>
        <v>6718196.0137543324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1138045.2</v>
      </c>
      <c r="F290" s="21">
        <v>759098.00687716599</v>
      </c>
      <c r="G290" s="21">
        <f>Table84141941013242732394348535671421283544[[#This Row],[VỐN CP]]+Table84141941013242732394348535671421283544[[#This Row],[LỢI NHUẬN RÒNG]]</f>
        <v>3359098.0068771662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1138045.2</v>
      </c>
      <c r="F291" s="21">
        <v>759098.00687716599</v>
      </c>
      <c r="G291" s="21">
        <f>Table84141941013242732394348535671421283544[[#This Row],[VỐN CP]]+Table84141941013242732394348535671421283544[[#This Row],[LỢI NHUẬN RÒNG]]</f>
        <v>3359098.0068771662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2276090.4</v>
      </c>
      <c r="F292" s="21">
        <v>1518196.013754332</v>
      </c>
      <c r="G292" s="21">
        <f>Table84141941013242732394348535671421283544[[#This Row],[VỐN CP]]+Table84141941013242732394348535671421283544[[#This Row],[LỢI NHUẬN RÒNG]]</f>
        <v>6718196.0137543324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569022.6</v>
      </c>
      <c r="F293" s="21">
        <v>379549.00343858299</v>
      </c>
      <c r="G293" s="21">
        <f>Table84141941013242732394348535671421283544[[#This Row],[VỐN CP]]+Table84141941013242732394348535671421283544[[#This Row],[LỢI NHUẬN RÒNG]]</f>
        <v>1679549.0034385831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569022.6</v>
      </c>
      <c r="F294" s="21">
        <v>379549.00343858299</v>
      </c>
      <c r="G294" s="21">
        <f>Table84141941013242732394348535671421283544[[#This Row],[VỐN CP]]+Table84141941013242732394348535671421283544[[#This Row],[LỢI NHUẬN RÒNG]]</f>
        <v>1679549.0034385831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569022.6</v>
      </c>
      <c r="F295" s="21">
        <v>379549.00343858299</v>
      </c>
      <c r="G295" s="21">
        <f>Table84141941013242732394348535671421283544[[#This Row],[VỐN CP]]+Table84141941013242732394348535671421283544[[#This Row],[LỢI NHUẬN RÒNG]]</f>
        <v>1679549.0034385831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1707067.8</v>
      </c>
      <c r="F296" s="21">
        <v>1138647.0103157491</v>
      </c>
      <c r="G296" s="21">
        <f>Table84141941013242732394348535671421283544[[#This Row],[VỐN CP]]+Table84141941013242732394348535671421283544[[#This Row],[LỢI NHUẬN RÒNG]]</f>
        <v>5038647.0103157489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1138045.2</v>
      </c>
      <c r="F297" s="21">
        <v>759098.00687716599</v>
      </c>
      <c r="G297" s="21">
        <f>Table84141941013242732394348535671421283544[[#This Row],[VỐN CP]]+Table84141941013242732394348535671421283544[[#This Row],[LỢI NHUẬN RÒNG]]</f>
        <v>3359098.0068771662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8525919.4000000022</v>
      </c>
      <c r="F298" s="21">
        <v>5913485.6227968158</v>
      </c>
      <c r="G298" s="21">
        <f>Table84141941013242732394348535671421283544[[#This Row],[VỐN CP]]+Table84141941013242732394348535671421283544[[#This Row],[LỢI NHUẬN RÒNG]]</f>
        <v>25353485.622796815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4262959.7000000011</v>
      </c>
      <c r="F299" s="21">
        <v>2956742.8113984079</v>
      </c>
      <c r="G299" s="21">
        <f>Table84141941013242732394348535671421283544[[#This Row],[VỐN CP]]+Table84141941013242732394348535671421283544[[#This Row],[LỢI NHUẬN RÒNG]]</f>
        <v>12676742.811398407</v>
      </c>
      <c r="H299" s="28"/>
      <c r="I299" s="11"/>
      <c r="J299" s="11"/>
    </row>
    <row r="300" spans="1:10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1420986.5666666671</v>
      </c>
      <c r="F300" s="21">
        <v>985580.93713280256</v>
      </c>
      <c r="G300" s="21">
        <f>Table84141941013242732394348535671421283544[[#This Row],[VỐN CP]]+Table84141941013242732394348535671421283544[[#This Row],[LỢI NHUẬN RÒNG]]</f>
        <v>4225580.9371328028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4262959.7000000011</v>
      </c>
      <c r="F301" s="21">
        <v>2956742.8113984079</v>
      </c>
      <c r="G301" s="21">
        <f>Table84141941013242732394348535671421283544[[#This Row],[VỐN CP]]+Table84141941013242732394348535671421283544[[#This Row],[LỢI NHUẬN RÒNG]]</f>
        <v>12676742.811398407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1420986.5666666671</v>
      </c>
      <c r="F302" s="21">
        <v>985580.93713280256</v>
      </c>
      <c r="G302" s="21">
        <f>Table84141941013242732394348535671421283544[[#This Row],[VỐN CP]]+Table84141941013242732394348535671421283544[[#This Row],[LỢI NHUẬN RÒNG]]</f>
        <v>4225580.9371328028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1420986.5666666671</v>
      </c>
      <c r="F303" s="21">
        <v>985580.93713280256</v>
      </c>
      <c r="G303" s="21">
        <f>Table84141941013242732394348535671421283544[[#This Row],[VỐN CP]]+Table84141941013242732394348535671421283544[[#This Row],[LỢI NHUẬN RÒNG]]</f>
        <v>4225580.9371328028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4262959.7000000011</v>
      </c>
      <c r="F304" s="21">
        <v>2956742.8113984079</v>
      </c>
      <c r="G304" s="21">
        <f>Table84141941013242732394348535671421283544[[#This Row],[VỐN CP]]+Table84141941013242732394348535671421283544[[#This Row],[LỢI NHUẬN RÒNG]]</f>
        <v>12676742.811398407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2841973.1333333342</v>
      </c>
      <c r="F305" s="21">
        <v>1971161.8742656051</v>
      </c>
      <c r="G305" s="21">
        <f>Table84141941013242732394348535671421283544[[#This Row],[VỐN CP]]+Table84141941013242732394348535671421283544[[#This Row],[LỢI NHUẬN RÒNG]]</f>
        <v>8451161.8742656056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5082252.7</v>
      </c>
      <c r="F306" s="21">
        <v>3632373.9377792133</v>
      </c>
      <c r="G306" s="21">
        <f>Table84141941013242732394348535671421283544[[#This Row],[VỐN CP]]+Table84141941013242732394348535671421283544[[#This Row],[LỢI NHUẬN RÒNG]]</f>
        <v>15632373.937779214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1694084.2333333336</v>
      </c>
      <c r="F307" s="21">
        <v>1210791.3125930713</v>
      </c>
      <c r="G307" s="21">
        <f>Table84141941013242732394348535671421283544[[#This Row],[VỐN CP]]+Table84141941013242732394348535671421283544[[#This Row],[LỢI NHUẬN RÒNG]]</f>
        <v>5210791.3125930708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6776336.9333333345</v>
      </c>
      <c r="F308" s="21">
        <v>4843165.250372285</v>
      </c>
      <c r="G308" s="21">
        <f>Table84141941013242732394348535671421283544[[#This Row],[VỐN CP]]+Table84141941013242732394348535671421283544[[#This Row],[LỢI NHUẬN RÒNG]]</f>
        <v>20843165.250372283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1694084.2333333336</v>
      </c>
      <c r="F309" s="21">
        <v>1210791.3125930713</v>
      </c>
      <c r="G309" s="21">
        <f>Table84141941013242732394348535671421283544[[#This Row],[VỐN CP]]+Table84141941013242732394348535671421283544[[#This Row],[LỢI NHUẬN RÒNG]]</f>
        <v>5210791.3125930708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1694084.2333333336</v>
      </c>
      <c r="F310" s="21">
        <v>1210791.3125930713</v>
      </c>
      <c r="G310" s="21">
        <f>Table84141941013242732394348535671421283544[[#This Row],[VỐN CP]]+Table84141941013242732394348535671421283544[[#This Row],[LỢI NHUẬN RÒNG]]</f>
        <v>5210791.3125930708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3388168.4666666673</v>
      </c>
      <c r="F311" s="21">
        <v>2421582.6251861425</v>
      </c>
      <c r="G311" s="21">
        <f>Table84141941013242732394348535671421283544[[#This Row],[VỐN CP]]+Table84141941013242732394348535671421283544[[#This Row],[LỢI NHUẬN RÒNG]]</f>
        <v>10421582.625186142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1694084.2333333336</v>
      </c>
      <c r="F312" s="21">
        <v>1210791.3125930713</v>
      </c>
      <c r="G312" s="21">
        <f>Table84141941013242732394348535671421283544[[#This Row],[VỐN CP]]+Table84141941013242732394348535671421283544[[#This Row],[LỢI NHUẬN RÒNG]]</f>
        <v>5210791.3125930708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3388168.4666666673</v>
      </c>
      <c r="F313" s="21">
        <v>2421582.6251861425</v>
      </c>
      <c r="G313" s="21">
        <f>Table84141941013242732394348535671421283544[[#This Row],[VỐN CP]]+Table84141941013242732394348535671421283544[[#This Row],[LỢI NHUẬN RÒNG]]</f>
        <v>10421582.625186142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1694084.2333333336</v>
      </c>
      <c r="F314" s="21">
        <v>1210791.3125930713</v>
      </c>
      <c r="G314" s="21">
        <f>Table84141941013242732394348535671421283544[[#This Row],[VỐN CP]]+Table84141941013242732394348535671421283544[[#This Row],[LỢI NHUẬN RÒNG]]</f>
        <v>5210791.3125930708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6776336.9333333345</v>
      </c>
      <c r="F315" s="21">
        <v>4843165.250372285</v>
      </c>
      <c r="G315" s="21">
        <f>Table84141941013242732394348535671421283544[[#This Row],[VỐN CP]]+Table84141941013242732394348535671421283544[[#This Row],[LỢI NHUẬN RÒNG]]</f>
        <v>20843165.250372283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3238460.7</v>
      </c>
      <c r="F316" s="21">
        <v>1896261.8889585123</v>
      </c>
      <c r="G316" s="21">
        <f>Table84141941013242732394348535671421283544[[#This Row],[VỐN CP]]+Table84141941013242732394348535671421283544[[#This Row],[LỢI NHUẬN RÒNG]]</f>
        <v>9891261.8889585119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1079486.8999999999</v>
      </c>
      <c r="F317" s="21">
        <v>632087.29631950404</v>
      </c>
      <c r="G317" s="21">
        <f>Table84141941013242732394348535671421283544[[#This Row],[VỐN CP]]+Table84141941013242732394348535671421283544[[#This Row],[LỢI NHUẬN RÒNG]]</f>
        <v>3297087.2963195043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2158973.7999999998</v>
      </c>
      <c r="F318" s="21">
        <v>1264174.5926390081</v>
      </c>
      <c r="G318" s="21">
        <f>Table84141941013242732394348535671421283544[[#This Row],[VỐN CP]]+Table84141941013242732394348535671421283544[[#This Row],[LỢI NHUẬN RÒNG]]</f>
        <v>6594174.5926390085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1079486.8999999999</v>
      </c>
      <c r="F319" s="21">
        <v>632087.29631950404</v>
      </c>
      <c r="G319" s="21">
        <f>Table84141941013242732394348535671421283544[[#This Row],[VỐN CP]]+Table84141941013242732394348535671421283544[[#This Row],[LỢI NHUẬN RÒNG]]</f>
        <v>3297087.2963195043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1079486.8999999999</v>
      </c>
      <c r="F320" s="21">
        <v>632087.29631950404</v>
      </c>
      <c r="G320" s="21">
        <f>Table84141941013242732394348535671421283544[[#This Row],[VỐN CP]]+Table84141941013242732394348535671421283544[[#This Row],[LỢI NHUẬN RÒNG]]</f>
        <v>3297087.2963195043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4317947.5999999996</v>
      </c>
      <c r="F321" s="21">
        <v>2528349.1852780161</v>
      </c>
      <c r="G321" s="21">
        <f>Table84141941013242732394348535671421283544[[#This Row],[VỐN CP]]+Table84141941013242732394348535671421283544[[#This Row],[LỢI NHUẬN RÒNG]]</f>
        <v>13188349.185278017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1079486.8999999999</v>
      </c>
      <c r="F322" s="21">
        <v>632087.29631950404</v>
      </c>
      <c r="G322" s="21">
        <f>Table84141941013242732394348535671421283544[[#This Row],[VỐN CP]]+Table84141941013242732394348535671421283544[[#This Row],[LỢI NHUẬN RÒNG]]</f>
        <v>3297087.2963195043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1079486.8999999999</v>
      </c>
      <c r="F323" s="21">
        <v>632087.29631950404</v>
      </c>
      <c r="G323" s="21">
        <f>Table84141941013242732394348535671421283544[[#This Row],[VỐN CP]]+Table84141941013242732394348535671421283544[[#This Row],[LỢI NHUẬN RÒNG]]</f>
        <v>3297087.2963195043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1079486.8999999999</v>
      </c>
      <c r="F324" s="21">
        <v>632087.29631950404</v>
      </c>
      <c r="G324" s="21">
        <f>Table84141941013242732394348535671421283544[[#This Row],[VỐN CP]]+Table84141941013242732394348535671421283544[[#This Row],[LỢI NHUẬN RÒNG]]</f>
        <v>3297087.2963195043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1079486.8999999999</v>
      </c>
      <c r="F325" s="21">
        <v>632087.29631950404</v>
      </c>
      <c r="G325" s="21">
        <f>Table84141941013242732394348535671421283544[[#This Row],[VỐN CP]]+Table84141941013242732394348535671421283544[[#This Row],[LỢI NHUẬN RÒNG]]</f>
        <v>3297087.2963195043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1079486.8999999999</v>
      </c>
      <c r="F326" s="21">
        <v>632087.29631950404</v>
      </c>
      <c r="G326" s="21">
        <f>Table84141941013242732394348535671421283544[[#This Row],[VỐN CP]]+Table84141941013242732394348535671421283544[[#This Row],[LỢI NHUẬN RÒNG]]</f>
        <v>3297087.2963195043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2158973.7999999998</v>
      </c>
      <c r="F327" s="21">
        <v>1264174.5926390081</v>
      </c>
      <c r="G327" s="21">
        <f>Table84141941013242732394348535671421283544[[#This Row],[VỐN CP]]+Table84141941013242732394348535671421283544[[#This Row],[LỢI NHUẬN RÒNG]]</f>
        <v>6594174.5926390085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1079486.8999999999</v>
      </c>
      <c r="F328" s="21">
        <v>632087.29631950404</v>
      </c>
      <c r="G328" s="21">
        <f>Table84141941013242732394348535671421283544[[#This Row],[VỐN CP]]+Table84141941013242732394348535671421283544[[#This Row],[LỢI NHUẬN RÒNG]]</f>
        <v>3297087.2963195043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3924639.1</v>
      </c>
      <c r="F329" s="21">
        <v>3005556.8631423772</v>
      </c>
      <c r="G329" s="21">
        <f>Table84141941013242732394348535671421283544[[#This Row],[VỐN CP]]+Table84141941013242732394348535671421283544[[#This Row],[LỢI NHUẬN RÒNG]]</f>
        <v>13505556.863142377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3924639.1</v>
      </c>
      <c r="F330" s="21">
        <v>3005556.8631423772</v>
      </c>
      <c r="G330" s="21">
        <f>Table84141941013242732394348535671421283544[[#This Row],[VỐN CP]]+Table84141941013242732394348535671421283544[[#This Row],[LỢI NHUẬN RÒNG]]</f>
        <v>13505556.863142377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5886958.6500000004</v>
      </c>
      <c r="F331" s="21">
        <v>4508335.2947135661</v>
      </c>
      <c r="G331" s="21">
        <f>Table84141941013242732394348535671421283544[[#This Row],[VỐN CP]]+Table84141941013242732394348535671421283544[[#This Row],[LỢI NHUẬN RÒNG]]</f>
        <v>20258335.294713564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1962319.55</v>
      </c>
      <c r="F332" s="21">
        <v>1502778.4315711886</v>
      </c>
      <c r="G332" s="21">
        <f>Table84141941013242732394348535671421283544[[#This Row],[VỐN CP]]+Table84141941013242732394348535671421283544[[#This Row],[LỢI NHUẬN RÒNG]]</f>
        <v>6752778.4315711884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1962319.55</v>
      </c>
      <c r="F333" s="21">
        <v>1502778.4315711886</v>
      </c>
      <c r="G333" s="21">
        <f>Table84141941013242732394348535671421283544[[#This Row],[VỐN CP]]+Table84141941013242732394348535671421283544[[#This Row],[LỢI NHUẬN RÒNG]]</f>
        <v>6752778.4315711884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3924639.1</v>
      </c>
      <c r="F334" s="21">
        <v>3005556.8631423772</v>
      </c>
      <c r="G334" s="21">
        <f>Table84141941013242732394348535671421283544[[#This Row],[VỐN CP]]+Table84141941013242732394348535671421283544[[#This Row],[LỢI NHUẬN RÒNG]]</f>
        <v>13505556.863142377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1962319.55</v>
      </c>
      <c r="F335" s="21">
        <v>1502778.4315711886</v>
      </c>
      <c r="G335" s="21">
        <f>Table84141941013242732394348535671421283544[[#This Row],[VỐN CP]]+Table84141941013242732394348535671421283544[[#This Row],[LỢI NHUẬN RÒNG]]</f>
        <v>6752778.4315711884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7849278.2000000002</v>
      </c>
      <c r="F336" s="21">
        <v>6011113.7262847545</v>
      </c>
      <c r="G336" s="21">
        <f>Table84141941013242732394348535671421283544[[#This Row],[VỐN CP]]+Table84141941013242732394348535671421283544[[#This Row],[LỢI NHUẬN RÒNG]]</f>
        <v>27011113.726284754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7849278.2000000002</v>
      </c>
      <c r="F337" s="21">
        <v>6011113.7262847545</v>
      </c>
      <c r="G337" s="21">
        <f>Table84141941013242732394348535671421283544[[#This Row],[VỐN CP]]+Table84141941013242732394348535671421283544[[#This Row],[LỢI NHUẬN RÒNG]]</f>
        <v>27011113.726284754</v>
      </c>
      <c r="H337" s="28"/>
      <c r="I337" s="11"/>
      <c r="J337" s="11"/>
    </row>
    <row r="338" spans="1:10" hidden="1" x14ac:dyDescent="0.3">
      <c r="A338" s="23" t="s">
        <v>76</v>
      </c>
      <c r="B338" s="27" t="s">
        <v>9</v>
      </c>
      <c r="C338" s="21">
        <v>20</v>
      </c>
      <c r="D338" s="21">
        <v>5333333.333333334</v>
      </c>
      <c r="E338" s="21">
        <v>2951242.0666666655</v>
      </c>
      <c r="F338" s="21">
        <v>2269991.3893495621</v>
      </c>
      <c r="G338" s="21">
        <f>Table84141941013242732394348535671421283544[[#This Row],[VỐN CP]]+Table84141941013242732394348535671421283544[[#This Row],[LỢI NHUẬN RÒNG]]</f>
        <v>7603324.7226828961</v>
      </c>
      <c r="H338" s="28"/>
      <c r="I338" s="11"/>
      <c r="J338" s="11"/>
    </row>
    <row r="339" spans="1:10" hidden="1" x14ac:dyDescent="0.3">
      <c r="A339" s="23" t="s">
        <v>76</v>
      </c>
      <c r="B339" s="27" t="s">
        <v>19</v>
      </c>
      <c r="C339" s="21">
        <v>10</v>
      </c>
      <c r="D339" s="21">
        <v>2666666.666666667</v>
      </c>
      <c r="E339" s="21">
        <v>1475621.0333333327</v>
      </c>
      <c r="F339" s="21">
        <v>1134995.6946747811</v>
      </c>
      <c r="G339" s="21">
        <f>Table84141941013242732394348535671421283544[[#This Row],[VỐN CP]]+Table84141941013242732394348535671421283544[[#This Row],[LỢI NHUẬN RÒNG]]</f>
        <v>3801662.361341448</v>
      </c>
      <c r="H339" s="28"/>
      <c r="I339" s="11"/>
      <c r="J339" s="11"/>
    </row>
    <row r="340" spans="1:10" hidden="1" x14ac:dyDescent="0.3">
      <c r="A340" s="23" t="s">
        <v>76</v>
      </c>
      <c r="B340" s="27" t="s">
        <v>37</v>
      </c>
      <c r="C340" s="21">
        <v>10</v>
      </c>
      <c r="D340" s="21">
        <v>2666666.666666667</v>
      </c>
      <c r="E340" s="21">
        <v>1475621.0333333327</v>
      </c>
      <c r="F340" s="21">
        <v>1134995.6946747811</v>
      </c>
      <c r="G340" s="21">
        <f>Table84141941013242732394348535671421283544[[#This Row],[VỐN CP]]+Table84141941013242732394348535671421283544[[#This Row],[LỢI NHUẬN RÒNG]]</f>
        <v>3801662.361341448</v>
      </c>
      <c r="H340" s="28"/>
      <c r="I340" s="11"/>
      <c r="J340" s="11"/>
    </row>
    <row r="341" spans="1:10" hidden="1" x14ac:dyDescent="0.3">
      <c r="A341" s="23" t="s">
        <v>76</v>
      </c>
      <c r="B341" s="27" t="s">
        <v>31</v>
      </c>
      <c r="C341" s="21">
        <v>5</v>
      </c>
      <c r="D341" s="21">
        <v>1333333.3333333335</v>
      </c>
      <c r="E341" s="21">
        <v>737810.51666666637</v>
      </c>
      <c r="F341" s="21">
        <v>567497.84733739053</v>
      </c>
      <c r="G341" s="21">
        <f>Table84141941013242732394348535671421283544[[#This Row],[VỐN CP]]+Table84141941013242732394348535671421283544[[#This Row],[LỢI NHUẬN RÒNG]]</f>
        <v>1900831.180670724</v>
      </c>
      <c r="H341" s="28"/>
      <c r="I341" s="11"/>
      <c r="J341" s="11"/>
    </row>
    <row r="342" spans="1:10" hidden="1" x14ac:dyDescent="0.3">
      <c r="A342" s="23" t="s">
        <v>76</v>
      </c>
      <c r="B342" s="27" t="s">
        <v>21</v>
      </c>
      <c r="C342" s="21">
        <v>15</v>
      </c>
      <c r="D342" s="21">
        <v>4000000.0000000005</v>
      </c>
      <c r="E342" s="21">
        <v>2213431.5499999993</v>
      </c>
      <c r="F342" s="21">
        <v>1702493.5420121714</v>
      </c>
      <c r="G342" s="21">
        <f>Table84141941013242732394348535671421283544[[#This Row],[VỐN CP]]+Table84141941013242732394348535671421283544[[#This Row],[LỢI NHUẬN RÒNG]]</f>
        <v>5702493.5420121718</v>
      </c>
      <c r="H342" s="28"/>
      <c r="I342" s="11"/>
      <c r="J342" s="11"/>
    </row>
    <row r="343" spans="1:10" hidden="1" x14ac:dyDescent="0.3">
      <c r="A343" s="23" t="s">
        <v>76</v>
      </c>
      <c r="B343" s="27" t="s">
        <v>10</v>
      </c>
      <c r="C343" s="21">
        <v>5</v>
      </c>
      <c r="D343" s="21">
        <v>1333333.3333333335</v>
      </c>
      <c r="E343" s="21">
        <v>737810.51666666637</v>
      </c>
      <c r="F343" s="21">
        <v>567497.84733739053</v>
      </c>
      <c r="G343" s="21">
        <f>Table84141941013242732394348535671421283544[[#This Row],[VỐN CP]]+Table84141941013242732394348535671421283544[[#This Row],[LỢI NHUẬN RÒNG]]</f>
        <v>1900831.180670724</v>
      </c>
      <c r="H343" s="28"/>
      <c r="I343" s="11"/>
      <c r="J343" s="11"/>
    </row>
    <row r="344" spans="1:10" hidden="1" x14ac:dyDescent="0.3">
      <c r="A344" s="23" t="s">
        <v>76</v>
      </c>
      <c r="B344" s="27" t="s">
        <v>13</v>
      </c>
      <c r="C344" s="21">
        <v>5</v>
      </c>
      <c r="D344" s="21">
        <v>1333333.3333333335</v>
      </c>
      <c r="E344" s="21">
        <v>737810.51666666637</v>
      </c>
      <c r="F344" s="21">
        <v>567497.84733739053</v>
      </c>
      <c r="G344" s="21">
        <f>Table84141941013242732394348535671421283544[[#This Row],[VỐN CP]]+Table84141941013242732394348535671421283544[[#This Row],[LỢI NHUẬN RÒNG]]</f>
        <v>1900831.180670724</v>
      </c>
      <c r="H344" s="28"/>
      <c r="I344" s="11"/>
      <c r="J344" s="11"/>
    </row>
    <row r="345" spans="1:10" hidden="1" x14ac:dyDescent="0.3">
      <c r="A345" s="23" t="s">
        <v>76</v>
      </c>
      <c r="B345" s="27" t="s">
        <v>29</v>
      </c>
      <c r="C345" s="21">
        <v>5</v>
      </c>
      <c r="D345" s="21">
        <v>1333333.3333333335</v>
      </c>
      <c r="E345" s="21">
        <v>737810.51666666637</v>
      </c>
      <c r="F345" s="21">
        <v>567497.84733739053</v>
      </c>
      <c r="G345" s="21">
        <f>Table84141941013242732394348535671421283544[[#This Row],[VỐN CP]]+Table84141941013242732394348535671421283544[[#This Row],[LỢI NHUẬN RÒNG]]</f>
        <v>1900831.180670724</v>
      </c>
      <c r="H345" s="28"/>
      <c r="I345" s="11"/>
      <c r="J345" s="11"/>
    </row>
    <row r="346" spans="1:10" hidden="1" x14ac:dyDescent="0.3">
      <c r="A346" s="23" t="s">
        <v>76</v>
      </c>
      <c r="B346" s="27" t="s">
        <v>35</v>
      </c>
      <c r="C346" s="21">
        <v>5</v>
      </c>
      <c r="D346" s="21">
        <v>1333333.3333333335</v>
      </c>
      <c r="E346" s="21">
        <v>737810.51666666637</v>
      </c>
      <c r="F346" s="21">
        <v>567497.84733739053</v>
      </c>
      <c r="G346" s="21">
        <f>Table84141941013242732394348535671421283544[[#This Row],[VỐN CP]]+Table84141941013242732394348535671421283544[[#This Row],[LỢI NHUẬN RÒNG]]</f>
        <v>1900831.180670724</v>
      </c>
      <c r="H346" s="28"/>
      <c r="I346" s="11"/>
      <c r="J346" s="11"/>
    </row>
    <row r="347" spans="1:10" hidden="1" x14ac:dyDescent="0.3">
      <c r="A347" s="23" t="s">
        <v>76</v>
      </c>
      <c r="B347" s="27" t="s">
        <v>43</v>
      </c>
      <c r="C347" s="21">
        <v>10</v>
      </c>
      <c r="D347" s="21">
        <v>2666666.666666667</v>
      </c>
      <c r="E347" s="21">
        <v>1475621.0333333327</v>
      </c>
      <c r="F347" s="21">
        <v>1134995.6946747811</v>
      </c>
      <c r="G347" s="21">
        <f>Table84141941013242732394348535671421283544[[#This Row],[VỐN CP]]+Table84141941013242732394348535671421283544[[#This Row],[LỢI NHUẬN RÒNG]]</f>
        <v>3801662.361341448</v>
      </c>
      <c r="H347" s="28"/>
      <c r="I347" s="11"/>
      <c r="J347" s="11"/>
    </row>
    <row r="348" spans="1:10" hidden="1" x14ac:dyDescent="0.3">
      <c r="A348" s="23" t="s">
        <v>76</v>
      </c>
      <c r="B348" s="27" t="s">
        <v>25</v>
      </c>
      <c r="C348" s="21">
        <v>10</v>
      </c>
      <c r="D348" s="21">
        <v>2666666.666666667</v>
      </c>
      <c r="E348" s="21">
        <v>1475621.0333333327</v>
      </c>
      <c r="F348" s="21">
        <v>1134995.6946747811</v>
      </c>
      <c r="G348" s="21">
        <f>Table84141941013242732394348535671421283544[[#This Row],[VỐN CP]]+Table84141941013242732394348535671421283544[[#This Row],[LỢI NHUẬN RÒNG]]</f>
        <v>3801662.361341448</v>
      </c>
      <c r="H348" s="28"/>
      <c r="I348" s="11"/>
      <c r="J348" s="11"/>
    </row>
    <row r="349" spans="1:10" hidden="1" x14ac:dyDescent="0.3">
      <c r="A349" s="23" t="s">
        <v>77</v>
      </c>
      <c r="B349" s="27" t="s">
        <v>9</v>
      </c>
      <c r="C349" s="21">
        <v>15</v>
      </c>
      <c r="D349" s="21">
        <v>2925000</v>
      </c>
      <c r="E349" s="21">
        <v>1976067.3</v>
      </c>
      <c r="F349" s="21">
        <v>1234735.1837901419</v>
      </c>
      <c r="G349" s="21">
        <f>Table84141941013242732394348535671421283544[[#This Row],[VỐN CP]]+Table84141941013242732394348535671421283544[[#This Row],[LỢI NHUẬN RÒNG]]</f>
        <v>4159735.1837901417</v>
      </c>
      <c r="H349" s="28"/>
      <c r="I349" s="11"/>
      <c r="J349" s="11"/>
    </row>
    <row r="350" spans="1:10" hidden="1" x14ac:dyDescent="0.3">
      <c r="A350" s="23" t="s">
        <v>77</v>
      </c>
      <c r="B350" s="27" t="s">
        <v>19</v>
      </c>
      <c r="C350" s="21">
        <v>10</v>
      </c>
      <c r="D350" s="21">
        <v>1950000</v>
      </c>
      <c r="E350" s="21">
        <v>1317378.2</v>
      </c>
      <c r="F350" s="21">
        <v>823156.78919342789</v>
      </c>
      <c r="G350" s="21">
        <f>Table84141941013242732394348535671421283544[[#This Row],[VỐN CP]]+Table84141941013242732394348535671421283544[[#This Row],[LỢI NHUẬN RÒNG]]</f>
        <v>2773156.7891934281</v>
      </c>
      <c r="H350" s="28"/>
      <c r="I350" s="11"/>
      <c r="J350" s="11"/>
    </row>
    <row r="351" spans="1:10" hidden="1" x14ac:dyDescent="0.3">
      <c r="A351" s="23" t="s">
        <v>77</v>
      </c>
      <c r="B351" s="27" t="s">
        <v>37</v>
      </c>
      <c r="C351" s="21">
        <v>15</v>
      </c>
      <c r="D351" s="21">
        <v>2925000</v>
      </c>
      <c r="E351" s="21">
        <v>1976067.3</v>
      </c>
      <c r="F351" s="21">
        <v>1234735.1837901419</v>
      </c>
      <c r="G351" s="21">
        <f>Table84141941013242732394348535671421283544[[#This Row],[VỐN CP]]+Table84141941013242732394348535671421283544[[#This Row],[LỢI NHUẬN RÒNG]]</f>
        <v>4159735.1837901417</v>
      </c>
      <c r="H351" s="28"/>
      <c r="I351" s="11"/>
      <c r="J351" s="11"/>
    </row>
    <row r="352" spans="1:10" x14ac:dyDescent="0.3">
      <c r="A352" s="23" t="s">
        <v>77</v>
      </c>
      <c r="B352" s="27" t="s">
        <v>33</v>
      </c>
      <c r="C352" s="21">
        <v>5</v>
      </c>
      <c r="D352" s="21">
        <v>975000</v>
      </c>
      <c r="E352" s="21">
        <v>658689.1</v>
      </c>
      <c r="F352" s="21">
        <v>411578.39459671394</v>
      </c>
      <c r="G352" s="21">
        <f>Table84141941013242732394348535671421283544[[#This Row],[VỐN CP]]+Table84141941013242732394348535671421283544[[#This Row],[LỢI NHUẬN RÒNG]]</f>
        <v>1386578.3945967141</v>
      </c>
      <c r="H352" s="28"/>
      <c r="I352" s="11"/>
      <c r="J352" s="11"/>
    </row>
    <row r="353" spans="1:10" hidden="1" x14ac:dyDescent="0.3">
      <c r="A353" s="23" t="s">
        <v>77</v>
      </c>
      <c r="B353" s="27" t="s">
        <v>31</v>
      </c>
      <c r="C353" s="21">
        <v>5</v>
      </c>
      <c r="D353" s="21">
        <v>975000</v>
      </c>
      <c r="E353" s="21">
        <v>658689.1</v>
      </c>
      <c r="F353" s="21">
        <v>411578.39459671394</v>
      </c>
      <c r="G353" s="21">
        <f>Table84141941013242732394348535671421283544[[#This Row],[VỐN CP]]+Table84141941013242732394348535671421283544[[#This Row],[LỢI NHUẬN RÒNG]]</f>
        <v>1386578.3945967141</v>
      </c>
      <c r="H353" s="28"/>
      <c r="I353" s="11"/>
      <c r="J353" s="11"/>
    </row>
    <row r="354" spans="1:10" hidden="1" x14ac:dyDescent="0.3">
      <c r="A354" s="23" t="s">
        <v>77</v>
      </c>
      <c r="B354" s="27" t="s">
        <v>15</v>
      </c>
      <c r="C354" s="21">
        <v>5</v>
      </c>
      <c r="D354" s="21">
        <v>975000</v>
      </c>
      <c r="E354" s="21">
        <v>658689.1</v>
      </c>
      <c r="F354" s="21">
        <v>411578.39459671394</v>
      </c>
      <c r="G354" s="21">
        <f>Table84141941013242732394348535671421283544[[#This Row],[VỐN CP]]+Table84141941013242732394348535671421283544[[#This Row],[LỢI NHUẬN RÒNG]]</f>
        <v>1386578.3945967141</v>
      </c>
      <c r="H354" s="28"/>
      <c r="I354" s="11"/>
      <c r="J354" s="11"/>
    </row>
    <row r="355" spans="1:10" hidden="1" x14ac:dyDescent="0.3">
      <c r="A355" s="23" t="s">
        <v>77</v>
      </c>
      <c r="B355" s="27" t="s">
        <v>21</v>
      </c>
      <c r="C355" s="21">
        <v>20</v>
      </c>
      <c r="D355" s="21">
        <v>3900000</v>
      </c>
      <c r="E355" s="21">
        <v>2634756.4</v>
      </c>
      <c r="F355" s="21">
        <v>1646313.5783868558</v>
      </c>
      <c r="G355" s="21">
        <f>Table84141941013242732394348535671421283544[[#This Row],[VỐN CP]]+Table84141941013242732394348535671421283544[[#This Row],[LỢI NHUẬN RÒNG]]</f>
        <v>5546313.5783868562</v>
      </c>
      <c r="H355" s="28"/>
      <c r="I355" s="11"/>
      <c r="J355" s="11"/>
    </row>
    <row r="356" spans="1:10" hidden="1" x14ac:dyDescent="0.3">
      <c r="A356" s="23" t="s">
        <v>77</v>
      </c>
      <c r="B356" s="27" t="s">
        <v>43</v>
      </c>
      <c r="C356" s="21">
        <v>10</v>
      </c>
      <c r="D356" s="21">
        <v>1950000</v>
      </c>
      <c r="E356" s="21">
        <v>1317378.2</v>
      </c>
      <c r="F356" s="21">
        <v>823156.78919342789</v>
      </c>
      <c r="G356" s="21">
        <f>Table84141941013242732394348535671421283544[[#This Row],[VỐN CP]]+Table84141941013242732394348535671421283544[[#This Row],[LỢI NHUẬN RÒNG]]</f>
        <v>2773156.7891934281</v>
      </c>
      <c r="H356" s="28"/>
      <c r="I356" s="11"/>
      <c r="J356" s="11"/>
    </row>
    <row r="357" spans="1:10" hidden="1" x14ac:dyDescent="0.3">
      <c r="A357" s="23" t="s">
        <v>77</v>
      </c>
      <c r="B357" s="27" t="s">
        <v>45</v>
      </c>
      <c r="C357" s="21">
        <v>5</v>
      </c>
      <c r="D357" s="21">
        <v>975000</v>
      </c>
      <c r="E357" s="21">
        <v>658689.1</v>
      </c>
      <c r="F357" s="21">
        <v>411578.39459671394</v>
      </c>
      <c r="G357" s="21">
        <f>Table84141941013242732394348535671421283544[[#This Row],[VỐN CP]]+Table84141941013242732394348535671421283544[[#This Row],[LỢI NHUẬN RÒNG]]</f>
        <v>1386578.3945967141</v>
      </c>
      <c r="H357" s="28"/>
      <c r="I357" s="11"/>
      <c r="J357" s="11"/>
    </row>
    <row r="358" spans="1:10" hidden="1" x14ac:dyDescent="0.3">
      <c r="A358" s="23" t="s">
        <v>77</v>
      </c>
      <c r="B358" s="27" t="s">
        <v>25</v>
      </c>
      <c r="C358" s="21">
        <v>10</v>
      </c>
      <c r="D358" s="21">
        <v>1950000</v>
      </c>
      <c r="E358" s="21">
        <v>1317378.2</v>
      </c>
      <c r="F358" s="21">
        <v>823156.78919342789</v>
      </c>
      <c r="G358" s="21">
        <f>Table84141941013242732394348535671421283544[[#This Row],[VỐN CP]]+Table84141941013242732394348535671421283544[[#This Row],[LỢI NHUẬN RÒNG]]</f>
        <v>2773156.7891934281</v>
      </c>
      <c r="H358" s="28"/>
      <c r="I358" s="11"/>
      <c r="J358" s="11"/>
    </row>
    <row r="359" spans="1:10" hidden="1" x14ac:dyDescent="0.3">
      <c r="A359" s="23" t="s">
        <v>78</v>
      </c>
      <c r="B359" s="27" t="s">
        <v>9</v>
      </c>
      <c r="C359" s="21">
        <v>15</v>
      </c>
      <c r="D359" s="21">
        <v>3900000</v>
      </c>
      <c r="E359" s="21">
        <v>964501.2</v>
      </c>
      <c r="F359" s="21">
        <v>511092.70087947359</v>
      </c>
      <c r="G359" s="21">
        <f>Table84141941013242732394348535671421283544[[#This Row],[VỐN CP]]+Table84141941013242732394348535671421283544[[#This Row],[LỢI NHUẬN RÒNG]]</f>
        <v>4411092.7008794732</v>
      </c>
      <c r="H359" s="28"/>
      <c r="I359" s="11"/>
      <c r="J359" s="11"/>
    </row>
    <row r="360" spans="1:10" hidden="1" x14ac:dyDescent="0.3">
      <c r="A360" s="23" t="s">
        <v>78</v>
      </c>
      <c r="B360" s="27" t="s">
        <v>19</v>
      </c>
      <c r="C360" s="21">
        <v>5</v>
      </c>
      <c r="D360" s="21">
        <v>1300000</v>
      </c>
      <c r="E360" s="21">
        <v>321500.40000000002</v>
      </c>
      <c r="F360" s="21">
        <v>170364.23362649122</v>
      </c>
      <c r="G360" s="21">
        <f>Table84141941013242732394348535671421283544[[#This Row],[VỐN CP]]+Table84141941013242732394348535671421283544[[#This Row],[LỢI NHUẬN RÒNG]]</f>
        <v>1470364.2336264912</v>
      </c>
      <c r="H360" s="28"/>
      <c r="I360" s="11"/>
      <c r="J360" s="11"/>
    </row>
    <row r="361" spans="1:10" hidden="1" x14ac:dyDescent="0.3">
      <c r="A361" s="23" t="s">
        <v>78</v>
      </c>
      <c r="B361" s="27" t="s">
        <v>37</v>
      </c>
      <c r="C361" s="21">
        <v>15</v>
      </c>
      <c r="D361" s="21">
        <v>3900000</v>
      </c>
      <c r="E361" s="21">
        <v>964501.2</v>
      </c>
      <c r="F361" s="21">
        <v>511092.70087947359</v>
      </c>
      <c r="G361" s="21">
        <f>Table84141941013242732394348535671421283544[[#This Row],[VỐN CP]]+Table84141941013242732394348535671421283544[[#This Row],[LỢI NHUẬN RÒNG]]</f>
        <v>4411092.7008794732</v>
      </c>
      <c r="H361" s="28"/>
      <c r="I361" s="11"/>
      <c r="J361" s="11"/>
    </row>
    <row r="362" spans="1:10" hidden="1" x14ac:dyDescent="0.3">
      <c r="A362" s="23" t="s">
        <v>78</v>
      </c>
      <c r="B362" s="27" t="s">
        <v>31</v>
      </c>
      <c r="C362" s="21">
        <v>10</v>
      </c>
      <c r="D362" s="21">
        <v>2600000</v>
      </c>
      <c r="E362" s="21">
        <v>643000.80000000005</v>
      </c>
      <c r="F362" s="21">
        <v>340728.46725298243</v>
      </c>
      <c r="G362" s="21">
        <f>Table84141941013242732394348535671421283544[[#This Row],[VỐN CP]]+Table84141941013242732394348535671421283544[[#This Row],[LỢI NHUẬN RÒNG]]</f>
        <v>2940728.4672529823</v>
      </c>
      <c r="H362" s="28"/>
      <c r="I362" s="11"/>
      <c r="J362" s="11"/>
    </row>
    <row r="363" spans="1:10" hidden="1" x14ac:dyDescent="0.3">
      <c r="A363" s="23" t="s">
        <v>78</v>
      </c>
      <c r="B363" s="27" t="s">
        <v>15</v>
      </c>
      <c r="C363" s="21">
        <v>5</v>
      </c>
      <c r="D363" s="21">
        <v>1300000</v>
      </c>
      <c r="E363" s="21">
        <v>321500.40000000002</v>
      </c>
      <c r="F363" s="21">
        <v>170364.23362649122</v>
      </c>
      <c r="G363" s="21">
        <f>Table84141941013242732394348535671421283544[[#This Row],[VỐN CP]]+Table84141941013242732394348535671421283544[[#This Row],[LỢI NHUẬN RÒNG]]</f>
        <v>1470364.2336264912</v>
      </c>
      <c r="H363" s="28"/>
      <c r="I363" s="11"/>
      <c r="J363" s="11"/>
    </row>
    <row r="364" spans="1:10" hidden="1" x14ac:dyDescent="0.3">
      <c r="A364" s="23" t="s">
        <v>78</v>
      </c>
      <c r="B364" s="27" t="s">
        <v>21</v>
      </c>
      <c r="C364" s="21">
        <v>20</v>
      </c>
      <c r="D364" s="21">
        <v>5200000</v>
      </c>
      <c r="E364" s="21">
        <v>1286001.6000000001</v>
      </c>
      <c r="F364" s="21">
        <v>681456.93450596486</v>
      </c>
      <c r="G364" s="21">
        <f>Table84141941013242732394348535671421283544[[#This Row],[VỐN CP]]+Table84141941013242732394348535671421283544[[#This Row],[LỢI NHUẬN RÒNG]]</f>
        <v>5881456.9345059646</v>
      </c>
      <c r="H364" s="28"/>
      <c r="I364" s="11"/>
      <c r="J364" s="11"/>
    </row>
    <row r="365" spans="1:10" hidden="1" x14ac:dyDescent="0.3">
      <c r="A365" s="23" t="s">
        <v>78</v>
      </c>
      <c r="B365" s="27" t="s">
        <v>13</v>
      </c>
      <c r="C365" s="21">
        <v>5</v>
      </c>
      <c r="D365" s="21">
        <v>1300000</v>
      </c>
      <c r="E365" s="21">
        <v>321500.40000000002</v>
      </c>
      <c r="F365" s="21">
        <v>170364.23362649122</v>
      </c>
      <c r="G365" s="21">
        <f>Table84141941013242732394348535671421283544[[#This Row],[VỐN CP]]+Table84141941013242732394348535671421283544[[#This Row],[LỢI NHUẬN RÒNG]]</f>
        <v>1470364.2336264912</v>
      </c>
      <c r="H365" s="28"/>
      <c r="I365" s="11"/>
      <c r="J365" s="11"/>
    </row>
    <row r="366" spans="1:10" hidden="1" x14ac:dyDescent="0.3">
      <c r="A366" s="23" t="s">
        <v>78</v>
      </c>
      <c r="B366" s="27" t="s">
        <v>29</v>
      </c>
      <c r="C366" s="21">
        <v>5</v>
      </c>
      <c r="D366" s="21">
        <v>1300000</v>
      </c>
      <c r="E366" s="21">
        <v>321500.40000000002</v>
      </c>
      <c r="F366" s="21">
        <v>170364.23362649122</v>
      </c>
      <c r="G366" s="21">
        <f>Table84141941013242732394348535671421283544[[#This Row],[VỐN CP]]+Table84141941013242732394348535671421283544[[#This Row],[LỢI NHUẬN RÒNG]]</f>
        <v>1470364.2336264912</v>
      </c>
      <c r="H366" s="28"/>
      <c r="I366" s="11"/>
      <c r="J366" s="11"/>
    </row>
    <row r="367" spans="1:10" hidden="1" x14ac:dyDescent="0.3">
      <c r="A367" s="23" t="s">
        <v>78</v>
      </c>
      <c r="B367" s="27" t="s">
        <v>43</v>
      </c>
      <c r="C367" s="21">
        <v>5</v>
      </c>
      <c r="D367" s="21">
        <v>1300000</v>
      </c>
      <c r="E367" s="21">
        <v>321500.40000000002</v>
      </c>
      <c r="F367" s="21">
        <v>170364.23362649122</v>
      </c>
      <c r="G367" s="21">
        <f>Table84141941013242732394348535671421283544[[#This Row],[VỐN CP]]+Table84141941013242732394348535671421283544[[#This Row],[LỢI NHUẬN RÒNG]]</f>
        <v>1470364.2336264912</v>
      </c>
      <c r="H367" s="28"/>
      <c r="I367" s="11"/>
      <c r="J367" s="11"/>
    </row>
    <row r="368" spans="1:10" hidden="1" x14ac:dyDescent="0.3">
      <c r="A368" s="23" t="s">
        <v>78</v>
      </c>
      <c r="B368" s="27" t="s">
        <v>44</v>
      </c>
      <c r="C368" s="21">
        <v>5</v>
      </c>
      <c r="D368" s="21">
        <v>1300000</v>
      </c>
      <c r="E368" s="21">
        <v>321500.40000000002</v>
      </c>
      <c r="F368" s="21">
        <v>170364.23362649122</v>
      </c>
      <c r="G368" s="21">
        <f>Table84141941013242732394348535671421283544[[#This Row],[VỐN CP]]+Table84141941013242732394348535671421283544[[#This Row],[LỢI NHUẬN RÒNG]]</f>
        <v>1470364.2336264912</v>
      </c>
      <c r="H368" s="28"/>
      <c r="I368" s="11"/>
      <c r="J368" s="11"/>
    </row>
    <row r="369" spans="1:10" hidden="1" x14ac:dyDescent="0.3">
      <c r="A369" s="23" t="s">
        <v>78</v>
      </c>
      <c r="B369" s="27" t="s">
        <v>25</v>
      </c>
      <c r="C369" s="21">
        <v>10</v>
      </c>
      <c r="D369" s="21">
        <v>2600000</v>
      </c>
      <c r="E369" s="21">
        <v>643000.80000000005</v>
      </c>
      <c r="F369" s="21">
        <v>340728.46725298243</v>
      </c>
      <c r="G369" s="21">
        <f>Table84141941013242732394348535671421283544[[#This Row],[VỐN CP]]+Table84141941013242732394348535671421283544[[#This Row],[LỢI NHUẬN RÒNG]]</f>
        <v>2940728.4672529823</v>
      </c>
      <c r="H369" s="28"/>
      <c r="I369" s="11"/>
      <c r="J369" s="11"/>
    </row>
    <row r="370" spans="1:10" hidden="1" x14ac:dyDescent="0.3">
      <c r="A370" s="23" t="s">
        <v>79</v>
      </c>
      <c r="B370" s="27" t="s">
        <v>9</v>
      </c>
      <c r="C370" s="21">
        <v>30</v>
      </c>
      <c r="D370" s="21">
        <v>18000000</v>
      </c>
      <c r="E370" s="21">
        <v>4510797</v>
      </c>
      <c r="F370" s="21">
        <v>1029049.6318363756</v>
      </c>
      <c r="G370" s="21">
        <f>Table84141941013242732394348535671421283544[[#This Row],[VỐN CP]]+Table84141941013242732394348535671421283544[[#This Row],[LỢI NHUẬN RÒNG]]</f>
        <v>19029049.631836377</v>
      </c>
      <c r="H370" s="28"/>
      <c r="I370" s="11"/>
      <c r="J370" s="11"/>
    </row>
    <row r="371" spans="1:10" hidden="1" x14ac:dyDescent="0.3">
      <c r="A371" s="23" t="s">
        <v>79</v>
      </c>
      <c r="B371" s="27" t="s">
        <v>37</v>
      </c>
      <c r="C371" s="21">
        <v>30</v>
      </c>
      <c r="D371" s="21">
        <v>18000000</v>
      </c>
      <c r="E371" s="21">
        <v>4510797</v>
      </c>
      <c r="F371" s="21">
        <v>1029049.6318363756</v>
      </c>
      <c r="G371" s="21">
        <f>Table84141941013242732394348535671421283544[[#This Row],[VỐN CP]]+Table84141941013242732394348535671421283544[[#This Row],[LỢI NHUẬN RÒNG]]</f>
        <v>19029049.631836377</v>
      </c>
      <c r="H371" s="28"/>
      <c r="I371" s="11"/>
      <c r="J371" s="11"/>
    </row>
    <row r="372" spans="1:10" hidden="1" x14ac:dyDescent="0.3">
      <c r="A372" s="23" t="s">
        <v>79</v>
      </c>
      <c r="B372" s="27" t="s">
        <v>21</v>
      </c>
      <c r="C372" s="21">
        <v>30</v>
      </c>
      <c r="D372" s="21">
        <v>18000000</v>
      </c>
      <c r="E372" s="21">
        <v>4510797</v>
      </c>
      <c r="F372" s="21">
        <v>1029049.6318363756</v>
      </c>
      <c r="G372" s="21">
        <f>Table84141941013242732394348535671421283544[[#This Row],[VỐN CP]]+Table84141941013242732394348535671421283544[[#This Row],[LỢI NHUẬN RÒNG]]</f>
        <v>19029049.631836377</v>
      </c>
      <c r="H372" s="28"/>
      <c r="I372" s="11"/>
      <c r="J372" s="11"/>
    </row>
    <row r="373" spans="1:10" hidden="1" x14ac:dyDescent="0.3">
      <c r="A373" s="23" t="s">
        <v>79</v>
      </c>
      <c r="B373" s="27" t="s">
        <v>10</v>
      </c>
      <c r="C373" s="21">
        <v>10</v>
      </c>
      <c r="D373" s="21">
        <v>6000000</v>
      </c>
      <c r="E373" s="21">
        <v>1503599</v>
      </c>
      <c r="F373" s="21">
        <v>343016.54394545854</v>
      </c>
      <c r="G373" s="21">
        <f>Table84141941013242732394348535671421283544[[#This Row],[VỐN CP]]+Table84141941013242732394348535671421283544[[#This Row],[LỢI NHUẬN RÒNG]]</f>
        <v>6343016.5439454587</v>
      </c>
      <c r="H373" s="28"/>
      <c r="I373" s="11"/>
      <c r="J373" s="11"/>
    </row>
    <row r="374" spans="1:10" hidden="1" x14ac:dyDescent="0.3">
      <c r="A374" s="23" t="s">
        <v>80</v>
      </c>
      <c r="B374" s="27" t="s">
        <v>9</v>
      </c>
      <c r="C374" s="21">
        <v>30</v>
      </c>
      <c r="D374" s="21">
        <v>15000000</v>
      </c>
      <c r="E374" s="21">
        <v>6846717</v>
      </c>
      <c r="F374" s="21">
        <v>5143949.8027795898</v>
      </c>
      <c r="G374" s="21">
        <f>Table84141941013242732394348535671421283544[[#This Row],[VỐN CP]]+Table84141941013242732394348535671421283544[[#This Row],[LỢI NHUẬN RÒNG]]</f>
        <v>20143949.802779589</v>
      </c>
      <c r="H374" s="28"/>
      <c r="I374" s="11"/>
      <c r="J374" s="11"/>
    </row>
    <row r="375" spans="1:10" hidden="1" x14ac:dyDescent="0.3">
      <c r="A375" s="23" t="s">
        <v>80</v>
      </c>
      <c r="B375" s="27" t="s">
        <v>37</v>
      </c>
      <c r="C375" s="21">
        <v>40</v>
      </c>
      <c r="D375" s="21">
        <v>20000000</v>
      </c>
      <c r="E375" s="21">
        <v>9128956</v>
      </c>
      <c r="F375" s="21">
        <v>6858599.7370394524</v>
      </c>
      <c r="G375" s="21">
        <f>Table84141941013242732394348535671421283544[[#This Row],[VỐN CP]]+Table84141941013242732394348535671421283544[[#This Row],[LỢI NHUẬN RÒNG]]</f>
        <v>26858599.737039454</v>
      </c>
      <c r="H375" s="28"/>
      <c r="I375" s="11"/>
      <c r="J375" s="11"/>
    </row>
    <row r="376" spans="1:10" hidden="1" x14ac:dyDescent="0.3">
      <c r="A376" s="23" t="s">
        <v>80</v>
      </c>
      <c r="B376" s="27" t="s">
        <v>21</v>
      </c>
      <c r="C376" s="21">
        <v>20</v>
      </c>
      <c r="D376" s="21">
        <v>10000000</v>
      </c>
      <c r="E376" s="21">
        <v>4564478</v>
      </c>
      <c r="F376" s="21">
        <v>3429299.8685197262</v>
      </c>
      <c r="G376" s="21">
        <f>Table84141941013242732394348535671421283544[[#This Row],[VỐN CP]]+Table84141941013242732394348535671421283544[[#This Row],[LỢI NHUẬN RÒNG]]</f>
        <v>13429299.868519727</v>
      </c>
      <c r="H376" s="28"/>
      <c r="I376" s="11"/>
      <c r="J376" s="11"/>
    </row>
    <row r="377" spans="1:10" hidden="1" x14ac:dyDescent="0.3">
      <c r="A377" s="23" t="s">
        <v>80</v>
      </c>
      <c r="B377" s="27" t="s">
        <v>10</v>
      </c>
      <c r="C377" s="21">
        <v>10</v>
      </c>
      <c r="D377" s="21">
        <v>5000000</v>
      </c>
      <c r="E377" s="21">
        <v>2282239</v>
      </c>
      <c r="F377" s="21">
        <v>1714649.9342598631</v>
      </c>
      <c r="G377" s="21">
        <f>Table84141941013242732394348535671421283544[[#This Row],[VỐN CP]]+Table84141941013242732394348535671421283544[[#This Row],[LỢI NHUẬN RÒNG]]</f>
        <v>6714649.9342598636</v>
      </c>
      <c r="H377" s="28"/>
      <c r="I377" s="11"/>
      <c r="J377" s="11"/>
    </row>
    <row r="378" spans="1:10" hidden="1" x14ac:dyDescent="0.3">
      <c r="A378" s="23" t="s">
        <v>81</v>
      </c>
      <c r="B378" s="27" t="s">
        <v>9</v>
      </c>
      <c r="C378" s="21">
        <v>15</v>
      </c>
      <c r="D378" s="21">
        <v>4500000</v>
      </c>
      <c r="E378" s="21">
        <v>2147534.85</v>
      </c>
      <c r="F378" s="21">
        <v>1331640.8373547699</v>
      </c>
      <c r="G378" s="21">
        <f>Table84141941013242732394348535671421283544[[#This Row],[VỐN CP]]+Table84141941013242732394348535671421283544[[#This Row],[LỢI NHUẬN RÒNG]]</f>
        <v>5831640.8373547699</v>
      </c>
      <c r="H378" s="28"/>
      <c r="I378" s="11"/>
      <c r="J378" s="11"/>
    </row>
    <row r="379" spans="1:10" hidden="1" x14ac:dyDescent="0.3">
      <c r="A379" s="23" t="s">
        <v>81</v>
      </c>
      <c r="B379" s="27" t="s">
        <v>19</v>
      </c>
      <c r="C379" s="21">
        <v>5</v>
      </c>
      <c r="D379" s="21">
        <v>1500000</v>
      </c>
      <c r="E379" s="21">
        <v>715844.95</v>
      </c>
      <c r="F379" s="21">
        <v>443880.27911825664</v>
      </c>
      <c r="G379" s="21">
        <f>Table84141941013242732394348535671421283544[[#This Row],[VỐN CP]]+Table84141941013242732394348535671421283544[[#This Row],[LỢI NHUẬN RÒNG]]</f>
        <v>1943880.2791182566</v>
      </c>
      <c r="H379" s="28"/>
      <c r="I379" s="11"/>
      <c r="J379" s="11"/>
    </row>
    <row r="380" spans="1:10" hidden="1" x14ac:dyDescent="0.3">
      <c r="A380" s="23" t="s">
        <v>81</v>
      </c>
      <c r="B380" s="27" t="s">
        <v>37</v>
      </c>
      <c r="C380" s="21">
        <v>15</v>
      </c>
      <c r="D380" s="21">
        <v>4500000</v>
      </c>
      <c r="E380" s="21">
        <v>2147534.85</v>
      </c>
      <c r="F380" s="21">
        <v>1331640.8373547699</v>
      </c>
      <c r="G380" s="21">
        <f>Table84141941013242732394348535671421283544[[#This Row],[VỐN CP]]+Table84141941013242732394348535671421283544[[#This Row],[LỢI NHUẬN RÒNG]]</f>
        <v>5831640.8373547699</v>
      </c>
      <c r="H380" s="28"/>
      <c r="I380" s="11"/>
      <c r="J380" s="11"/>
    </row>
    <row r="381" spans="1:10" hidden="1" x14ac:dyDescent="0.3">
      <c r="A381" s="23" t="s">
        <v>81</v>
      </c>
      <c r="B381" s="27" t="s">
        <v>31</v>
      </c>
      <c r="C381" s="21">
        <v>5</v>
      </c>
      <c r="D381" s="21">
        <v>1500000</v>
      </c>
      <c r="E381" s="21">
        <v>715844.95</v>
      </c>
      <c r="F381" s="21">
        <v>443880.27911825664</v>
      </c>
      <c r="G381" s="21">
        <f>Table84141941013242732394348535671421283544[[#This Row],[VỐN CP]]+Table84141941013242732394348535671421283544[[#This Row],[LỢI NHUẬN RÒNG]]</f>
        <v>1943880.2791182566</v>
      </c>
      <c r="H381" s="28"/>
      <c r="I381" s="11"/>
      <c r="J381" s="11"/>
    </row>
    <row r="382" spans="1:10" hidden="1" x14ac:dyDescent="0.3">
      <c r="A382" s="23" t="s">
        <v>81</v>
      </c>
      <c r="B382" s="27" t="s">
        <v>15</v>
      </c>
      <c r="C382" s="21">
        <v>5</v>
      </c>
      <c r="D382" s="21">
        <v>1500000</v>
      </c>
      <c r="E382" s="21">
        <v>715844.95</v>
      </c>
      <c r="F382" s="21">
        <v>443880.27911825664</v>
      </c>
      <c r="G382" s="21">
        <f>Table84141941013242732394348535671421283544[[#This Row],[VỐN CP]]+Table84141941013242732394348535671421283544[[#This Row],[LỢI NHUẬN RÒNG]]</f>
        <v>1943880.2791182566</v>
      </c>
      <c r="H382" s="28"/>
      <c r="I382" s="11"/>
      <c r="J382" s="11"/>
    </row>
    <row r="383" spans="1:10" hidden="1" x14ac:dyDescent="0.3">
      <c r="A383" s="23" t="s">
        <v>81</v>
      </c>
      <c r="B383" s="27" t="s">
        <v>21</v>
      </c>
      <c r="C383" s="21">
        <v>15</v>
      </c>
      <c r="D383" s="21">
        <v>4500000</v>
      </c>
      <c r="E383" s="21">
        <v>2147534.85</v>
      </c>
      <c r="F383" s="21">
        <v>1331640.8373547699</v>
      </c>
      <c r="G383" s="21">
        <f>Table84141941013242732394348535671421283544[[#This Row],[VỐN CP]]+Table84141941013242732394348535671421283544[[#This Row],[LỢI NHUẬN RÒNG]]</f>
        <v>5831640.8373547699</v>
      </c>
      <c r="H383" s="28"/>
      <c r="I383" s="11"/>
      <c r="J383" s="11"/>
    </row>
    <row r="384" spans="1:10" hidden="1" x14ac:dyDescent="0.3">
      <c r="A384" s="23" t="s">
        <v>81</v>
      </c>
      <c r="B384" s="27" t="s">
        <v>10</v>
      </c>
      <c r="C384" s="21">
        <v>5</v>
      </c>
      <c r="D384" s="21">
        <v>1500000</v>
      </c>
      <c r="E384" s="21">
        <v>715844.95</v>
      </c>
      <c r="F384" s="21">
        <v>443880.27911825664</v>
      </c>
      <c r="G384" s="21">
        <f>Table84141941013242732394348535671421283544[[#This Row],[VỐN CP]]+Table84141941013242732394348535671421283544[[#This Row],[LỢI NHUẬN RÒNG]]</f>
        <v>1943880.2791182566</v>
      </c>
      <c r="H384" s="28"/>
      <c r="I384" s="11"/>
      <c r="J384" s="11"/>
    </row>
    <row r="385" spans="1:10" hidden="1" x14ac:dyDescent="0.3">
      <c r="A385" s="23" t="s">
        <v>81</v>
      </c>
      <c r="B385" s="27" t="s">
        <v>13</v>
      </c>
      <c r="C385" s="21">
        <v>10</v>
      </c>
      <c r="D385" s="21">
        <v>3000000</v>
      </c>
      <c r="E385" s="21">
        <v>1431689.9</v>
      </c>
      <c r="F385" s="21">
        <v>887760.55823651329</v>
      </c>
      <c r="G385" s="21">
        <f>Table84141941013242732394348535671421283544[[#This Row],[VỐN CP]]+Table84141941013242732394348535671421283544[[#This Row],[LỢI NHUẬN RÒNG]]</f>
        <v>3887760.5582365133</v>
      </c>
      <c r="H385" s="28"/>
      <c r="I385" s="11"/>
      <c r="J385" s="11"/>
    </row>
    <row r="386" spans="1:10" hidden="1" x14ac:dyDescent="0.3">
      <c r="A386" s="23" t="s">
        <v>81</v>
      </c>
      <c r="B386" s="27" t="s">
        <v>35</v>
      </c>
      <c r="C386" s="21">
        <v>5</v>
      </c>
      <c r="D386" s="21">
        <v>1500000</v>
      </c>
      <c r="E386" s="21">
        <v>715844.95</v>
      </c>
      <c r="F386" s="21">
        <v>443880.27911825664</v>
      </c>
      <c r="G386" s="21">
        <f>Table84141941013242732394348535671421283544[[#This Row],[VỐN CP]]+Table84141941013242732394348535671421283544[[#This Row],[LỢI NHUẬN RÒNG]]</f>
        <v>1943880.2791182566</v>
      </c>
      <c r="H386" s="28"/>
      <c r="I386" s="11"/>
      <c r="J386" s="11"/>
    </row>
    <row r="387" spans="1:10" hidden="1" x14ac:dyDescent="0.3">
      <c r="A387" s="23" t="s">
        <v>81</v>
      </c>
      <c r="B387" s="27" t="s">
        <v>43</v>
      </c>
      <c r="C387" s="21">
        <v>10</v>
      </c>
      <c r="D387" s="21">
        <v>3000000</v>
      </c>
      <c r="E387" s="21">
        <v>1431689.9</v>
      </c>
      <c r="F387" s="21">
        <v>887760.55823651329</v>
      </c>
      <c r="G387" s="21">
        <f>Table84141941013242732394348535671421283544[[#This Row],[VỐN CP]]+Table84141941013242732394348535671421283544[[#This Row],[LỢI NHUẬN RÒNG]]</f>
        <v>3887760.5582365133</v>
      </c>
      <c r="H387" s="28"/>
      <c r="I387" s="11"/>
      <c r="J387" s="11"/>
    </row>
    <row r="388" spans="1:10" hidden="1" x14ac:dyDescent="0.3">
      <c r="A388" s="23" t="s">
        <v>81</v>
      </c>
      <c r="B388" s="27" t="s">
        <v>25</v>
      </c>
      <c r="C388" s="21">
        <v>10</v>
      </c>
      <c r="D388" s="21">
        <v>3000000</v>
      </c>
      <c r="E388" s="21">
        <v>1431689.9</v>
      </c>
      <c r="F388" s="21">
        <v>887760.55823651329</v>
      </c>
      <c r="G388" s="21">
        <f>Table84141941013242732394348535671421283544[[#This Row],[VỐN CP]]+Table84141941013242732394348535671421283544[[#This Row],[LỢI NHUẬN RÒNG]]</f>
        <v>3887760.5582365133</v>
      </c>
      <c r="H388" s="28"/>
      <c r="I388" s="11"/>
      <c r="J388" s="11"/>
    </row>
    <row r="389" spans="1:10" hidden="1" x14ac:dyDescent="0.3">
      <c r="A389" s="23" t="s">
        <v>82</v>
      </c>
      <c r="B389" s="27" t="s">
        <v>9</v>
      </c>
      <c r="C389" s="21">
        <v>25</v>
      </c>
      <c r="D389" s="21">
        <v>4000000</v>
      </c>
      <c r="E389" s="21">
        <v>4534491.75</v>
      </c>
      <c r="F389" s="21">
        <v>3443974.4728076179</v>
      </c>
      <c r="G389" s="21">
        <f>Table84141941013242732394348535671421283544[[#This Row],[VỐN CP]]+Table84141941013242732394348535671421283544[[#This Row],[LỢI NHUẬN RÒNG]]</f>
        <v>7443974.4728076179</v>
      </c>
      <c r="H389" s="28"/>
      <c r="I389" s="11"/>
      <c r="J389" s="11"/>
    </row>
    <row r="390" spans="1:10" hidden="1" x14ac:dyDescent="0.3">
      <c r="A390" s="23" t="s">
        <v>82</v>
      </c>
      <c r="B390" s="27" t="s">
        <v>19</v>
      </c>
      <c r="C390" s="21">
        <v>20</v>
      </c>
      <c r="D390" s="21">
        <v>3200000</v>
      </c>
      <c r="E390" s="21">
        <v>3627593.4</v>
      </c>
      <c r="F390" s="21">
        <v>2755179.5782460938</v>
      </c>
      <c r="G390" s="21">
        <f>Table84141941013242732394348535671421283544[[#This Row],[VỐN CP]]+Table84141941013242732394348535671421283544[[#This Row],[LỢI NHUẬN RÒNG]]</f>
        <v>5955179.5782460943</v>
      </c>
      <c r="H390" s="28"/>
      <c r="I390" s="11"/>
      <c r="J390" s="11"/>
    </row>
    <row r="391" spans="1:10" hidden="1" x14ac:dyDescent="0.3">
      <c r="A391" s="23" t="s">
        <v>82</v>
      </c>
      <c r="B391" s="27" t="s">
        <v>37</v>
      </c>
      <c r="C391" s="21">
        <v>25</v>
      </c>
      <c r="D391" s="21">
        <v>4000000</v>
      </c>
      <c r="E391" s="21">
        <v>4534491.75</v>
      </c>
      <c r="F391" s="21">
        <v>3443974.4728076179</v>
      </c>
      <c r="G391" s="21">
        <f>Table84141941013242732394348535671421283544[[#This Row],[VỐN CP]]+Table84141941013242732394348535671421283544[[#This Row],[LỢI NHUẬN RÒNG]]</f>
        <v>7443974.4728076179</v>
      </c>
      <c r="H391" s="28"/>
      <c r="I391" s="11"/>
      <c r="J391" s="11"/>
    </row>
    <row r="392" spans="1:10" hidden="1" x14ac:dyDescent="0.3">
      <c r="A392" s="23" t="s">
        <v>82</v>
      </c>
      <c r="B392" s="27" t="s">
        <v>21</v>
      </c>
      <c r="C392" s="21">
        <v>25</v>
      </c>
      <c r="D392" s="21">
        <v>4000000</v>
      </c>
      <c r="E392" s="21">
        <v>4534491.75</v>
      </c>
      <c r="F392" s="21">
        <v>3443974.4728076179</v>
      </c>
      <c r="G392" s="21">
        <f>Table84141941013242732394348535671421283544[[#This Row],[VỐN CP]]+Table84141941013242732394348535671421283544[[#This Row],[LỢI NHUẬN RÒNG]]</f>
        <v>7443974.4728076179</v>
      </c>
      <c r="H392" s="28"/>
      <c r="I392" s="11"/>
      <c r="J392" s="11"/>
    </row>
    <row r="393" spans="1:10" hidden="1" x14ac:dyDescent="0.3">
      <c r="A393" s="23" t="s">
        <v>82</v>
      </c>
      <c r="B393" s="27" t="s">
        <v>10</v>
      </c>
      <c r="C393" s="21">
        <v>5</v>
      </c>
      <c r="D393" s="21">
        <v>800000</v>
      </c>
      <c r="E393" s="21">
        <v>906898.35</v>
      </c>
      <c r="F393" s="21">
        <v>688794.89456152346</v>
      </c>
      <c r="G393" s="21">
        <f>Table84141941013242732394348535671421283544[[#This Row],[VỐN CP]]+Table84141941013242732394348535671421283544[[#This Row],[LỢI NHUẬN RÒNG]]</f>
        <v>1488794.8945615236</v>
      </c>
      <c r="H393" s="28"/>
      <c r="I393" s="11"/>
      <c r="J393" s="11"/>
    </row>
    <row r="394" spans="1:10" hidden="1" x14ac:dyDescent="0.3">
      <c r="A394" s="23" t="s">
        <v>83</v>
      </c>
      <c r="B394" s="27" t="s">
        <v>9</v>
      </c>
      <c r="C394" s="21">
        <v>20</v>
      </c>
      <c r="D394" s="21">
        <v>8200000</v>
      </c>
      <c r="E394" s="21">
        <v>1283044.2</v>
      </c>
      <c r="F394" s="21">
        <v>627535.91702521592</v>
      </c>
      <c r="G394" s="21">
        <f>Table84141941013242732394348535671421283544[[#This Row],[VỐN CP]]+Table84141941013242732394348535671421283544[[#This Row],[LỢI NHUẬN RÒNG]]</f>
        <v>8827535.9170252159</v>
      </c>
      <c r="H394" s="28"/>
      <c r="I394" s="11"/>
      <c r="J394" s="11"/>
    </row>
    <row r="395" spans="1:10" hidden="1" x14ac:dyDescent="0.3">
      <c r="A395" s="23" t="s">
        <v>83</v>
      </c>
      <c r="B395" s="27" t="s">
        <v>19</v>
      </c>
      <c r="C395" s="21">
        <v>5</v>
      </c>
      <c r="D395" s="21">
        <v>2050000</v>
      </c>
      <c r="E395" s="21">
        <v>320761.05</v>
      </c>
      <c r="F395" s="21">
        <v>156883.97925630398</v>
      </c>
      <c r="G395" s="21">
        <f>Table84141941013242732394348535671421283544[[#This Row],[VỐN CP]]+Table84141941013242732394348535671421283544[[#This Row],[LỢI NHUẬN RÒNG]]</f>
        <v>2206883.979256304</v>
      </c>
      <c r="H395" s="28"/>
      <c r="I395" s="11"/>
      <c r="J395" s="11"/>
    </row>
    <row r="396" spans="1:10" hidden="1" x14ac:dyDescent="0.3">
      <c r="A396" s="23" t="s">
        <v>83</v>
      </c>
      <c r="B396" s="27" t="s">
        <v>37</v>
      </c>
      <c r="C396" s="21">
        <v>10</v>
      </c>
      <c r="D396" s="21">
        <v>4100000</v>
      </c>
      <c r="E396" s="21">
        <v>641522.1</v>
      </c>
      <c r="F396" s="21">
        <v>313767.95851260796</v>
      </c>
      <c r="G396" s="21">
        <f>Table84141941013242732394348535671421283544[[#This Row],[VỐN CP]]+Table84141941013242732394348535671421283544[[#This Row],[LỢI NHUẬN RÒNG]]</f>
        <v>4413767.958512608</v>
      </c>
      <c r="H396" s="28"/>
      <c r="I396" s="11"/>
      <c r="J396" s="11"/>
    </row>
    <row r="397" spans="1:10" hidden="1" x14ac:dyDescent="0.3">
      <c r="A397" s="23" t="s">
        <v>83</v>
      </c>
      <c r="B397" s="27" t="s">
        <v>31</v>
      </c>
      <c r="C397" s="21">
        <v>20</v>
      </c>
      <c r="D397" s="21">
        <v>8200000</v>
      </c>
      <c r="E397" s="21">
        <v>1283044.2</v>
      </c>
      <c r="F397" s="21">
        <v>627535.91702521592</v>
      </c>
      <c r="G397" s="21">
        <f>Table84141941013242732394348535671421283544[[#This Row],[VỐN CP]]+Table84141941013242732394348535671421283544[[#This Row],[LỢI NHUẬN RÒNG]]</f>
        <v>8827535.9170252159</v>
      </c>
      <c r="H397" s="28"/>
      <c r="I397" s="11"/>
      <c r="J397" s="11"/>
    </row>
    <row r="398" spans="1:10" hidden="1" x14ac:dyDescent="0.3">
      <c r="A398" s="23" t="s">
        <v>83</v>
      </c>
      <c r="B398" s="27" t="s">
        <v>21</v>
      </c>
      <c r="C398" s="21">
        <v>20</v>
      </c>
      <c r="D398" s="21">
        <v>8200000</v>
      </c>
      <c r="E398" s="21">
        <v>1283044.2</v>
      </c>
      <c r="F398" s="21">
        <v>627535.91702521592</v>
      </c>
      <c r="G398" s="21">
        <f>Table84141941013242732394348535671421283544[[#This Row],[VỐN CP]]+Table84141941013242732394348535671421283544[[#This Row],[LỢI NHUẬN RÒNG]]</f>
        <v>8827535.9170252159</v>
      </c>
      <c r="H398" s="28"/>
      <c r="I398" s="11"/>
      <c r="J398" s="11"/>
    </row>
    <row r="399" spans="1:10" hidden="1" x14ac:dyDescent="0.3">
      <c r="A399" s="23" t="s">
        <v>83</v>
      </c>
      <c r="B399" s="27" t="s">
        <v>35</v>
      </c>
      <c r="C399" s="21">
        <v>5</v>
      </c>
      <c r="D399" s="21">
        <v>2050000</v>
      </c>
      <c r="E399" s="21">
        <v>320761.05</v>
      </c>
      <c r="F399" s="21">
        <v>156883.97925630398</v>
      </c>
      <c r="G399" s="21">
        <f>Table84141941013242732394348535671421283544[[#This Row],[VỐN CP]]+Table84141941013242732394348535671421283544[[#This Row],[LỢI NHUẬN RÒNG]]</f>
        <v>2206883.979256304</v>
      </c>
      <c r="H399" s="28"/>
      <c r="I399" s="11"/>
      <c r="J399" s="11"/>
    </row>
    <row r="400" spans="1:10" hidden="1" x14ac:dyDescent="0.3">
      <c r="A400" s="23" t="s">
        <v>83</v>
      </c>
      <c r="B400" s="27" t="s">
        <v>43</v>
      </c>
      <c r="C400" s="21">
        <v>10</v>
      </c>
      <c r="D400" s="21">
        <v>4100000</v>
      </c>
      <c r="E400" s="21">
        <v>641522.1</v>
      </c>
      <c r="F400" s="21">
        <v>313767.95851260796</v>
      </c>
      <c r="G400" s="21">
        <f>Table84141941013242732394348535671421283544[[#This Row],[VỐN CP]]+Table84141941013242732394348535671421283544[[#This Row],[LỢI NHUẬN RÒNG]]</f>
        <v>4413767.958512608</v>
      </c>
      <c r="H400" s="28"/>
      <c r="I400" s="11"/>
      <c r="J400" s="11"/>
    </row>
    <row r="401" spans="1:11" hidden="1" x14ac:dyDescent="0.3">
      <c r="A401" s="23" t="s">
        <v>83</v>
      </c>
      <c r="B401" s="27" t="s">
        <v>25</v>
      </c>
      <c r="C401" s="21">
        <v>10</v>
      </c>
      <c r="D401" s="21">
        <v>4100000</v>
      </c>
      <c r="E401" s="21">
        <v>641522.1</v>
      </c>
      <c r="F401" s="21">
        <v>313767.95851260796</v>
      </c>
      <c r="G401" s="21">
        <f>Table84141941013242732394348535671421283544[[#This Row],[VỐN CP]]+Table84141941013242732394348535671421283544[[#This Row],[LỢI NHUẬN RÒNG]]</f>
        <v>4413767.958512608</v>
      </c>
      <c r="H401" s="28"/>
      <c r="I401" s="11"/>
      <c r="J401" s="11"/>
    </row>
    <row r="402" spans="1:11" hidden="1" x14ac:dyDescent="0.3">
      <c r="A402" s="23" t="s">
        <v>84</v>
      </c>
      <c r="B402" s="27" t="s">
        <v>9</v>
      </c>
      <c r="C402" s="21">
        <v>20</v>
      </c>
      <c r="D402" s="21">
        <v>19000000</v>
      </c>
      <c r="E402" s="21">
        <v>3348874.8</v>
      </c>
      <c r="F402" s="21">
        <v>767198.83526957035</v>
      </c>
      <c r="G402" s="21">
        <f>Table84141941013242732394348535671421283544[[#This Row],[VỐN CP]]+Table84141941013242732394348535671421283544[[#This Row],[LỢI NHUẬN RÒNG]]</f>
        <v>19767198.83526957</v>
      </c>
      <c r="H402" s="28"/>
      <c r="I402" s="11"/>
      <c r="J402" s="11"/>
    </row>
    <row r="403" spans="1:11" hidden="1" x14ac:dyDescent="0.3">
      <c r="A403" s="23" t="s">
        <v>84</v>
      </c>
      <c r="B403" s="27" t="s">
        <v>19</v>
      </c>
      <c r="C403" s="21">
        <v>10</v>
      </c>
      <c r="D403" s="21">
        <v>9500000</v>
      </c>
      <c r="E403" s="21">
        <v>1674437.4</v>
      </c>
      <c r="F403" s="21">
        <v>383599.41763478518</v>
      </c>
      <c r="G403" s="21">
        <f>Table84141941013242732394348535671421283544[[#This Row],[VỐN CP]]+Table84141941013242732394348535671421283544[[#This Row],[LỢI NHUẬN RÒNG]]</f>
        <v>9883599.4176347852</v>
      </c>
      <c r="H403" s="28"/>
      <c r="I403" s="11"/>
      <c r="J403" s="11"/>
    </row>
    <row r="404" spans="1:11" hidden="1" x14ac:dyDescent="0.3">
      <c r="A404" s="23" t="s">
        <v>84</v>
      </c>
      <c r="B404" s="27" t="s">
        <v>37</v>
      </c>
      <c r="C404" s="21">
        <v>10</v>
      </c>
      <c r="D404" s="21">
        <v>9500000</v>
      </c>
      <c r="E404" s="21">
        <v>1674437.4</v>
      </c>
      <c r="F404" s="21">
        <v>383599.41763478518</v>
      </c>
      <c r="G404" s="21">
        <f>Table84141941013242732394348535671421283544[[#This Row],[VỐN CP]]+Table84141941013242732394348535671421283544[[#This Row],[LỢI NHUẬN RÒNG]]</f>
        <v>9883599.4176347852</v>
      </c>
      <c r="H404" s="28"/>
      <c r="I404" s="11"/>
      <c r="J404" s="11"/>
    </row>
    <row r="405" spans="1:11" hidden="1" x14ac:dyDescent="0.3">
      <c r="A405" s="23" t="s">
        <v>84</v>
      </c>
      <c r="B405" s="27" t="s">
        <v>31</v>
      </c>
      <c r="C405" s="21">
        <v>20</v>
      </c>
      <c r="D405" s="21">
        <v>19000000</v>
      </c>
      <c r="E405" s="21">
        <v>3348874.8</v>
      </c>
      <c r="F405" s="21">
        <v>767198.83526957035</v>
      </c>
      <c r="G405" s="21">
        <f>Table84141941013242732394348535671421283544[[#This Row],[VỐN CP]]+Table84141941013242732394348535671421283544[[#This Row],[LỢI NHUẬN RÒNG]]</f>
        <v>19767198.83526957</v>
      </c>
      <c r="H405" s="28"/>
      <c r="I405" s="11"/>
      <c r="J405" s="11"/>
    </row>
    <row r="406" spans="1:11" hidden="1" x14ac:dyDescent="0.3">
      <c r="A406" s="23" t="s">
        <v>84</v>
      </c>
      <c r="B406" s="27" t="s">
        <v>21</v>
      </c>
      <c r="C406" s="21">
        <v>20</v>
      </c>
      <c r="D406" s="21">
        <v>19000000</v>
      </c>
      <c r="E406" s="21">
        <v>3348874.8</v>
      </c>
      <c r="F406" s="21">
        <v>767198.83526957035</v>
      </c>
      <c r="G406" s="21">
        <f>Table84141941013242732394348535671421283544[[#This Row],[VỐN CP]]+Table84141941013242732394348535671421283544[[#This Row],[LỢI NHUẬN RÒNG]]</f>
        <v>19767198.83526957</v>
      </c>
      <c r="H406" s="28"/>
      <c r="I406" s="11"/>
      <c r="J406" s="11"/>
    </row>
    <row r="407" spans="1:11" hidden="1" x14ac:dyDescent="0.3">
      <c r="A407" s="23" t="s">
        <v>84</v>
      </c>
      <c r="B407" s="27" t="s">
        <v>29</v>
      </c>
      <c r="C407" s="21">
        <v>5</v>
      </c>
      <c r="D407" s="21">
        <v>4750000</v>
      </c>
      <c r="E407" s="21">
        <v>837218.7</v>
      </c>
      <c r="F407" s="21">
        <v>191799.70881739259</v>
      </c>
      <c r="G407" s="21">
        <f>Table84141941013242732394348535671421283544[[#This Row],[VỐN CP]]+Table84141941013242732394348535671421283544[[#This Row],[LỢI NHUẬN RÒNG]]</f>
        <v>4941799.7088173926</v>
      </c>
      <c r="H407" s="28"/>
      <c r="I407" s="11"/>
      <c r="J407" s="11"/>
    </row>
    <row r="408" spans="1:11" hidden="1" x14ac:dyDescent="0.3">
      <c r="A408" s="23" t="s">
        <v>84</v>
      </c>
      <c r="B408" s="27" t="s">
        <v>43</v>
      </c>
      <c r="C408" s="21">
        <v>10</v>
      </c>
      <c r="D408" s="21">
        <v>9500000</v>
      </c>
      <c r="E408" s="21">
        <v>1674437.4</v>
      </c>
      <c r="F408" s="21">
        <v>383599.41763478518</v>
      </c>
      <c r="G408" s="21">
        <f>Table84141941013242732394348535671421283544[[#This Row],[VỐN CP]]+Table84141941013242732394348535671421283544[[#This Row],[LỢI NHUẬN RÒNG]]</f>
        <v>9883599.4176347852</v>
      </c>
      <c r="H408" s="28"/>
      <c r="I408" s="11"/>
      <c r="J408" s="11"/>
    </row>
    <row r="409" spans="1:11" hidden="1" x14ac:dyDescent="0.3">
      <c r="A409" s="23" t="s">
        <v>84</v>
      </c>
      <c r="B409" s="27" t="s">
        <v>25</v>
      </c>
      <c r="C409" s="21">
        <v>5</v>
      </c>
      <c r="D409" s="21">
        <v>4750000</v>
      </c>
      <c r="E409" s="21">
        <v>837218.7</v>
      </c>
      <c r="F409" s="21">
        <v>191799.70881739259</v>
      </c>
      <c r="G409" s="21">
        <f>Table84141941013242732394348535671421283544[[#This Row],[VỐN CP]]+Table84141941013242732394348535671421283544[[#This Row],[LỢI NHUẬN RÒNG]]</f>
        <v>4941799.7088173926</v>
      </c>
      <c r="H409" s="28"/>
      <c r="I409" s="11"/>
      <c r="J409" s="11"/>
    </row>
    <row r="410" spans="1:11" x14ac:dyDescent="0.3">
      <c r="A410" s="23"/>
      <c r="B410" s="21"/>
      <c r="C410" s="21"/>
      <c r="D410" s="21">
        <f>SUBTOTAL(109,Table84141941013242732394348535671421283544[VỐN CP])</f>
        <v>61358333.333333336</v>
      </c>
      <c r="E410" s="21">
        <f>SUBTOTAL(109,Table84141941013242732394348535671421283544[LỢI NHUẬN GỘP])</f>
        <v>27591505.58333334</v>
      </c>
      <c r="F410" s="21">
        <f>SUBTOTAL(109,Table84141941013242732394348535671421283544[LỢI NHUẬN RÒNG])</f>
        <v>18560729.635340985</v>
      </c>
      <c r="G410" s="21">
        <f>SUBTOTAL(109,Table84141941013242732394348535671421283544[TỔNG NHẬN])</f>
        <v>79919062.968674317</v>
      </c>
      <c r="H410" s="28"/>
    </row>
    <row r="412" spans="1:11" x14ac:dyDescent="0.3">
      <c r="H412" s="11"/>
    </row>
    <row r="414" spans="1:11" x14ac:dyDescent="0.3">
      <c r="G414" s="11" t="s">
        <v>85</v>
      </c>
    </row>
    <row r="416" spans="1:11" x14ac:dyDescent="0.3">
      <c r="G416" s="11">
        <v>8</v>
      </c>
      <c r="K416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4574-930B-4559-834D-803558CA9D03}">
  <sheetPr codeName="Sheet26"/>
  <dimension ref="A1:O427"/>
  <sheetViews>
    <sheetView workbookViewId="0">
      <selection activeCell="F429" sqref="F429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159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1722698.4</v>
      </c>
      <c r="F3" s="18">
        <v>996558.07125837659</v>
      </c>
      <c r="G3" s="12">
        <f>D3+Table8414194101324273239434853567111825303946[[#This Row],[LỢI NHUẬN RÒNG]]</f>
        <v>5796558.0712583764</v>
      </c>
      <c r="K3" s="13" t="s">
        <v>10</v>
      </c>
      <c r="L3" s="14">
        <f>SUMIF(Table8414194101324273239434853567111825303946[CỔ ĐÔNG],K3,Table8414194101324273239434853567111825303946[VỐN CP])</f>
        <v>13900000</v>
      </c>
      <c r="M3" s="14">
        <f>SUMIF(Table8414194101324273239434853567111825303946[CỔ ĐÔNG],K3,Table8414194101324273239434853567111825303946[LỢI NHUẬN GỘP])</f>
        <v>7101802.8000000007</v>
      </c>
      <c r="N3" s="14">
        <f>SUMIF(Table8414194101324273239434853567111825303946[CỔ ĐÔNG],K3,Table8414194101324273239434853567111825303946[LỢI NHUẬN RÒNG])</f>
        <v>5175335.2596639432</v>
      </c>
      <c r="O3" s="15">
        <f>SUMIF(Table8414194101324273239434853567111825303946[CỔ ĐÔNG],K3,Table8414194101324273239434853567111825303946[TỔNG NHẬN])</f>
        <v>21687698.373252921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3445396.8</v>
      </c>
      <c r="F4" s="18">
        <v>1993116.1425167532</v>
      </c>
      <c r="G4" s="12">
        <f>D4+Table8414194101324273239434853567111825303946[[#This Row],[LỢI NHUẬN RÒNG]]</f>
        <v>11593116.142516753</v>
      </c>
      <c r="K4" s="13" t="s">
        <v>9</v>
      </c>
      <c r="L4" s="14">
        <f>SUMIF(Table8414194101324273239434853567111825303946[CỔ ĐÔNG],K4,Table8414194101324273239434853567111825303946[VỐN CP])</f>
        <v>54250000</v>
      </c>
      <c r="M4" s="14">
        <f>SUMIF(Table8414194101324273239434853567111825303946[CỔ ĐÔNG],K4,Table8414194101324273239434853567111825303946[LỢI NHUẬN GỘP])</f>
        <v>24223379.150000002</v>
      </c>
      <c r="N4" s="14">
        <f>SUMIF(Table8414194101324273239434853567111825303946[CỔ ĐÔNG],K4,Table8414194101324273239434853567111825303946[LỢI NHUẬN RÒNG])</f>
        <v>16598056.865464019</v>
      </c>
      <c r="O4" s="15">
        <f>SUMIF(Table8414194101324273239434853567111825303946[CỔ ĐÔNG],Table9515205111425283340444954578121926314047[[#This Row],[CỔ ĐÔNG]],Table8414194101324273239434853567111825303946[TỔNG NHẬN])</f>
        <v>131608517.52170907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2584047.6</v>
      </c>
      <c r="F5" s="18">
        <v>1494837.1068875648</v>
      </c>
      <c r="G5" s="12">
        <f>D5+Table8414194101324273239434853567111825303946[[#This Row],[LỢI NHUẬN RÒNG]]</f>
        <v>8694837.1068875641</v>
      </c>
      <c r="K5" s="13" t="s">
        <v>13</v>
      </c>
      <c r="L5" s="14">
        <f>SUMIF(Table8414194101324273239434853567111825303946[CỔ ĐÔNG],K5,Table8414194101324273239434853567111825303946[VỐN CP])</f>
        <v>0</v>
      </c>
      <c r="M5" s="14">
        <f>SUMIF(Table8414194101324273239434853567111825303946[CỔ ĐÔNG],K5,Table8414194101324273239434853567111825303946[LỢI NHUẬN GỘP])</f>
        <v>0</v>
      </c>
      <c r="N5" s="14">
        <f>SUMIF(Table8414194101324273239434853567111825303946[CỔ ĐÔNG],K5,Table8414194101324273239434853567111825303946[LỢI NHUẬN RÒNG])</f>
        <v>0</v>
      </c>
      <c r="O5" s="15">
        <f>SUMIF(Table8414194101324273239434853567111825303946[CỔ ĐÔNG],Table9515205111425283340444954578121926314047[[#This Row],[CỔ ĐÔNG]],Table8414194101324273239434853567111825303946[TỔNG NHẬN])</f>
        <v>15633637.499252997</v>
      </c>
    </row>
    <row r="6" spans="1:15" ht="15" hidden="1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861349.2</v>
      </c>
      <c r="F6" s="18">
        <v>498279.03562918829</v>
      </c>
      <c r="G6" s="12">
        <f>D6+Table8414194101324273239434853567111825303946[[#This Row],[LỢI NHUẬN RÒNG]]</f>
        <v>2898279.0356291882</v>
      </c>
      <c r="K6" s="13" t="s">
        <v>161</v>
      </c>
      <c r="L6" s="14">
        <f>SUMIF(Table8414194101324273239434853567111825303946[CỔ ĐÔNG],K6,Table8414194101324273239434853567111825303946[VỐN CP])</f>
        <v>0</v>
      </c>
      <c r="M6" s="14">
        <f>SUMIF(Table8414194101324273239434853567111825303946[CỔ ĐÔNG],K6,Table8414194101324273239434853567111825303946[LỢI NHUẬN GỘP])</f>
        <v>0</v>
      </c>
      <c r="N6" s="14">
        <f>SUMIF(Table8414194101324273239434853567111825303946[CỔ ĐÔNG],K6,Table8414194101324273239434853567111825303946[LỢI NHUẬN RÒNG])</f>
        <v>0</v>
      </c>
      <c r="O6" s="15">
        <f>SUMIF(Table8414194101324273239434853567111825303946[CỔ ĐÔNG],K6,Table8414194101324273239434853567111825303946[TỔNG NHẬN])</f>
        <v>28063548.771328036</v>
      </c>
    </row>
    <row r="7" spans="1:15" ht="15" hidden="1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2584047.6</v>
      </c>
      <c r="F7" s="18">
        <v>1494837.1068875648</v>
      </c>
      <c r="G7" s="12">
        <f>D7+Table8414194101324273239434853567111825303946[[#This Row],[LỢI NHUẬN RÒNG]]</f>
        <v>8694837.1068875641</v>
      </c>
      <c r="I7" s="11"/>
      <c r="K7" s="13" t="s">
        <v>17</v>
      </c>
      <c r="L7" s="14">
        <f>SUMIF(Table8414194101324273239434853567111825303946[CỔ ĐÔNG],K7,Table8414194101324273239434853567111825303946[VỐN CP])</f>
        <v>0</v>
      </c>
      <c r="M7" s="14">
        <f>SUMIF(Table8414194101324273239434853567111825303946[CỔ ĐÔNG],K7,Table8414194101324273239434853567111825303946[LỢI NHUẬN GỘP])</f>
        <v>0</v>
      </c>
      <c r="N7" s="14">
        <f>SUMIF(Table8414194101324273239434853567111825303946[CỔ ĐÔNG],K7,Table8414194101324273239434853567111825303946[LỢI NHUẬN RÒNG])</f>
        <v>0</v>
      </c>
      <c r="O7" s="15">
        <f>SUMIF(Table8414194101324273239434853567111825303946[CỔ ĐÔNG],Table9515205111425283340444954578121926314047[[#This Row],[CỔ ĐÔNG]],Table8414194101324273239434853567111825303946[TỔNG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1722698.4</v>
      </c>
      <c r="F8" s="18">
        <v>996558.07125837659</v>
      </c>
      <c r="G8" s="12">
        <f>D8+Table8414194101324273239434853567111825303946[[#This Row],[LỢI NHUẬN RÒNG]]</f>
        <v>5796558.0712583764</v>
      </c>
      <c r="K8" s="13" t="s">
        <v>19</v>
      </c>
      <c r="L8" s="14">
        <f>SUMIF(Table8414194101324273239434853567111825303946[CỔ ĐÔNG],K8,Table8414194101324273239434853567111825303946[VỐN CP])</f>
        <v>78250000</v>
      </c>
      <c r="M8" s="14">
        <f>SUMIF(Table8414194101324273239434853567111825303946[CỔ ĐÔNG],K8,Table8414194101324273239434853567111825303946[LỢI NHUẬN GỘP])</f>
        <v>35908593.399999999</v>
      </c>
      <c r="N8" s="14">
        <f>SUMIF(Table8414194101324273239434853567111825303946[CỔ ĐÔNG],K8,Table8414194101324273239434853567111825303946[LỢI NHUẬN RÒNG])</f>
        <v>24495523.909044895</v>
      </c>
      <c r="O8" s="15">
        <f>SUMIF(Table8414194101324273239434853567111825303946[CỔ ĐÔNG],Table9515205111425283340444954578121926314047[[#This Row],[CỔ ĐÔNG]],Table8414194101324273239434853567111825303946[TỔNG NHẬN])</f>
        <v>130809072.68037292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861349.2</v>
      </c>
      <c r="F9" s="18">
        <v>498279.03562918829</v>
      </c>
      <c r="G9" s="12">
        <f>D9+Table8414194101324273239434853567111825303946[[#This Row],[LỢI NHUẬN RÒNG]]</f>
        <v>2898279.0356291882</v>
      </c>
      <c r="K9" s="13" t="s">
        <v>21</v>
      </c>
      <c r="L9" s="14">
        <f>SUMIF(Table8414194101324273239434853567111825303946[CỔ ĐÔNG],K9,Table8414194101324273239434853567111825303946[VỐN CP])</f>
        <v>46000000</v>
      </c>
      <c r="M9" s="14">
        <f>SUMIF(Table8414194101324273239434853567111825303946[CỔ ĐÔNG],K9,Table8414194101324273239434853567111825303946[LỢI NHUẬN GỘP])</f>
        <v>20669185.100000001</v>
      </c>
      <c r="N9" s="14">
        <f>SUMIF(Table8414194101324273239434853567111825303946[CỔ ĐÔNG],K9,Table8414194101324273239434853567111825303946[LỢI NHUẬN RÒNG])</f>
        <v>14272007.752528837</v>
      </c>
      <c r="O9" s="15">
        <f>SUMIF(Table8414194101324273239434853567111825303946[CỔ ĐÔNG],Table9515205111425283340444954578121926314047[[#This Row],[CỔ ĐÔNG]],Table8414194101324273239434853567111825303946[TỔNG NHẬN])</f>
        <v>96172645.8646238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1722698.4</v>
      </c>
      <c r="F10" s="18">
        <v>996558.07125837659</v>
      </c>
      <c r="G10" s="12">
        <f>D10+Table8414194101324273239434853567111825303946[[#This Row],[LỢI NHUẬN RÒNG]]</f>
        <v>5796558.0712583764</v>
      </c>
      <c r="I10" s="11"/>
      <c r="K10" s="13" t="s">
        <v>23</v>
      </c>
      <c r="L10" s="14">
        <f>SUMIF(Table8414194101324273239434853567111825303946[CỔ ĐÔNG],K10,Table8414194101324273239434853567111825303946[VỐN CP])</f>
        <v>0</v>
      </c>
      <c r="M10" s="14">
        <f>SUMIF(Table8414194101324273239434853567111825303946[CỔ ĐÔNG],K10,Table8414194101324273239434853567111825303946[LỢI NHUẬN GỘP])</f>
        <v>0</v>
      </c>
      <c r="N10" s="14">
        <f>SUMIF(Table8414194101324273239434853567111825303946[CỔ ĐÔNG],K10,Table8414194101324273239434853567111825303946[LỢI NHUẬN RÒNG])</f>
        <v>0</v>
      </c>
      <c r="O10" s="15">
        <f>SUMIF(Table8414194101324273239434853567111825303946[CỔ ĐÔNG],Table9515205111425283340444954578121926314047[[#This Row],[CỔ ĐÔNG]],Table8414194101324273239434853567111825303946[TỔNG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1722698.4</v>
      </c>
      <c r="F11" s="18">
        <v>996558.07125837659</v>
      </c>
      <c r="G11" s="12">
        <f>D11+Table8414194101324273239434853567111825303946[[#This Row],[LỢI NHUẬN RÒNG]]</f>
        <v>5796558.0712583764</v>
      </c>
      <c r="K11" s="13" t="s">
        <v>25</v>
      </c>
      <c r="L11" s="14">
        <f>SUMIF(Table8414194101324273239434853567111825303946[CỔ ĐÔNG],K11,Table8414194101324273239434853567111825303946[VỐN CP])</f>
        <v>30900000</v>
      </c>
      <c r="M11" s="14">
        <f>SUMIF(Table8414194101324273239434853567111825303946[CỔ ĐÔNG],K11,Table8414194101324273239434853567111825303946[LỢI NHUẬN GỘP])</f>
        <v>14508965.199999999</v>
      </c>
      <c r="N11" s="14">
        <f>SUMIF(Table8414194101324273239434853567111825303946[CỔ ĐÔNG],K11,Table8414194101324273239434853567111825303946[LỢI NHUẬN RÒNG])</f>
        <v>10091738.384408675</v>
      </c>
      <c r="O11" s="15">
        <f>SUMIF(Table8414194101324273239434853567111825303946[CỔ ĐÔNG],Table9515205111425283340444954578121926314047[[#This Row],[CỔ ĐÔNG]],Table8414194101324273239434853567111825303946[TỔNG NHẬN])</f>
        <v>48828827.725175604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D12" s="11">
        <v>2550000</v>
      </c>
      <c r="E12" s="11">
        <v>1559357.4</v>
      </c>
      <c r="F12" s="11">
        <v>1249339.8672081358</v>
      </c>
      <c r="G12" s="12">
        <f>D12+Table8414194101324273239434853567111825303946[[#This Row],[LỢI NHUẬN RÒNG]]</f>
        <v>3799339.8672081358</v>
      </c>
      <c r="K12" s="13" t="s">
        <v>27</v>
      </c>
      <c r="L12" s="14">
        <f>SUMIF(Table8414194101324273239434853567111825303946[CỔ ĐÔNG],K12,Table8414194101324273239434853567111825303946[VỐN CP])</f>
        <v>10800000</v>
      </c>
      <c r="M12" s="14">
        <f>SUMIF(Table8414194101324273239434853567111825303946[CỔ ĐÔNG],K12,Table8414194101324273239434853567111825303946[LỢI NHUẬN GỘP])</f>
        <v>5113551.45</v>
      </c>
      <c r="N12" s="14">
        <f>SUMIF(Table8414194101324273239434853567111825303946[CỔ ĐÔNG],K12,Table8414194101324273239434853567111825303946[LỢI NHUẬN RÒNG])</f>
        <v>3575388.9801433198</v>
      </c>
      <c r="O12" s="15">
        <f>SUMIF(Table8414194101324273239434853567111825303946[CỔ ĐÔNG],Table9515205111425283340444954578121926314047[[#This Row],[CỔ ĐÔNG]],Table8414194101324273239434853567111825303946[TỔNG NHẬN])</f>
        <v>14375388.98014332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D13" s="11">
        <v>2550000</v>
      </c>
      <c r="E13" s="11">
        <v>1559357.4</v>
      </c>
      <c r="F13" s="11">
        <v>1249339.8672081358</v>
      </c>
      <c r="G13" s="12">
        <f>D13+Table8414194101324273239434853567111825303946[[#This Row],[LỢI NHUẬN RÒNG]]</f>
        <v>3799339.8672081358</v>
      </c>
      <c r="K13" s="13" t="s">
        <v>29</v>
      </c>
      <c r="L13" s="14">
        <f>SUMIF(Table8414194101324273239434853567111825303946[CỔ ĐÔNG],K13,Table8414194101324273239434853567111825303946[VỐN CP])</f>
        <v>24125000</v>
      </c>
      <c r="M13" s="14">
        <f>SUMIF(Table8414194101324273239434853567111825303946[CỔ ĐÔNG],K13,Table8414194101324273239434853567111825303946[LỢI NHUẬN GỘP])</f>
        <v>10581560.65</v>
      </c>
      <c r="N13" s="14">
        <f>SUMIF(Table8414194101324273239434853567111825303946[CỔ ĐÔNG],K13,Table8414194101324273239434853567111825303946[LỢI NHUẬN RÒNG])</f>
        <v>7392250.2003047671</v>
      </c>
      <c r="O13" s="15">
        <f>SUMIF(Table8414194101324273239434853567111825303946[CỔ ĐÔNG],Table9515205111425283340444954578121926314047[[#This Row],[CỔ ĐÔNG]],Table8414194101324273239434853567111825303946[TỔNG NHẬN])</f>
        <v>62193162.085221775</v>
      </c>
    </row>
    <row r="14" spans="1:15" ht="15" hidden="1" customHeight="1" x14ac:dyDescent="0.3">
      <c r="A14" s="10" t="s">
        <v>138</v>
      </c>
      <c r="B14" s="11" t="s">
        <v>33</v>
      </c>
      <c r="C14" s="11">
        <v>5</v>
      </c>
      <c r="D14" s="11">
        <v>850000</v>
      </c>
      <c r="E14" s="11">
        <v>519785.8</v>
      </c>
      <c r="F14" s="11">
        <v>416446.62240271195</v>
      </c>
      <c r="G14" s="12">
        <f>D14+Table8414194101324273239434853567111825303946[[#This Row],[LỢI NHUẬN RÒNG]]</f>
        <v>1266446.622402712</v>
      </c>
      <c r="K14" s="13" t="s">
        <v>31</v>
      </c>
      <c r="L14" s="14">
        <f>SUMIF(Table8414194101324273239434853567111825303946[CỔ ĐÔNG],K14,Table8414194101324273239434853567111825303946[VỐN CP])</f>
        <v>66125000</v>
      </c>
      <c r="M14" s="14">
        <f>SUMIF(Table8414194101324273239434853567111825303946[CỔ ĐÔNG],K14,Table8414194101324273239434853567111825303946[LỢI NHUẬN GỘP])</f>
        <v>26965523.500000004</v>
      </c>
      <c r="N14" s="14">
        <f>SUMIF(Table8414194101324273239434853567111825303946[CỔ ĐÔNG],K14,Table8414194101324273239434853567111825303946[LỢI NHUẬN RÒNG])</f>
        <v>18110741.723533589</v>
      </c>
      <c r="O14" s="15">
        <f>SUMIF(Table8414194101324273239434853567111825303946[CỔ ĐÔNG],Table9515205111425283340444954578121926314047[[#This Row],[CỔ ĐÔNG]],Table8414194101324273239434853567111825303946[TỔNG NHẬN])</f>
        <v>99869379.22278659</v>
      </c>
    </row>
    <row r="15" spans="1:15" ht="15" hidden="1" customHeight="1" x14ac:dyDescent="0.3">
      <c r="A15" s="10" t="s">
        <v>138</v>
      </c>
      <c r="B15" s="11" t="s">
        <v>31</v>
      </c>
      <c r="C15" s="11">
        <v>15</v>
      </c>
      <c r="D15" s="11">
        <v>2550000</v>
      </c>
      <c r="E15" s="11">
        <v>1559357.4</v>
      </c>
      <c r="F15" s="11">
        <v>1249339.8672081358</v>
      </c>
      <c r="G15" s="12">
        <f>D15+Table8414194101324273239434853567111825303946[[#This Row],[LỢI NHUẬN RÒNG]]</f>
        <v>3799339.8672081358</v>
      </c>
      <c r="K15" s="13" t="s">
        <v>33</v>
      </c>
      <c r="L15" s="14">
        <f>SUMIF(Table8414194101324273239434853567111825303946[CỔ ĐÔNG],K15,Table8414194101324273239434853567111825303946[VỐN CP])</f>
        <v>22575000</v>
      </c>
      <c r="M15" s="14">
        <f>SUMIF(Table8414194101324273239434853567111825303946[CỔ ĐÔNG],K15,Table8414194101324273239434853567111825303946[LỢI NHUẬN GỘP])</f>
        <v>10074699.65</v>
      </c>
      <c r="N15" s="14">
        <f>SUMIF(Table8414194101324273239434853567111825303946[CỔ ĐÔNG],K15,Table8414194101324273239434853567111825303946[LỢI NHUẬN RÒNG])</f>
        <v>6927780.5650630621</v>
      </c>
      <c r="O15" s="15">
        <f>SUMIF(Table8414194101324273239434853567111825303946[CỔ ĐÔNG],Table9515205111425283340444954578121926314047[[#This Row],[CỔ ĐÔNG]],Table8414194101324273239434853567111825303946[TỔNG NHẬN])</f>
        <v>60178692.449980073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D16" s="11">
        <v>2550000</v>
      </c>
      <c r="E16" s="11">
        <v>1559357.4</v>
      </c>
      <c r="F16" s="11">
        <v>1249339.8672081358</v>
      </c>
      <c r="G16" s="12">
        <f>D16+Table8414194101324273239434853567111825303946[[#This Row],[LỢI NHUẬN RÒNG]]</f>
        <v>3799339.8672081358</v>
      </c>
      <c r="K16" s="13" t="s">
        <v>35</v>
      </c>
      <c r="L16" s="14">
        <f>SUMIF(Table8414194101324273239434853567111825303946[CỔ ĐÔNG],K16,Table8414194101324273239434853567111825303946[VỐN CP])</f>
        <v>0</v>
      </c>
      <c r="M16" s="14">
        <f>SUMIF(Table8414194101324273239434853567111825303946[CỔ ĐÔNG],K16,Table8414194101324273239434853567111825303946[LỢI NHUẬN GỘP])</f>
        <v>0</v>
      </c>
      <c r="N16" s="14">
        <f>SUMIF(Table8414194101324273239434853567111825303946[CỔ ĐÔNG],K16,Table8414194101324273239434853567111825303946[LỢI NHUẬN RÒNG])</f>
        <v>0</v>
      </c>
      <c r="O16" s="15">
        <f>SUMIF(Table8414194101324273239434853567111825303946[CỔ ĐÔNG],Table9515205111425283340444954578121926314047[[#This Row],[CỔ ĐÔNG]],Table8414194101324273239434853567111825303946[TỔNG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D17" s="11">
        <v>1700000</v>
      </c>
      <c r="E17" s="11">
        <v>1039571.6</v>
      </c>
      <c r="F17" s="11">
        <v>832893.24480542389</v>
      </c>
      <c r="G17" s="12">
        <f>D17+Table8414194101324273239434853567111825303946[[#This Row],[LỢI NHUẬN RÒNG]]</f>
        <v>2532893.244805424</v>
      </c>
      <c r="K17" s="16" t="s">
        <v>37</v>
      </c>
      <c r="L17" s="17">
        <f>SUMIF(Table8414194101324273239434853567111825303946[CỔ ĐÔNG],K17,Table8414194101324273239434853567111825303946[VỐN CP])</f>
        <v>53400000</v>
      </c>
      <c r="M17" s="17">
        <f>SUMIF(Table8414194101324273239434853567111825303946[CỔ ĐÔNG],K17,Table8414194101324273239434853567111825303946[LỢI NHUẬN GỘP])</f>
        <v>23704104.899999999</v>
      </c>
      <c r="N17" s="17">
        <f>SUMIF(Table8414194101324273239434853567111825303946[CỔ ĐÔNG],K17,Table8414194101324273239434853567111825303946[LỢI NHUẬN RÒNG])</f>
        <v>16476834.420026299</v>
      </c>
      <c r="O17" s="15">
        <f>SUMIF(Table8414194101324273239434853567111825303946[CỔ ĐÔNG],Table9515205111425283340444954578121926314047[[#This Row],[CỔ ĐÔNG]],Table8414194101324273239434853567111825303946[TỔNG NHẬN])</f>
        <v>133249658.18986031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D18" s="11">
        <v>1700000</v>
      </c>
      <c r="E18" s="11">
        <v>1039571.6</v>
      </c>
      <c r="F18" s="11">
        <v>832893.24480542389</v>
      </c>
      <c r="G18" s="12">
        <f>D18+Table8414194101324273239434853567111825303946[[#This Row],[LỢI NHUẬN RÒNG]]</f>
        <v>2532893.244805424</v>
      </c>
      <c r="K18" s="13" t="s">
        <v>166</v>
      </c>
      <c r="L18" s="17">
        <f>SUMIF(Table8414194101324273239434853567111825303946[CỔ ĐÔNG],K18,Table8414194101324273239434853567111825303946[VỐN CP])</f>
        <v>0</v>
      </c>
      <c r="M18" s="17">
        <f>SUMIF(Table8414194101324273239434853567111825303946[CỔ ĐÔNG],K18,Table8414194101324273239434853567111825303946[LỢI NHUẬN GỘP])</f>
        <v>0</v>
      </c>
      <c r="N18" s="17">
        <f>SUMIF(Table8414194101324273239434853567111825303946[CỔ ĐÔNG],K18,Table8414194101324273239434853567111825303946[LỢI NHUẬN RÒNG])</f>
        <v>0</v>
      </c>
      <c r="O18" s="15">
        <f>SUMIF(Table8414194101324273239434853567111825303946[CỔ ĐÔNG],Table9515205111425283340444954578121926314047[[#This Row],[CỔ ĐÔNG]],Table8414194101324273239434853567111825303946[TỔNG NHẬN])</f>
        <v>5224726.2271779589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D19" s="11">
        <v>2550000</v>
      </c>
      <c r="E19" s="11">
        <v>1559357.4</v>
      </c>
      <c r="F19" s="11">
        <v>1249339.8672081358</v>
      </c>
      <c r="G19" s="12">
        <f>D19+Table8414194101324273239434853567111825303946[[#This Row],[LỢI NHUẬN RÒNG]]</f>
        <v>3799339.8672081358</v>
      </c>
      <c r="I19" s="11"/>
      <c r="K19" s="13" t="s">
        <v>41</v>
      </c>
      <c r="L19" s="17">
        <f>SUMIF(Table8414194101324273239434853567111825303946[CỔ ĐÔNG],K19,Table8414194101324273239434853567111825303946[VỐN CP])</f>
        <v>0</v>
      </c>
      <c r="M19" s="17">
        <f>SUMIF(Table8414194101324273239434853567111825303946[CỔ ĐÔNG],K19,Table8414194101324273239434853567111825303946[LỢI NHUẬN GỘP])</f>
        <v>0</v>
      </c>
      <c r="N19" s="17">
        <f>SUMIF(Table8414194101324273239434853567111825303946[CỔ ĐÔNG],K19,Table8414194101324273239434853567111825303946[LỢI NHUẬN RÒNG])</f>
        <v>0</v>
      </c>
      <c r="O19" s="15">
        <f>SUMIF(Table8414194101324273239434853567111825303946[CỔ ĐÔNG],Table9515205111425283340444954578121926314047[[#This Row],[CỔ ĐÔNG]],Table8414194101324273239434853567111825303946[TỔNG NHẬN])</f>
        <v>0</v>
      </c>
    </row>
    <row r="20" spans="1:15" ht="15" hidden="1" customHeight="1" x14ac:dyDescent="0.3">
      <c r="A20" s="10" t="s">
        <v>140</v>
      </c>
      <c r="B20" s="11" t="s">
        <v>9</v>
      </c>
      <c r="C20" s="11">
        <v>10</v>
      </c>
      <c r="D20" s="11">
        <v>6200000</v>
      </c>
      <c r="E20" s="11">
        <v>1696848.8</v>
      </c>
      <c r="F20" s="11">
        <v>1092604.096936363</v>
      </c>
      <c r="G20" s="12">
        <f>Table8414194101324273239434853567111825303946[[#This Row],[VỐN CP]]+Table8414194101324273239434853567111825303946[[#This Row],[LỢI NHUẬN RÒNG]]</f>
        <v>7292604.0969363628</v>
      </c>
      <c r="K20" s="13" t="s">
        <v>42</v>
      </c>
      <c r="L20" s="17">
        <f>SUMIF(Table8414194101324273239434853567111825303946[CỔ ĐÔNG],K20,Table8414194101324273239434853567111825303946[VỐN CP])</f>
        <v>0</v>
      </c>
      <c r="M20" s="17">
        <f>SUMIF(Table8414194101324273239434853567111825303946[CỔ ĐÔNG],K20,Table8414194101324273239434853567111825303946[LỢI NHUẬN GỘP])</f>
        <v>0</v>
      </c>
      <c r="N20" s="17">
        <f>SUMIF(Table8414194101324273239434853567111825303946[CỔ ĐÔNG],K20,Table8414194101324273239434853567111825303946[LỢI NHUẬN RÒNG])</f>
        <v>0</v>
      </c>
      <c r="O20" s="15">
        <f>SUMIF(Table8414194101324273239434853567111825303946[CỔ ĐÔNG],Table9515205111425283340444954578121926314047[[#This Row],[CỔ ĐÔNG]],Table8414194101324273239434853567111825303946[TỔNG NHẬN])</f>
        <v>0</v>
      </c>
    </row>
    <row r="21" spans="1:15" ht="15" hidden="1" customHeight="1" x14ac:dyDescent="0.3">
      <c r="A21" s="10" t="s">
        <v>140</v>
      </c>
      <c r="B21" s="11" t="s">
        <v>19</v>
      </c>
      <c r="C21" s="11">
        <v>10</v>
      </c>
      <c r="D21" s="11">
        <v>6200000</v>
      </c>
      <c r="E21" s="11">
        <v>1696848.8</v>
      </c>
      <c r="F21" s="11">
        <v>1092604.096936363</v>
      </c>
      <c r="G21" s="12">
        <f>Table8414194101324273239434853567111825303946[[#This Row],[VỐN CP]]+Table8414194101324273239434853567111825303946[[#This Row],[LỢI NHUẬN RÒNG]]</f>
        <v>7292604.0969363628</v>
      </c>
      <c r="K21" s="13" t="s">
        <v>43</v>
      </c>
      <c r="L21" s="17">
        <f>SUMIF(Table8414194101324273239434853567111825303946[CỔ ĐÔNG],K21,Table8414194101324273239434853567111825303946[VỐN CP])</f>
        <v>51175000</v>
      </c>
      <c r="M21" s="17">
        <f>SUMIF(Table8414194101324273239434853567111825303946[CỔ ĐÔNG],K21,Table8414194101324273239434853567111825303946[LỢI NHUẬN GỘP])</f>
        <v>22642627.199999999</v>
      </c>
      <c r="N21" s="17">
        <f>SUMIF(Table8414194101324273239434853567111825303946[CỔ ĐÔNG],K21,Table8414194101324273239434853567111825303946[LỢI NHUẬN RÒNG])</f>
        <v>15439953.241079828</v>
      </c>
      <c r="O21" s="15">
        <f>SUMIF(Table8414194101324273239434853567111825303946[CỔ ĐÔNG],Table9515205111425283340444954578121926314047[[#This Row],[CỔ ĐÔNG]],Table8414194101324273239434853567111825303946[TỔNG NHẬN])</f>
        <v>69818679.468257785</v>
      </c>
    </row>
    <row r="22" spans="1:15" ht="15" hidden="1" customHeight="1" x14ac:dyDescent="0.3">
      <c r="A22" s="10" t="s">
        <v>140</v>
      </c>
      <c r="B22" s="11" t="s">
        <v>37</v>
      </c>
      <c r="C22" s="18">
        <v>10</v>
      </c>
      <c r="D22" s="18">
        <v>6200000</v>
      </c>
      <c r="E22" s="18">
        <v>1696848.8</v>
      </c>
      <c r="F22" s="18">
        <v>1092604.096936363</v>
      </c>
      <c r="G22" s="12">
        <f>Table8414194101324273239434853567111825303946[[#This Row],[VỐN CP]]+Table8414194101324273239434853567111825303946[[#This Row],[LỢI NHUẬN RÒNG]]</f>
        <v>7292604.0969363628</v>
      </c>
      <c r="K22" s="13" t="s">
        <v>44</v>
      </c>
      <c r="L22" s="17">
        <f>SUMIF(Table8414194101324273239434853567111825303946[CỔ ĐÔNG],K22,Table8414194101324273239434853567111825303946[VỐN CP])</f>
        <v>0</v>
      </c>
      <c r="M22" s="17">
        <f>SUMIF(Table8414194101324273239434853567111825303946[CỔ ĐÔNG],K22,Table8414194101324273239434853567111825303946[LỢI NHUẬN GỘP])</f>
        <v>0</v>
      </c>
      <c r="N22" s="17">
        <f>SUMIF(Table8414194101324273239434853567111825303946[CỔ ĐÔNG],K22,Table8414194101324273239434853567111825303946[LỢI NHUẬN RÒNG])</f>
        <v>0</v>
      </c>
      <c r="O22" s="15">
        <f>SUMIF(Table8414194101324273239434853567111825303946[CỔ ĐÔNG],Table9515205111425283340444954578121926314047[[#This Row],[CỔ ĐÔNG]],Table8414194101324273239434853567111825303946[TỔNG NHẬN])</f>
        <v>0</v>
      </c>
    </row>
    <row r="23" spans="1:15" ht="15" hidden="1" customHeight="1" x14ac:dyDescent="0.3">
      <c r="A23" s="10" t="s">
        <v>140</v>
      </c>
      <c r="B23" s="11" t="s">
        <v>33</v>
      </c>
      <c r="C23" s="11">
        <v>5</v>
      </c>
      <c r="D23" s="11">
        <v>3100000</v>
      </c>
      <c r="E23" s="11">
        <v>848424.4</v>
      </c>
      <c r="F23" s="11">
        <v>546302.04846818151</v>
      </c>
      <c r="G23" s="12">
        <f>Table8414194101324273239434853567111825303946[[#This Row],[VỐN CP]]+Table8414194101324273239434853567111825303946[[#This Row],[LỢI NHUẬN RÒNG]]</f>
        <v>3646302.0484681814</v>
      </c>
      <c r="K23" s="13" t="s">
        <v>45</v>
      </c>
      <c r="L23" s="17">
        <f>SUMIF(Table8414194101324273239434853567111825303946[CỔ ĐÔNG],K23,Table8414194101324273239434853567111825303946[VỐN CP])</f>
        <v>0</v>
      </c>
      <c r="M23" s="17">
        <f>SUMIF(Table8414194101324273239434853567111825303946[CỔ ĐÔNG],K23,Table8414194101324273239434853567111825303946[LỢI NHUẬN GỘP])</f>
        <v>0</v>
      </c>
      <c r="N23" s="17">
        <f>SUMIF(Table8414194101324273239434853567111825303946[CỔ ĐÔNG],K23,Table8414194101324273239434853567111825303946[LỢI NHUẬN RÒNG])</f>
        <v>0</v>
      </c>
      <c r="O23" s="15">
        <f>SUMIF(Table8414194101324273239434853567111825303946[CỔ ĐÔNG],Table9515205111425283340444954578121926314047[[#This Row],[CỔ ĐÔNG]],Table8414194101324273239434853567111825303946[TỔNG NHẬN])</f>
        <v>0</v>
      </c>
    </row>
    <row r="24" spans="1:15" ht="15" hidden="1" customHeight="1" x14ac:dyDescent="0.3">
      <c r="A24" s="10" t="s">
        <v>140</v>
      </c>
      <c r="B24" s="11" t="s">
        <v>31</v>
      </c>
      <c r="C24" s="11">
        <v>20</v>
      </c>
      <c r="D24" s="11">
        <v>12400000</v>
      </c>
      <c r="E24" s="11">
        <v>3393697.6</v>
      </c>
      <c r="F24" s="11">
        <v>2185208.1938727261</v>
      </c>
      <c r="G24" s="12">
        <f>Table8414194101324273239434853567111825303946[[#This Row],[VỐN CP]]+Table8414194101324273239434853567111825303946[[#This Row],[LỢI NHUẬN RÒNG]]</f>
        <v>14585208.193872726</v>
      </c>
      <c r="K24" s="13" t="s">
        <v>46</v>
      </c>
      <c r="L24" s="17">
        <f>SUMIF(Table8414194101324273239434853567111825303946[CỔ ĐÔNG],K24,Table8414194101324273239434853567111825303946[VỐN CP])</f>
        <v>0</v>
      </c>
      <c r="M24" s="17">
        <f>SUMIF(Table8414194101324273239434853567111825303946[CỔ ĐÔNG],K24,Table8414194101324273239434853567111825303946[LỢI NHUẬN GỘP])</f>
        <v>0</v>
      </c>
      <c r="N24" s="17">
        <f>SUMIF(Table8414194101324273239434853567111825303946[CỔ ĐÔNG],K24,Table8414194101324273239434853567111825303946[LỢI NHUẬN RÒNG])</f>
        <v>0</v>
      </c>
      <c r="O24" s="15">
        <f>SUMIF(Table8414194101324273239434853567111825303946[CỔ ĐÔNG],Table9515205111425283340444954578121926314047[[#This Row],[CỔ ĐÔNG]],Table8414194101324273239434853567111825303946[TỔNG NHẬN])</f>
        <v>5224726.2271779589</v>
      </c>
    </row>
    <row r="25" spans="1:15" ht="15" hidden="1" customHeight="1" x14ac:dyDescent="0.3">
      <c r="A25" s="10" t="s">
        <v>140</v>
      </c>
      <c r="B25" s="11" t="s">
        <v>21</v>
      </c>
      <c r="C25" s="11">
        <v>10</v>
      </c>
      <c r="D25" s="11">
        <v>6200000</v>
      </c>
      <c r="E25" s="11">
        <v>1696848.8</v>
      </c>
      <c r="F25" s="11">
        <v>1092604.096936363</v>
      </c>
      <c r="G25" s="12">
        <f>Table8414194101324273239434853567111825303946[[#This Row],[VỐN CP]]+Table8414194101324273239434853567111825303946[[#This Row],[LỢI NHUẬN RÒNG]]</f>
        <v>7292604.0969363628</v>
      </c>
      <c r="K25" s="13" t="s">
        <v>47</v>
      </c>
      <c r="L25" s="14">
        <f>SUM(L2:L24)</f>
        <v>451500000</v>
      </c>
      <c r="M25" s="14">
        <f>SUM(M2:M24)</f>
        <v>201493993</v>
      </c>
      <c r="N25" s="14">
        <f>SUM(N2:N24)</f>
        <v>138555611.30126125</v>
      </c>
      <c r="O25" s="14">
        <f>SUM(O2:O24)</f>
        <v>922938361.28632104</v>
      </c>
    </row>
    <row r="26" spans="1:15" ht="15" hidden="1" customHeight="1" x14ac:dyDescent="0.3">
      <c r="A26" s="10" t="s">
        <v>140</v>
      </c>
      <c r="B26" s="11" t="s">
        <v>29</v>
      </c>
      <c r="C26" s="11">
        <v>10</v>
      </c>
      <c r="D26" s="11">
        <v>6200000</v>
      </c>
      <c r="E26" s="11">
        <v>1696848.8</v>
      </c>
      <c r="F26" s="11">
        <v>1092604.096936363</v>
      </c>
      <c r="G26" s="12">
        <f>Table8414194101324273239434853567111825303946[[#This Row],[VỐN CP]]+Table8414194101324273239434853567111825303946[[#This Row],[LỢI NHUẬN RÒNG]]</f>
        <v>7292604.0969363628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140</v>
      </c>
      <c r="B27" s="11" t="s">
        <v>43</v>
      </c>
      <c r="C27" s="11">
        <v>15</v>
      </c>
      <c r="D27" s="11">
        <v>9300000</v>
      </c>
      <c r="E27" s="11">
        <v>2545273.2000000002</v>
      </c>
      <c r="F27" s="11">
        <v>1638906.1454045444</v>
      </c>
      <c r="G27" s="12">
        <f>Table8414194101324273239434853567111825303946[[#This Row],[VỐN CP]]+Table8414194101324273239434853567111825303946[[#This Row],[LỢI NHUẬN RÒNG]]</f>
        <v>10938906.145404544</v>
      </c>
    </row>
    <row r="28" spans="1:15" ht="15" hidden="1" customHeight="1" x14ac:dyDescent="0.3">
      <c r="A28" s="10" t="s">
        <v>140</v>
      </c>
      <c r="B28" s="11" t="s">
        <v>25</v>
      </c>
      <c r="C28" s="11">
        <v>10</v>
      </c>
      <c r="D28" s="11">
        <v>6200000</v>
      </c>
      <c r="E28" s="11">
        <v>1696848.8</v>
      </c>
      <c r="F28" s="11">
        <v>1092604.096936363</v>
      </c>
      <c r="G28" s="12">
        <f>Table8414194101324273239434853567111825303946[[#This Row],[VỐN CP]]+Table8414194101324273239434853567111825303946[[#This Row],[LỢI NHUẬN RÒNG]]</f>
        <v>7292604.0969363628</v>
      </c>
      <c r="K28" s="11"/>
    </row>
    <row r="29" spans="1:15" ht="15" hidden="1" customHeight="1" x14ac:dyDescent="0.3">
      <c r="A29" s="10" t="s">
        <v>141</v>
      </c>
      <c r="B29" s="11" t="s">
        <v>9</v>
      </c>
      <c r="C29" s="11">
        <v>10</v>
      </c>
      <c r="D29" s="11">
        <v>5850000</v>
      </c>
      <c r="E29" s="11">
        <v>3289607</v>
      </c>
      <c r="F29" s="11">
        <v>2076180.124971044</v>
      </c>
      <c r="G29" s="12">
        <f>Table8414194101324273239434853567111825303946[[#This Row],[VỐN CP]]+Table8414194101324273239434853567111825303946[[#This Row],[LỢI NHUẬN RÒNG]]</f>
        <v>7926180.1249710442</v>
      </c>
    </row>
    <row r="30" spans="1:15" ht="15" hidden="1" customHeight="1" x14ac:dyDescent="0.3">
      <c r="A30" s="10" t="s">
        <v>141</v>
      </c>
      <c r="B30" s="11" t="s">
        <v>19</v>
      </c>
      <c r="C30" s="11">
        <v>20</v>
      </c>
      <c r="D30" s="11">
        <v>11700000</v>
      </c>
      <c r="E30" s="11">
        <v>6579214</v>
      </c>
      <c r="F30" s="11">
        <v>4152360.249942088</v>
      </c>
      <c r="G30" s="12">
        <f>Table8414194101324273239434853567111825303946[[#This Row],[VỐN CP]]+Table8414194101324273239434853567111825303946[[#This Row],[LỢI NHUẬN RÒNG]]</f>
        <v>15852360.249942088</v>
      </c>
      <c r="M30" s="11"/>
    </row>
    <row r="31" spans="1:15" ht="15" hidden="1" customHeight="1" x14ac:dyDescent="0.3">
      <c r="A31" s="10" t="s">
        <v>141</v>
      </c>
      <c r="B31" s="11" t="s">
        <v>37</v>
      </c>
      <c r="C31" s="11">
        <v>10</v>
      </c>
      <c r="D31" s="11">
        <v>5850000</v>
      </c>
      <c r="E31" s="11">
        <v>3289607</v>
      </c>
      <c r="F31" s="11">
        <v>2076180.124971044</v>
      </c>
      <c r="G31" s="12">
        <f>Table8414194101324273239434853567111825303946[[#This Row],[VỐN CP]]+Table8414194101324273239434853567111825303946[[#This Row],[LỢI NHUẬN RÒNG]]</f>
        <v>7926180.1249710442</v>
      </c>
    </row>
    <row r="32" spans="1:15" ht="15" hidden="1" customHeight="1" x14ac:dyDescent="0.3">
      <c r="A32" s="10" t="s">
        <v>141</v>
      </c>
      <c r="B32" s="11" t="s">
        <v>33</v>
      </c>
      <c r="C32" s="11">
        <v>5</v>
      </c>
      <c r="D32" s="11">
        <v>2925000</v>
      </c>
      <c r="E32" s="11">
        <v>1644803.5</v>
      </c>
      <c r="F32" s="11">
        <v>1038090.062485522</v>
      </c>
      <c r="G32" s="12">
        <f>Table8414194101324273239434853567111825303946[[#This Row],[VỐN CP]]+Table8414194101324273239434853567111825303946[[#This Row],[LỢI NHUẬN RÒNG]]</f>
        <v>3963090.0624855221</v>
      </c>
    </row>
    <row r="33" spans="1:12" ht="15" hidden="1" customHeight="1" x14ac:dyDescent="0.3">
      <c r="A33" s="10" t="s">
        <v>141</v>
      </c>
      <c r="B33" s="11" t="s">
        <v>31</v>
      </c>
      <c r="C33" s="11">
        <v>15</v>
      </c>
      <c r="D33" s="11">
        <v>8775000</v>
      </c>
      <c r="E33" s="11">
        <v>4934410.5</v>
      </c>
      <c r="F33" s="11">
        <v>3114270.1874565659</v>
      </c>
      <c r="G33" s="12">
        <f>Table8414194101324273239434853567111825303946[[#This Row],[VỐN CP]]+Table8414194101324273239434853567111825303946[[#This Row],[LỢI NHUẬN RÒNG]]</f>
        <v>11889270.187456567</v>
      </c>
    </row>
    <row r="34" spans="1:12" ht="15" hidden="1" customHeight="1" x14ac:dyDescent="0.3">
      <c r="A34" s="10" t="s">
        <v>141</v>
      </c>
      <c r="B34" s="11" t="s">
        <v>21</v>
      </c>
      <c r="C34" s="11">
        <v>10</v>
      </c>
      <c r="D34" s="11">
        <v>5850000</v>
      </c>
      <c r="E34" s="11">
        <v>3289607</v>
      </c>
      <c r="F34" s="11">
        <v>2076180.124971044</v>
      </c>
      <c r="G34" s="12">
        <f>Table8414194101324273239434853567111825303946[[#This Row],[VỐN CP]]+Table8414194101324273239434853567111825303946[[#This Row],[LỢI NHUẬN RÒNG]]</f>
        <v>7926180.1249710442</v>
      </c>
    </row>
    <row r="35" spans="1:12" ht="15" hidden="1" customHeight="1" x14ac:dyDescent="0.3">
      <c r="A35" s="10" t="s">
        <v>141</v>
      </c>
      <c r="B35" s="11" t="s">
        <v>29</v>
      </c>
      <c r="C35" s="11">
        <v>5</v>
      </c>
      <c r="D35" s="11">
        <v>2925000</v>
      </c>
      <c r="E35" s="11">
        <v>1644803.5</v>
      </c>
      <c r="F35" s="11">
        <v>1038090.062485522</v>
      </c>
      <c r="G35" s="12">
        <f>Table8414194101324273239434853567111825303946[[#This Row],[VỐN CP]]+Table8414194101324273239434853567111825303946[[#This Row],[LỢI NHUẬN RÒNG]]</f>
        <v>3963090.0624855221</v>
      </c>
    </row>
    <row r="36" spans="1:12" ht="15" hidden="1" customHeight="1" x14ac:dyDescent="0.3">
      <c r="A36" s="10" t="s">
        <v>141</v>
      </c>
      <c r="B36" s="11" t="s">
        <v>43</v>
      </c>
      <c r="C36" s="11">
        <v>15</v>
      </c>
      <c r="D36" s="11">
        <v>8775000</v>
      </c>
      <c r="E36" s="11">
        <v>4934410.5</v>
      </c>
      <c r="F36" s="11">
        <v>3114270.1874565659</v>
      </c>
      <c r="G36" s="12">
        <f>Table8414194101324273239434853567111825303946[[#This Row],[VỐN CP]]+Table8414194101324273239434853567111825303946[[#This Row],[LỢI NHUẬN RÒNG]]</f>
        <v>11889270.187456567</v>
      </c>
    </row>
    <row r="37" spans="1:12" ht="15" hidden="1" customHeight="1" x14ac:dyDescent="0.3">
      <c r="A37" s="10" t="s">
        <v>141</v>
      </c>
      <c r="B37" s="11" t="s">
        <v>25</v>
      </c>
      <c r="C37" s="11">
        <v>10</v>
      </c>
      <c r="D37" s="11">
        <v>5850000</v>
      </c>
      <c r="E37" s="11">
        <v>3289607</v>
      </c>
      <c r="F37" s="11">
        <v>2076180.124971044</v>
      </c>
      <c r="G37" s="12">
        <f>Table8414194101324273239434853567111825303946[[#This Row],[VỐN CP]]+Table8414194101324273239434853567111825303946[[#This Row],[LỢI NHUẬN RÒNG]]</f>
        <v>7926180.1249710442</v>
      </c>
      <c r="L37" s="11"/>
    </row>
    <row r="38" spans="1:12" ht="15" hidden="1" customHeight="1" x14ac:dyDescent="0.3">
      <c r="A38" s="10" t="s">
        <v>146</v>
      </c>
      <c r="B38" s="11" t="s">
        <v>9</v>
      </c>
      <c r="C38" s="11">
        <v>15</v>
      </c>
      <c r="D38" s="11">
        <v>19500000</v>
      </c>
      <c r="E38" s="11">
        <v>12200649</v>
      </c>
      <c r="F38" s="11">
        <v>8911525.7764994372</v>
      </c>
      <c r="G38" s="12">
        <f>Table8414194101324273239434853567111825303946[[#This Row],[VỐN CP]]+Table8414194101324273239434853567111825303946[[#This Row],[LỢI NHUẬN RÒNG]]</f>
        <v>28411525.776499435</v>
      </c>
    </row>
    <row r="39" spans="1:12" ht="15" hidden="1" customHeight="1" x14ac:dyDescent="0.3">
      <c r="A39" s="10" t="s">
        <v>146</v>
      </c>
      <c r="B39" s="11" t="s">
        <v>19</v>
      </c>
      <c r="C39" s="11">
        <v>20</v>
      </c>
      <c r="D39" s="11">
        <v>26000000</v>
      </c>
      <c r="E39" s="11">
        <v>16267532</v>
      </c>
      <c r="F39" s="11">
        <v>11882034.368665915</v>
      </c>
      <c r="G39" s="12">
        <f>Table8414194101324273239434853567111825303946[[#This Row],[VỐN CP]]+Table8414194101324273239434853567111825303946[[#This Row],[LỢI NHUẬN RÒNG]]</f>
        <v>37882034.368665919</v>
      </c>
    </row>
    <row r="40" spans="1:12" ht="15" hidden="1" customHeight="1" x14ac:dyDescent="0.3">
      <c r="A40" s="10" t="s">
        <v>146</v>
      </c>
      <c r="B40" s="11" t="s">
        <v>27</v>
      </c>
      <c r="C40" s="11">
        <v>5</v>
      </c>
      <c r="D40" s="11">
        <v>6500000</v>
      </c>
      <c r="E40" s="11">
        <v>4066883</v>
      </c>
      <c r="F40" s="11">
        <v>2970508.5921664787</v>
      </c>
      <c r="G40" s="12">
        <f>Table8414194101324273239434853567111825303946[[#This Row],[VỐN CP]]+Table8414194101324273239434853567111825303946[[#This Row],[LỢI NHUẬN RÒNG]]</f>
        <v>9470508.5921664797</v>
      </c>
    </row>
    <row r="41" spans="1:12" ht="15" hidden="1" customHeight="1" x14ac:dyDescent="0.3">
      <c r="A41" s="10" t="s">
        <v>146</v>
      </c>
      <c r="B41" s="11" t="s">
        <v>37</v>
      </c>
      <c r="C41" s="11">
        <v>10</v>
      </c>
      <c r="D41" s="11">
        <v>13000000</v>
      </c>
      <c r="E41" s="11">
        <v>8133766</v>
      </c>
      <c r="F41" s="11">
        <v>5941017.1843329575</v>
      </c>
      <c r="G41" s="12">
        <f>Table8414194101324273239434853567111825303946[[#This Row],[VỐN CP]]+Table8414194101324273239434853567111825303946[[#This Row],[LỢI NHUẬN RÒNG]]</f>
        <v>18941017.184332959</v>
      </c>
    </row>
    <row r="42" spans="1:12" ht="15" hidden="1" customHeight="1" x14ac:dyDescent="0.3">
      <c r="A42" s="10" t="s">
        <v>146</v>
      </c>
      <c r="B42" s="11" t="s">
        <v>33</v>
      </c>
      <c r="C42" s="11">
        <v>5</v>
      </c>
      <c r="D42" s="11">
        <v>6500000</v>
      </c>
      <c r="E42" s="11">
        <v>4066883</v>
      </c>
      <c r="F42" s="11">
        <v>2970508.5921664787</v>
      </c>
      <c r="G42" s="12">
        <f>Table8414194101324273239434853567111825303946[[#This Row],[VỐN CP]]+Table8414194101324273239434853567111825303946[[#This Row],[LỢI NHUẬN RÒNG]]</f>
        <v>9470508.5921664797</v>
      </c>
    </row>
    <row r="43" spans="1:12" ht="15" hidden="1" customHeight="1" x14ac:dyDescent="0.3">
      <c r="A43" s="10" t="s">
        <v>146</v>
      </c>
      <c r="B43" s="11" t="s">
        <v>31</v>
      </c>
      <c r="C43" s="11">
        <v>10</v>
      </c>
      <c r="D43" s="11">
        <v>13000000</v>
      </c>
      <c r="E43" s="11">
        <v>8133766</v>
      </c>
      <c r="F43" s="11">
        <v>5941017.1843329575</v>
      </c>
      <c r="G43" s="12">
        <f>Table8414194101324273239434853567111825303946[[#This Row],[VỐN CP]]+Table8414194101324273239434853567111825303946[[#This Row],[LỢI NHUẬN RÒNG]]</f>
        <v>18941017.184332959</v>
      </c>
    </row>
    <row r="44" spans="1:12" ht="15" hidden="1" customHeight="1" x14ac:dyDescent="0.3">
      <c r="A44" s="10" t="s">
        <v>146</v>
      </c>
      <c r="B44" s="11" t="s">
        <v>21</v>
      </c>
      <c r="C44" s="11">
        <v>10</v>
      </c>
      <c r="D44" s="11">
        <v>13000000</v>
      </c>
      <c r="E44" s="11">
        <v>8133766</v>
      </c>
      <c r="F44" s="11">
        <v>5941017.1843329575</v>
      </c>
      <c r="G44" s="12">
        <f>Table8414194101324273239434853567111825303946[[#This Row],[VỐN CP]]+Table8414194101324273239434853567111825303946[[#This Row],[LỢI NHUẬN RÒNG]]</f>
        <v>18941017.184332959</v>
      </c>
    </row>
    <row r="45" spans="1:12" ht="15" hidden="1" customHeight="1" x14ac:dyDescent="0.3">
      <c r="A45" s="10" t="s">
        <v>146</v>
      </c>
      <c r="B45" s="11" t="s">
        <v>10</v>
      </c>
      <c r="C45" s="11">
        <v>5</v>
      </c>
      <c r="D45" s="11">
        <v>6500000</v>
      </c>
      <c r="E45" s="11">
        <v>4066883</v>
      </c>
      <c r="F45" s="11">
        <v>2970508.5921664787</v>
      </c>
      <c r="G45" s="12">
        <f>Table8414194101324273239434853567111825303946[[#This Row],[VỐN CP]]+Table8414194101324273239434853567111825303946[[#This Row],[LỢI NHUẬN RÒNG]]</f>
        <v>9470508.5921664797</v>
      </c>
    </row>
    <row r="46" spans="1:12" ht="15" hidden="1" customHeight="1" x14ac:dyDescent="0.3">
      <c r="A46" s="10" t="s">
        <v>146</v>
      </c>
      <c r="B46" s="11" t="s">
        <v>29</v>
      </c>
      <c r="C46" s="11">
        <v>5</v>
      </c>
      <c r="D46" s="11">
        <v>6500000</v>
      </c>
      <c r="E46" s="11">
        <v>4066883</v>
      </c>
      <c r="F46" s="11">
        <v>2970508.5921664787</v>
      </c>
      <c r="G46" s="12">
        <f>Table8414194101324273239434853567111825303946[[#This Row],[VỐN CP]]+Table8414194101324273239434853567111825303946[[#This Row],[LỢI NHUẬN RÒNG]]</f>
        <v>9470508.5921664797</v>
      </c>
    </row>
    <row r="47" spans="1:12" ht="15" hidden="1" customHeight="1" x14ac:dyDescent="0.3">
      <c r="A47" s="10" t="s">
        <v>146</v>
      </c>
      <c r="B47" s="11" t="s">
        <v>43</v>
      </c>
      <c r="C47" s="11">
        <v>10</v>
      </c>
      <c r="D47" s="11">
        <v>13000000</v>
      </c>
      <c r="E47" s="11">
        <v>8133766</v>
      </c>
      <c r="F47" s="11">
        <v>5941017.1843329575</v>
      </c>
      <c r="G47" s="12">
        <f>Table8414194101324273239434853567111825303946[[#This Row],[VỐN CP]]+Table8414194101324273239434853567111825303946[[#This Row],[LỢI NHUẬN RÒNG]]</f>
        <v>18941017.184332959</v>
      </c>
    </row>
    <row r="48" spans="1:12" ht="15" hidden="1" customHeight="1" x14ac:dyDescent="0.3">
      <c r="A48" s="10" t="s">
        <v>146</v>
      </c>
      <c r="B48" s="11" t="s">
        <v>25</v>
      </c>
      <c r="C48" s="11">
        <v>5</v>
      </c>
      <c r="D48" s="11">
        <v>6500000</v>
      </c>
      <c r="E48" s="11">
        <v>4066883</v>
      </c>
      <c r="F48" s="11">
        <v>2970508.5921664787</v>
      </c>
      <c r="G48" s="12">
        <f>Table8414194101324273239434853567111825303946[[#This Row],[VỐN CP]]+Table8414194101324273239434853567111825303946[[#This Row],[LỢI NHUẬN RÒNG]]</f>
        <v>9470508.5921664797</v>
      </c>
    </row>
    <row r="49" spans="1:7" ht="15" hidden="1" customHeight="1" x14ac:dyDescent="0.3">
      <c r="A49" s="10" t="s">
        <v>147</v>
      </c>
      <c r="B49" s="11" t="s">
        <v>9</v>
      </c>
      <c r="C49" s="11">
        <v>15</v>
      </c>
      <c r="D49" s="11">
        <v>12900000</v>
      </c>
      <c r="E49" s="11">
        <v>3140005.35</v>
      </c>
      <c r="F49" s="11">
        <v>1814641.1639305227</v>
      </c>
      <c r="G49" s="12">
        <f>Table8414194101324273239434853567111825303946[[#This Row],[VỐN CP]]+Table8414194101324273239434853567111825303946[[#This Row],[LỢI NHUẬN RÒNG]]</f>
        <v>14714641.163930522</v>
      </c>
    </row>
    <row r="50" spans="1:7" ht="15" hidden="1" customHeight="1" x14ac:dyDescent="0.3">
      <c r="A50" s="10" t="s">
        <v>147</v>
      </c>
      <c r="B50" s="11" t="s">
        <v>19</v>
      </c>
      <c r="C50" s="11">
        <v>20</v>
      </c>
      <c r="D50" s="11">
        <v>17200000</v>
      </c>
      <c r="E50" s="11">
        <v>4186673.8</v>
      </c>
      <c r="F50" s="11">
        <v>2419521.5519073633</v>
      </c>
      <c r="G50" s="12">
        <f>Table8414194101324273239434853567111825303946[[#This Row],[VỐN CP]]+Table8414194101324273239434853567111825303946[[#This Row],[LỢI NHUẬN RÒNG]]</f>
        <v>19619521.551907364</v>
      </c>
    </row>
    <row r="51" spans="1:7" ht="15" hidden="1" customHeight="1" x14ac:dyDescent="0.3">
      <c r="A51" s="10" t="s">
        <v>147</v>
      </c>
      <c r="B51" s="11" t="s">
        <v>27</v>
      </c>
      <c r="C51" s="11">
        <v>5</v>
      </c>
      <c r="D51" s="11">
        <v>4300000</v>
      </c>
      <c r="E51" s="11">
        <v>1046668.45</v>
      </c>
      <c r="F51" s="11">
        <v>604880.38797684084</v>
      </c>
      <c r="G51" s="12">
        <f>Table8414194101324273239434853567111825303946[[#This Row],[VỐN CP]]+Table8414194101324273239434853567111825303946[[#This Row],[LỢI NHUẬN RÒNG]]</f>
        <v>4904880.3879768411</v>
      </c>
    </row>
    <row r="52" spans="1:7" ht="15" hidden="1" customHeight="1" x14ac:dyDescent="0.3">
      <c r="A52" s="10" t="s">
        <v>147</v>
      </c>
      <c r="B52" s="11" t="s">
        <v>37</v>
      </c>
      <c r="C52" s="11">
        <v>10</v>
      </c>
      <c r="D52" s="11">
        <v>8600000</v>
      </c>
      <c r="E52" s="11">
        <v>2093336.9</v>
      </c>
      <c r="F52" s="11">
        <v>1209760.7759536817</v>
      </c>
      <c r="G52" s="12">
        <f>Table8414194101324273239434853567111825303946[[#This Row],[VỐN CP]]+Table8414194101324273239434853567111825303946[[#This Row],[LỢI NHUẬN RÒNG]]</f>
        <v>9809760.7759536821</v>
      </c>
    </row>
    <row r="53" spans="1:7" ht="12" hidden="1" customHeight="1" x14ac:dyDescent="0.3">
      <c r="A53" s="10" t="s">
        <v>147</v>
      </c>
      <c r="B53" s="11" t="s">
        <v>33</v>
      </c>
      <c r="C53" s="11">
        <v>5</v>
      </c>
      <c r="D53" s="11">
        <v>4300000</v>
      </c>
      <c r="E53" s="11">
        <v>1046668.45</v>
      </c>
      <c r="F53" s="11">
        <v>604880.38797684084</v>
      </c>
      <c r="G53" s="12">
        <f>Table8414194101324273239434853567111825303946[[#This Row],[VỐN CP]]+Table8414194101324273239434853567111825303946[[#This Row],[LỢI NHUẬN RÒNG]]</f>
        <v>4904880.3879768411</v>
      </c>
    </row>
    <row r="54" spans="1:7" ht="15" hidden="1" customHeight="1" x14ac:dyDescent="0.3">
      <c r="A54" s="10" t="s">
        <v>147</v>
      </c>
      <c r="B54" s="11" t="s">
        <v>31</v>
      </c>
      <c r="C54" s="11">
        <v>20</v>
      </c>
      <c r="D54" s="11">
        <v>17200000</v>
      </c>
      <c r="E54" s="11">
        <v>4186673.8</v>
      </c>
      <c r="F54" s="11">
        <v>2419521.5519073633</v>
      </c>
      <c r="G54" s="12">
        <f>Table8414194101324273239434853567111825303946[[#This Row],[VỐN CP]]+Table8414194101324273239434853567111825303946[[#This Row],[LỢI NHUẬN RÒNG]]</f>
        <v>19619521.551907364</v>
      </c>
    </row>
    <row r="55" spans="1:7" ht="15" hidden="1" customHeight="1" x14ac:dyDescent="0.3">
      <c r="A55" s="10" t="s">
        <v>147</v>
      </c>
      <c r="B55" s="11" t="s">
        <v>21</v>
      </c>
      <c r="C55" s="11">
        <v>10</v>
      </c>
      <c r="D55" s="11">
        <v>8600000</v>
      </c>
      <c r="E55" s="11">
        <v>2093336.9</v>
      </c>
      <c r="F55" s="11">
        <v>1209760.7759536817</v>
      </c>
      <c r="G55" s="12">
        <f>Table8414194101324273239434853567111825303946[[#This Row],[VỐN CP]]+Table8414194101324273239434853567111825303946[[#This Row],[LỢI NHUẬN RÒNG]]</f>
        <v>9809760.7759536821</v>
      </c>
    </row>
    <row r="56" spans="1:7" ht="15" hidden="1" customHeight="1" x14ac:dyDescent="0.3">
      <c r="A56" s="10" t="s">
        <v>147</v>
      </c>
      <c r="B56" s="11" t="s">
        <v>29</v>
      </c>
      <c r="C56" s="18">
        <v>5</v>
      </c>
      <c r="D56" s="18">
        <v>4300000</v>
      </c>
      <c r="E56" s="18">
        <v>1046668.45</v>
      </c>
      <c r="F56" s="18">
        <v>604880.38797684084</v>
      </c>
      <c r="G56" s="12">
        <f>Table8414194101324273239434853567111825303946[[#This Row],[VỐN CP]]+Table8414194101324273239434853567111825303946[[#This Row],[LỢI NHUẬN RÒNG]]</f>
        <v>4904880.3879768411</v>
      </c>
    </row>
    <row r="57" spans="1:7" ht="15" hidden="1" customHeight="1" x14ac:dyDescent="0.3">
      <c r="A57" s="10" t="s">
        <v>147</v>
      </c>
      <c r="B57" s="11" t="s">
        <v>43</v>
      </c>
      <c r="C57" s="11">
        <v>10</v>
      </c>
      <c r="D57" s="11">
        <v>8600000</v>
      </c>
      <c r="E57" s="11">
        <v>2093336.9</v>
      </c>
      <c r="F57" s="11">
        <v>1209760.7759536817</v>
      </c>
      <c r="G57" s="12">
        <f>Table8414194101324273239434853567111825303946[[#This Row],[VỐN CP]]+Table8414194101324273239434853567111825303946[[#This Row],[LỢI NHUẬN RÒNG]]</f>
        <v>9809760.7759536821</v>
      </c>
    </row>
    <row r="58" spans="1:7" ht="15" hidden="1" customHeight="1" x14ac:dyDescent="0.3">
      <c r="A58" s="10" t="s">
        <v>148</v>
      </c>
      <c r="B58" s="11" t="s">
        <v>9</v>
      </c>
      <c r="C58" s="11">
        <v>10</v>
      </c>
      <c r="D58" s="11">
        <v>5000000</v>
      </c>
      <c r="E58" s="11">
        <v>2173570.6</v>
      </c>
      <c r="F58" s="11">
        <v>1706547.631868276</v>
      </c>
      <c r="G58" s="12">
        <f>Table8414194101324273239434853567111825303946[[#This Row],[VỐN CP]]+Table8414194101324273239434853567111825303946[[#This Row],[LỢI NHUẬN RÒNG]]</f>
        <v>6706547.6318682758</v>
      </c>
    </row>
    <row r="59" spans="1:7" ht="15" hidden="1" customHeight="1" x14ac:dyDescent="0.3">
      <c r="A59" s="10" t="s">
        <v>148</v>
      </c>
      <c r="B59" s="11" t="s">
        <v>19</v>
      </c>
      <c r="C59" s="11">
        <v>10</v>
      </c>
      <c r="D59" s="11">
        <v>5000000</v>
      </c>
      <c r="E59" s="11">
        <v>2173570.6</v>
      </c>
      <c r="F59" s="11">
        <v>1706547.631868276</v>
      </c>
      <c r="G59" s="12">
        <f>Table8414194101324273239434853567111825303946[[#This Row],[VỐN CP]]+Table8414194101324273239434853567111825303946[[#This Row],[LỢI NHUẬN RÒNG]]</f>
        <v>6706547.6318682758</v>
      </c>
    </row>
    <row r="60" spans="1:7" ht="15" hidden="1" customHeight="1" x14ac:dyDescent="0.3">
      <c r="A60" s="10" t="s">
        <v>148</v>
      </c>
      <c r="B60" s="11" t="s">
        <v>37</v>
      </c>
      <c r="C60" s="11">
        <v>20</v>
      </c>
      <c r="D60" s="11">
        <v>10000000</v>
      </c>
      <c r="E60" s="11">
        <v>4347141.2</v>
      </c>
      <c r="F60" s="11">
        <v>3413095.2637365521</v>
      </c>
      <c r="G60" s="12">
        <f>Table8414194101324273239434853567111825303946[[#This Row],[VỐN CP]]+Table8414194101324273239434853567111825303946[[#This Row],[LỢI NHUẬN RÒNG]]</f>
        <v>13413095.263736552</v>
      </c>
    </row>
    <row r="61" spans="1:7" ht="15" hidden="1" customHeight="1" x14ac:dyDescent="0.3">
      <c r="A61" s="10" t="s">
        <v>148</v>
      </c>
      <c r="B61" s="11" t="s">
        <v>33</v>
      </c>
      <c r="C61" s="11">
        <v>5</v>
      </c>
      <c r="D61" s="11">
        <v>2500000</v>
      </c>
      <c r="E61" s="11">
        <v>1086785.3</v>
      </c>
      <c r="F61" s="11">
        <v>853273.81593413802</v>
      </c>
      <c r="G61" s="12">
        <f>Table8414194101324273239434853567111825303946[[#This Row],[VỐN CP]]+Table8414194101324273239434853567111825303946[[#This Row],[LỢI NHUẬN RÒNG]]</f>
        <v>3353273.8159341379</v>
      </c>
    </row>
    <row r="62" spans="1:7" ht="15" hidden="1" customHeight="1" x14ac:dyDescent="0.3">
      <c r="A62" s="10" t="s">
        <v>148</v>
      </c>
      <c r="B62" s="11" t="s">
        <v>31</v>
      </c>
      <c r="C62" s="11">
        <v>10</v>
      </c>
      <c r="D62" s="11">
        <v>5000000</v>
      </c>
      <c r="E62" s="11">
        <v>2173570.6</v>
      </c>
      <c r="F62" s="11">
        <v>1706547.631868276</v>
      </c>
      <c r="G62" s="12">
        <f>Table8414194101324273239434853567111825303946[[#This Row],[VỐN CP]]+Table8414194101324273239434853567111825303946[[#This Row],[LỢI NHUẬN RÒNG]]</f>
        <v>6706547.6318682758</v>
      </c>
    </row>
    <row r="63" spans="1:7" ht="15" hidden="1" customHeight="1" x14ac:dyDescent="0.3">
      <c r="A63" s="10" t="s">
        <v>148</v>
      </c>
      <c r="B63" s="11" t="s">
        <v>21</v>
      </c>
      <c r="C63" s="11">
        <v>10</v>
      </c>
      <c r="D63" s="11">
        <v>5000000</v>
      </c>
      <c r="E63" s="11">
        <v>2173570.6</v>
      </c>
      <c r="F63" s="11">
        <v>1706547.631868276</v>
      </c>
      <c r="G63" s="12">
        <f>Table8414194101324273239434853567111825303946[[#This Row],[VỐN CP]]+Table8414194101324273239434853567111825303946[[#This Row],[LỢI NHUẬN RÒNG]]</f>
        <v>6706547.6318682758</v>
      </c>
    </row>
    <row r="64" spans="1:7" ht="15" hidden="1" customHeight="1" x14ac:dyDescent="0.3">
      <c r="A64" s="10" t="s">
        <v>148</v>
      </c>
      <c r="B64" s="11" t="s">
        <v>10</v>
      </c>
      <c r="C64" s="11">
        <v>10</v>
      </c>
      <c r="D64" s="11">
        <v>5000000</v>
      </c>
      <c r="E64" s="11">
        <v>2173570.6</v>
      </c>
      <c r="F64" s="11">
        <v>1706547.631868276</v>
      </c>
      <c r="G64" s="12">
        <f>Table8414194101324273239434853567111825303946[[#This Row],[VỐN CP]]+Table8414194101324273239434853567111825303946[[#This Row],[LỢI NHUẬN RÒNG]]</f>
        <v>6706547.6318682758</v>
      </c>
    </row>
    <row r="65" spans="1:7" ht="15" hidden="1" customHeight="1" x14ac:dyDescent="0.3">
      <c r="A65" s="10" t="s">
        <v>148</v>
      </c>
      <c r="B65" s="11" t="s">
        <v>29</v>
      </c>
      <c r="C65" s="11">
        <v>5</v>
      </c>
      <c r="D65" s="11">
        <v>2500000</v>
      </c>
      <c r="E65" s="11">
        <v>1086785.3</v>
      </c>
      <c r="F65" s="11">
        <v>853273.81593413802</v>
      </c>
      <c r="G65" s="12">
        <f>Table8414194101324273239434853567111825303946[[#This Row],[VỐN CP]]+Table8414194101324273239434853567111825303946[[#This Row],[LỢI NHUẬN RÒNG]]</f>
        <v>3353273.8159341379</v>
      </c>
    </row>
    <row r="66" spans="1:7" ht="15" hidden="1" customHeight="1" x14ac:dyDescent="0.3">
      <c r="A66" s="10" t="s">
        <v>148</v>
      </c>
      <c r="B66" s="11" t="s">
        <v>43</v>
      </c>
      <c r="C66" s="11">
        <v>10</v>
      </c>
      <c r="D66" s="11">
        <v>5000000</v>
      </c>
      <c r="E66" s="11">
        <v>2173570.6</v>
      </c>
      <c r="F66" s="11">
        <v>1706547.631868276</v>
      </c>
      <c r="G66" s="12">
        <f>Table8414194101324273239434853567111825303946[[#This Row],[VỐN CP]]+Table8414194101324273239434853567111825303946[[#This Row],[LỢI NHUẬN RÒNG]]</f>
        <v>6706547.6318682758</v>
      </c>
    </row>
    <row r="67" spans="1:7" ht="15" hidden="1" customHeight="1" x14ac:dyDescent="0.3">
      <c r="A67" s="10" t="s">
        <v>148</v>
      </c>
      <c r="B67" s="11" t="s">
        <v>25</v>
      </c>
      <c r="C67" s="11">
        <v>10</v>
      </c>
      <c r="D67" s="18">
        <v>5000000</v>
      </c>
      <c r="E67" s="18">
        <v>2173570.6</v>
      </c>
      <c r="F67" s="18">
        <v>1706547.631868276</v>
      </c>
      <c r="G67" s="12">
        <f>Table8414194101324273239434853567111825303946[[#This Row],[VỐN CP]]+Table8414194101324273239434853567111825303946[[#This Row],[LỢI NHUẬN RÒNG]]</f>
        <v>6706547.6318682758</v>
      </c>
    </row>
    <row r="68" spans="1:7" ht="15" hidden="1" customHeight="1" x14ac:dyDescent="0.3">
      <c r="A68" s="10" t="s">
        <v>162</v>
      </c>
      <c r="B68" s="11" t="s">
        <v>9</v>
      </c>
      <c r="C68" s="11">
        <v>20</v>
      </c>
      <c r="G68" s="12">
        <v>26451087.676346481</v>
      </c>
    </row>
    <row r="69" spans="1:7" ht="15" hidden="1" customHeight="1" x14ac:dyDescent="0.3">
      <c r="A69" s="10" t="s">
        <v>162</v>
      </c>
      <c r="B69" s="11" t="s">
        <v>19</v>
      </c>
      <c r="C69" s="11">
        <v>10</v>
      </c>
      <c r="G69" s="12">
        <v>13225543.83817324</v>
      </c>
    </row>
    <row r="70" spans="1:7" ht="15" hidden="1" customHeight="1" x14ac:dyDescent="0.3">
      <c r="A70" s="10" t="s">
        <v>162</v>
      </c>
      <c r="B70" s="11" t="s">
        <v>37</v>
      </c>
      <c r="C70" s="11">
        <v>20</v>
      </c>
      <c r="G70" s="12">
        <v>26451087.676346481</v>
      </c>
    </row>
    <row r="71" spans="1:7" ht="15" hidden="1" customHeight="1" x14ac:dyDescent="0.3">
      <c r="A71" s="10" t="s">
        <v>162</v>
      </c>
      <c r="B71" s="11" t="s">
        <v>33</v>
      </c>
      <c r="C71" s="11">
        <v>10</v>
      </c>
      <c r="G71" s="12">
        <v>13225543.83817324</v>
      </c>
    </row>
    <row r="72" spans="1:7" ht="15" hidden="1" customHeight="1" x14ac:dyDescent="0.3">
      <c r="A72" s="10" t="s">
        <v>162</v>
      </c>
      <c r="B72" s="11" t="s">
        <v>31</v>
      </c>
      <c r="C72" s="11">
        <v>5</v>
      </c>
      <c r="G72" s="12">
        <v>6612771.9190866202</v>
      </c>
    </row>
    <row r="73" spans="1:7" ht="15" hidden="1" customHeight="1" x14ac:dyDescent="0.3">
      <c r="A73" s="10" t="s">
        <v>162</v>
      </c>
      <c r="B73" s="11" t="s">
        <v>21</v>
      </c>
      <c r="C73" s="11">
        <v>10</v>
      </c>
      <c r="G73" s="12">
        <v>13225543.83817324</v>
      </c>
    </row>
    <row r="74" spans="1:7" ht="15" hidden="1" customHeight="1" x14ac:dyDescent="0.3">
      <c r="A74" s="10" t="s">
        <v>162</v>
      </c>
      <c r="B74" s="11" t="s">
        <v>13</v>
      </c>
      <c r="C74" s="11">
        <v>5</v>
      </c>
      <c r="G74" s="12">
        <v>6612771.9190866202</v>
      </c>
    </row>
    <row r="75" spans="1:7" ht="15" hidden="1" customHeight="1" x14ac:dyDescent="0.3">
      <c r="A75" s="10" t="s">
        <v>162</v>
      </c>
      <c r="B75" s="11" t="s">
        <v>29</v>
      </c>
      <c r="C75" s="11">
        <v>10</v>
      </c>
      <c r="G75" s="12">
        <v>13225543.83817324</v>
      </c>
    </row>
    <row r="76" spans="1:7" ht="15" hidden="1" customHeight="1" x14ac:dyDescent="0.3">
      <c r="A76" s="10" t="s">
        <v>162</v>
      </c>
      <c r="B76" s="11" t="s">
        <v>161</v>
      </c>
      <c r="C76" s="11">
        <v>10</v>
      </c>
      <c r="G76" s="12">
        <v>13225543.83817324</v>
      </c>
    </row>
    <row r="77" spans="1:7" ht="15" hidden="1" customHeight="1" x14ac:dyDescent="0.3">
      <c r="A77" s="10" t="s">
        <v>163</v>
      </c>
      <c r="B77" s="11" t="s">
        <v>9</v>
      </c>
      <c r="C77" s="11">
        <v>20</v>
      </c>
      <c r="G77" s="12">
        <v>23268557.411953669</v>
      </c>
    </row>
    <row r="78" spans="1:7" ht="15" hidden="1" customHeight="1" x14ac:dyDescent="0.3">
      <c r="A78" s="10" t="s">
        <v>163</v>
      </c>
      <c r="B78" s="11" t="s">
        <v>19</v>
      </c>
      <c r="C78" s="11">
        <v>10</v>
      </c>
      <c r="G78" s="12">
        <v>11634278.705976835</v>
      </c>
    </row>
    <row r="79" spans="1:7" ht="15" hidden="1" customHeight="1" x14ac:dyDescent="0.3">
      <c r="A79" s="10" t="s">
        <v>163</v>
      </c>
      <c r="B79" s="11" t="s">
        <v>37</v>
      </c>
      <c r="C79" s="11">
        <v>20</v>
      </c>
      <c r="G79" s="12">
        <v>23268557.411953669</v>
      </c>
    </row>
    <row r="80" spans="1:7" ht="15" hidden="1" customHeight="1" x14ac:dyDescent="0.3">
      <c r="A80" s="10" t="s">
        <v>163</v>
      </c>
      <c r="B80" s="11" t="s">
        <v>33</v>
      </c>
      <c r="C80" s="11">
        <v>10</v>
      </c>
      <c r="G80" s="12">
        <v>11634278.705976835</v>
      </c>
    </row>
    <row r="81" spans="1:7" ht="15" hidden="1" customHeight="1" x14ac:dyDescent="0.3">
      <c r="A81" s="10" t="s">
        <v>163</v>
      </c>
      <c r="B81" s="11" t="s">
        <v>31</v>
      </c>
      <c r="C81" s="11">
        <v>5</v>
      </c>
      <c r="G81" s="12">
        <v>5817139.3529884173</v>
      </c>
    </row>
    <row r="82" spans="1:7" ht="15" hidden="1" customHeight="1" x14ac:dyDescent="0.3">
      <c r="A82" s="10" t="s">
        <v>163</v>
      </c>
      <c r="B82" s="11" t="s">
        <v>21</v>
      </c>
      <c r="C82" s="11">
        <v>10</v>
      </c>
      <c r="G82" s="12">
        <v>11634278.705976835</v>
      </c>
    </row>
    <row r="83" spans="1:7" ht="15" hidden="1" customHeight="1" x14ac:dyDescent="0.3">
      <c r="A83" s="10" t="s">
        <v>163</v>
      </c>
      <c r="B83" s="11" t="s">
        <v>13</v>
      </c>
      <c r="C83" s="11">
        <v>5</v>
      </c>
      <c r="G83" s="12">
        <v>5817139.3529884173</v>
      </c>
    </row>
    <row r="84" spans="1:7" ht="15" hidden="1" customHeight="1" x14ac:dyDescent="0.3">
      <c r="A84" s="10" t="s">
        <v>163</v>
      </c>
      <c r="B84" s="11" t="s">
        <v>29</v>
      </c>
      <c r="C84" s="11">
        <v>10</v>
      </c>
      <c r="G84" s="12">
        <v>11634278.705976835</v>
      </c>
    </row>
    <row r="85" spans="1:7" ht="15" hidden="1" customHeight="1" x14ac:dyDescent="0.3">
      <c r="A85" s="10" t="s">
        <v>163</v>
      </c>
      <c r="B85" s="11" t="s">
        <v>161</v>
      </c>
      <c r="C85" s="11">
        <v>10</v>
      </c>
      <c r="G85" s="12">
        <v>11634278.705976835</v>
      </c>
    </row>
    <row r="86" spans="1:7" ht="15" hidden="1" customHeight="1" x14ac:dyDescent="0.3">
      <c r="A86" s="20" t="s">
        <v>164</v>
      </c>
      <c r="B86" s="11" t="s">
        <v>9</v>
      </c>
      <c r="C86" s="21">
        <v>10</v>
      </c>
      <c r="D86" s="21"/>
      <c r="E86" s="21"/>
      <c r="F86" s="21"/>
      <c r="G86" s="12">
        <v>3203726.2271779589</v>
      </c>
    </row>
    <row r="87" spans="1:7" ht="15" hidden="1" customHeight="1" x14ac:dyDescent="0.3">
      <c r="A87" s="22" t="s">
        <v>164</v>
      </c>
      <c r="B87" s="11" t="s">
        <v>19</v>
      </c>
      <c r="C87" s="21">
        <v>10</v>
      </c>
      <c r="D87" s="21"/>
      <c r="E87" s="21"/>
      <c r="F87" s="21"/>
      <c r="G87" s="12">
        <v>3203726.2271779589</v>
      </c>
    </row>
    <row r="88" spans="1:7" hidden="1" x14ac:dyDescent="0.3">
      <c r="A88" s="20" t="s">
        <v>164</v>
      </c>
      <c r="B88" s="11" t="s">
        <v>37</v>
      </c>
      <c r="C88" s="21">
        <v>10</v>
      </c>
      <c r="D88" s="21"/>
      <c r="E88" s="21"/>
      <c r="F88" s="21"/>
      <c r="G88" s="12">
        <v>3203726.2271779589</v>
      </c>
    </row>
    <row r="89" spans="1:7" hidden="1" x14ac:dyDescent="0.3">
      <c r="A89" s="22" t="s">
        <v>164</v>
      </c>
      <c r="B89" s="11" t="s">
        <v>33</v>
      </c>
      <c r="C89" s="21">
        <v>10</v>
      </c>
      <c r="D89" s="21"/>
      <c r="E89" s="21"/>
      <c r="F89" s="21"/>
      <c r="G89" s="12">
        <v>3203726.2271779589</v>
      </c>
    </row>
    <row r="90" spans="1:7" hidden="1" x14ac:dyDescent="0.3">
      <c r="A90" s="20" t="s">
        <v>164</v>
      </c>
      <c r="B90" s="11" t="s">
        <v>31</v>
      </c>
      <c r="C90" s="21">
        <v>10</v>
      </c>
      <c r="D90" s="21"/>
      <c r="E90" s="21"/>
      <c r="F90" s="21"/>
      <c r="G90" s="12">
        <v>3203726.2271779589</v>
      </c>
    </row>
    <row r="91" spans="1:7" hidden="1" x14ac:dyDescent="0.3">
      <c r="A91" s="22" t="s">
        <v>164</v>
      </c>
      <c r="B91" s="11" t="s">
        <v>21</v>
      </c>
      <c r="C91" s="21">
        <v>10</v>
      </c>
      <c r="D91" s="21"/>
      <c r="E91" s="21"/>
      <c r="F91" s="21"/>
      <c r="G91" s="12">
        <v>3203726.2271779589</v>
      </c>
    </row>
    <row r="92" spans="1:7" hidden="1" x14ac:dyDescent="0.3">
      <c r="A92" s="20" t="s">
        <v>164</v>
      </c>
      <c r="B92" s="11" t="s">
        <v>13</v>
      </c>
      <c r="C92" s="21">
        <v>10</v>
      </c>
      <c r="D92" s="21"/>
      <c r="E92" s="21"/>
      <c r="F92" s="21"/>
      <c r="G92" s="12">
        <v>3203726.2271779589</v>
      </c>
    </row>
    <row r="93" spans="1:7" hidden="1" x14ac:dyDescent="0.3">
      <c r="A93" s="22" t="s">
        <v>164</v>
      </c>
      <c r="B93" s="11" t="s">
        <v>29</v>
      </c>
      <c r="C93" s="21">
        <v>10</v>
      </c>
      <c r="D93" s="21"/>
      <c r="E93" s="21"/>
      <c r="F93" s="21"/>
      <c r="G93" s="12">
        <v>3203726.2271779589</v>
      </c>
    </row>
    <row r="94" spans="1:7" hidden="1" x14ac:dyDescent="0.3">
      <c r="A94" s="20" t="s">
        <v>164</v>
      </c>
      <c r="B94" s="11" t="s">
        <v>43</v>
      </c>
      <c r="C94" s="21">
        <v>10</v>
      </c>
      <c r="D94" s="21"/>
      <c r="E94" s="21"/>
      <c r="F94" s="21"/>
      <c r="G94" s="12">
        <v>3203726.2271779589</v>
      </c>
    </row>
    <row r="95" spans="1:7" hidden="1" x14ac:dyDescent="0.3">
      <c r="A95" s="23" t="s">
        <v>164</v>
      </c>
      <c r="B95" s="11" t="s">
        <v>161</v>
      </c>
      <c r="C95" s="21">
        <v>10</v>
      </c>
      <c r="D95" s="21"/>
      <c r="E95" s="21"/>
      <c r="F95" s="21"/>
      <c r="G95" s="12">
        <v>3203726.2271779589</v>
      </c>
    </row>
    <row r="96" spans="1:7" hidden="1" x14ac:dyDescent="0.3">
      <c r="A96" s="23" t="s">
        <v>165</v>
      </c>
      <c r="B96" s="11" t="s">
        <v>9</v>
      </c>
      <c r="C96" s="21">
        <v>15</v>
      </c>
      <c r="D96" s="21"/>
      <c r="E96" s="21"/>
      <c r="F96" s="21"/>
      <c r="G96" s="12">
        <v>7837089.3407669403</v>
      </c>
    </row>
    <row r="97" spans="1:7" hidden="1" x14ac:dyDescent="0.3">
      <c r="A97" s="23" t="s">
        <v>165</v>
      </c>
      <c r="B97" s="11" t="s">
        <v>37</v>
      </c>
      <c r="C97" s="21">
        <v>20</v>
      </c>
      <c r="D97" s="21"/>
      <c r="E97" s="21"/>
      <c r="F97" s="21"/>
      <c r="G97" s="12">
        <v>10449452.454355918</v>
      </c>
    </row>
    <row r="98" spans="1:7" hidden="1" x14ac:dyDescent="0.3">
      <c r="A98" s="23" t="s">
        <v>165</v>
      </c>
      <c r="B98" s="11" t="s">
        <v>33</v>
      </c>
      <c r="C98" s="21">
        <v>5</v>
      </c>
      <c r="D98" s="21"/>
      <c r="E98" s="21"/>
      <c r="F98" s="21"/>
      <c r="G98" s="12">
        <v>2612363.1135889795</v>
      </c>
    </row>
    <row r="99" spans="1:7" hidden="1" x14ac:dyDescent="0.3">
      <c r="A99" s="23" t="s">
        <v>165</v>
      </c>
      <c r="B99" s="27" t="s">
        <v>46</v>
      </c>
      <c r="C99" s="21">
        <v>10</v>
      </c>
      <c r="D99" s="21"/>
      <c r="E99" s="21"/>
      <c r="F99" s="21"/>
      <c r="G99" s="12">
        <v>5224726.2271779589</v>
      </c>
    </row>
    <row r="100" spans="1:7" hidden="1" x14ac:dyDescent="0.3">
      <c r="A100" s="23" t="s">
        <v>165</v>
      </c>
      <c r="B100" s="11" t="s">
        <v>21</v>
      </c>
      <c r="C100" s="21">
        <v>15</v>
      </c>
      <c r="D100" s="21"/>
      <c r="E100" s="21"/>
      <c r="F100" s="21"/>
      <c r="G100" s="12">
        <v>7837089.3407669403</v>
      </c>
    </row>
    <row r="101" spans="1:7" hidden="1" x14ac:dyDescent="0.3">
      <c r="A101" s="23" t="s">
        <v>165</v>
      </c>
      <c r="B101" s="11" t="s">
        <v>10</v>
      </c>
      <c r="C101" s="21">
        <v>5</v>
      </c>
      <c r="D101" s="21"/>
      <c r="E101" s="21"/>
      <c r="F101" s="21"/>
      <c r="G101" s="12">
        <v>2612363.1135889795</v>
      </c>
    </row>
    <row r="102" spans="1:7" hidden="1" x14ac:dyDescent="0.3">
      <c r="A102" s="23" t="s">
        <v>165</v>
      </c>
      <c r="B102" s="11" t="s">
        <v>29</v>
      </c>
      <c r="C102" s="21">
        <v>5</v>
      </c>
      <c r="D102" s="21"/>
      <c r="E102" s="21"/>
      <c r="F102" s="21"/>
      <c r="G102" s="12">
        <v>2612363.1135889795</v>
      </c>
    </row>
    <row r="103" spans="1:7" hidden="1" x14ac:dyDescent="0.3">
      <c r="A103" s="23" t="s">
        <v>165</v>
      </c>
      <c r="B103" s="11" t="s">
        <v>25</v>
      </c>
      <c r="C103" s="21">
        <v>15</v>
      </c>
      <c r="D103" s="21"/>
      <c r="E103" s="21"/>
      <c r="F103" s="21"/>
      <c r="G103" s="12">
        <v>7837089.3407669403</v>
      </c>
    </row>
    <row r="104" spans="1:7" x14ac:dyDescent="0.3">
      <c r="A104" s="23" t="s">
        <v>165</v>
      </c>
      <c r="B104" s="11" t="s">
        <v>166</v>
      </c>
      <c r="C104" s="21">
        <v>10</v>
      </c>
      <c r="D104" s="21"/>
      <c r="E104" s="21"/>
      <c r="F104" s="21"/>
      <c r="G104" s="12">
        <v>5224726.2271779589</v>
      </c>
    </row>
    <row r="105" spans="1:7" hidden="1" x14ac:dyDescent="0.3">
      <c r="A105" s="23"/>
      <c r="B105" s="21"/>
      <c r="C105" s="21"/>
      <c r="D105" s="21"/>
      <c r="E105" s="21"/>
      <c r="F105" s="21"/>
      <c r="G105" s="12">
        <f>D105+Table8414194101324273239434853567111825303946[[#This Row],[LỢI NHUẬN RÒNG]]</f>
        <v>0</v>
      </c>
    </row>
    <row r="106" spans="1:7" hidden="1" x14ac:dyDescent="0.3">
      <c r="A106" s="23"/>
      <c r="C106" s="21"/>
      <c r="D106" s="21"/>
      <c r="E106" s="21"/>
      <c r="F106" s="21"/>
      <c r="G106" s="12">
        <f>D106+Table8414194101324273239434853567111825303946[[#This Row],[LỢI NHUẬN RÒNG]]</f>
        <v>0</v>
      </c>
    </row>
    <row r="107" spans="1:7" hidden="1" x14ac:dyDescent="0.3">
      <c r="A107" s="23"/>
      <c r="C107" s="21"/>
      <c r="D107" s="21"/>
      <c r="E107" s="21"/>
      <c r="F107" s="21"/>
      <c r="G107" s="12">
        <f>D107+Table8414194101324273239434853567111825303946[[#This Row],[LỢI NHUẬN RÒNG]]</f>
        <v>0</v>
      </c>
    </row>
    <row r="108" spans="1:7" hidden="1" x14ac:dyDescent="0.3">
      <c r="A108" s="23"/>
      <c r="C108" s="21"/>
      <c r="D108" s="21"/>
      <c r="E108" s="21"/>
      <c r="F108" s="21"/>
      <c r="G108" s="12">
        <f>D108+Table8414194101324273239434853567111825303946[[#This Row],[LỢI NHUẬN RÒNG]]</f>
        <v>0</v>
      </c>
    </row>
    <row r="109" spans="1:7" hidden="1" x14ac:dyDescent="0.3">
      <c r="A109" s="23"/>
      <c r="C109" s="21"/>
      <c r="D109" s="21"/>
      <c r="E109" s="21"/>
      <c r="F109" s="21"/>
      <c r="G109" s="12">
        <f>D109+Table8414194101324273239434853567111825303946[[#This Row],[LỢI NHUẬN RÒNG]]</f>
        <v>0</v>
      </c>
    </row>
    <row r="110" spans="1:7" hidden="1" x14ac:dyDescent="0.3">
      <c r="A110" s="23"/>
      <c r="C110" s="21"/>
      <c r="D110" s="21"/>
      <c r="E110" s="21"/>
      <c r="F110" s="21"/>
      <c r="G110" s="12">
        <f>D110+Table8414194101324273239434853567111825303946[[#This Row],[LỢI NHUẬN RÒNG]]</f>
        <v>0</v>
      </c>
    </row>
    <row r="111" spans="1:7" hidden="1" x14ac:dyDescent="0.3">
      <c r="A111" s="23"/>
      <c r="B111" s="21"/>
      <c r="C111" s="21"/>
      <c r="D111" s="21"/>
      <c r="E111" s="21"/>
      <c r="F111" s="21"/>
      <c r="G111" s="12">
        <f>D111+Table8414194101324273239434853567111825303946[[#This Row],[LỢI NHUẬN RÒNG]]</f>
        <v>0</v>
      </c>
    </row>
    <row r="112" spans="1:7" hidden="1" x14ac:dyDescent="0.3">
      <c r="A112" s="23"/>
      <c r="B112" s="21"/>
      <c r="C112" s="21"/>
      <c r="D112" s="21"/>
      <c r="E112" s="21"/>
      <c r="F112" s="21"/>
      <c r="G112" s="12">
        <f>D112+Table8414194101324273239434853567111825303946[[#This Row],[LỢI NHUẬN RÒNG]]</f>
        <v>0</v>
      </c>
    </row>
    <row r="113" spans="1:7" hidden="1" x14ac:dyDescent="0.3">
      <c r="A113" s="23"/>
      <c r="C113" s="21"/>
      <c r="D113" s="21"/>
      <c r="E113" s="21"/>
      <c r="F113" s="21"/>
      <c r="G113" s="12">
        <f>D113+Table8414194101324273239434853567111825303946[[#This Row],[LỢI NHUẬN RÒNG]]</f>
        <v>0</v>
      </c>
    </row>
    <row r="114" spans="1:7" hidden="1" x14ac:dyDescent="0.3">
      <c r="A114" s="23"/>
      <c r="B114" s="21"/>
      <c r="C114" s="21"/>
      <c r="D114" s="21"/>
      <c r="E114" s="21"/>
      <c r="F114" s="21"/>
      <c r="G114" s="12">
        <f>D114+Table8414194101324273239434853567111825303946[[#This Row],[LỢI NHUẬN RÒNG]]</f>
        <v>0</v>
      </c>
    </row>
    <row r="115" spans="1:7" hidden="1" x14ac:dyDescent="0.3">
      <c r="A115" s="23"/>
      <c r="G115" s="12">
        <f>D115+Table8414194101324273239434853567111825303946[[#This Row],[LỢI NHUẬN RÒNG]]</f>
        <v>0</v>
      </c>
    </row>
    <row r="116" spans="1:7" hidden="1" x14ac:dyDescent="0.3">
      <c r="A116" s="23"/>
      <c r="G116" s="12">
        <f>D116+Table8414194101324273239434853567111825303946[[#This Row],[LỢI NHUẬN RÒNG]]</f>
        <v>0</v>
      </c>
    </row>
    <row r="117" spans="1:7" hidden="1" x14ac:dyDescent="0.3">
      <c r="A117" s="23"/>
      <c r="G117" s="12">
        <f>D117+Table8414194101324273239434853567111825303946[[#This Row],[LỢI NHUẬN RÒNG]]</f>
        <v>0</v>
      </c>
    </row>
    <row r="118" spans="1:7" hidden="1" x14ac:dyDescent="0.3">
      <c r="A118" s="23"/>
      <c r="G118" s="12">
        <f>D118+Table8414194101324273239434853567111825303946[[#This Row],[LỢI NHUẬN RÒNG]]</f>
        <v>0</v>
      </c>
    </row>
    <row r="119" spans="1:7" hidden="1" x14ac:dyDescent="0.3">
      <c r="A119" s="23"/>
      <c r="G119" s="12">
        <f>D119+Table8414194101324273239434853567111825303946[[#This Row],[LỢI NHUẬN RÒNG]]</f>
        <v>0</v>
      </c>
    </row>
    <row r="120" spans="1:7" hidden="1" x14ac:dyDescent="0.3">
      <c r="A120" s="23"/>
      <c r="B120" s="21"/>
      <c r="C120" s="21"/>
      <c r="D120" s="21"/>
      <c r="E120" s="21"/>
      <c r="F120" s="21"/>
      <c r="G120" s="12">
        <f>D120+Table8414194101324273239434853567111825303946[[#This Row],[LỢI NHUẬN RÒNG]]</f>
        <v>0</v>
      </c>
    </row>
    <row r="121" spans="1:7" hidden="1" x14ac:dyDescent="0.3">
      <c r="G121" s="12">
        <f>D121+Table8414194101324273239434853567111825303946[[#This Row],[LỢI NHUẬN RÒNG]]</f>
        <v>0</v>
      </c>
    </row>
    <row r="122" spans="1:7" hidden="1" x14ac:dyDescent="0.3">
      <c r="G122" s="12">
        <f>D122+Table8414194101324273239434853567111825303946[[#This Row],[LỢI NHUẬN RÒNG]]</f>
        <v>0</v>
      </c>
    </row>
    <row r="123" spans="1:7" hidden="1" x14ac:dyDescent="0.3">
      <c r="G123" s="12">
        <f>D123+Table8414194101324273239434853567111825303946[[#This Row],[LỢI NHUẬN RÒNG]]</f>
        <v>0</v>
      </c>
    </row>
    <row r="124" spans="1:7" hidden="1" x14ac:dyDescent="0.3">
      <c r="G124" s="12">
        <f>D124+Table8414194101324273239434853567111825303946[[#This Row],[LỢI NHUẬN RÒNG]]</f>
        <v>0</v>
      </c>
    </row>
    <row r="125" spans="1:7" hidden="1" x14ac:dyDescent="0.3">
      <c r="B125" s="24"/>
      <c r="G125" s="12">
        <f>D125+Table8414194101324273239434853567111825303946[[#This Row],[LỢI NHUẬN RÒNG]]</f>
        <v>0</v>
      </c>
    </row>
    <row r="126" spans="1:7" hidden="1" x14ac:dyDescent="0.3">
      <c r="G126" s="12">
        <f>D126+Table8414194101324273239434853567111825303946[[#This Row],[LỢI NHUẬN RÒNG]]</f>
        <v>0</v>
      </c>
    </row>
    <row r="127" spans="1:7" hidden="1" x14ac:dyDescent="0.3">
      <c r="B127" s="21"/>
      <c r="C127" s="21"/>
      <c r="D127" s="21"/>
      <c r="E127" s="21"/>
      <c r="F127" s="21"/>
      <c r="G127" s="12">
        <f>D127+Table8414194101324273239434853567111825303946[[#This Row],[LỢI NHUẬN RÒNG]]</f>
        <v>0</v>
      </c>
    </row>
    <row r="128" spans="1:7" hidden="1" x14ac:dyDescent="0.3">
      <c r="G128" s="12">
        <f>D128+Table8414194101324273239434853567111825303946[[#This Row],[LỢI NHUẬN RÒNG]]</f>
        <v>0</v>
      </c>
    </row>
    <row r="129" spans="1:7" hidden="1" x14ac:dyDescent="0.3">
      <c r="G129" s="12">
        <f>D129+Table8414194101324273239434853567111825303946[[#This Row],[LỢI NHUẬN RÒNG]]</f>
        <v>0</v>
      </c>
    </row>
    <row r="130" spans="1:7" hidden="1" x14ac:dyDescent="0.3">
      <c r="G130" s="12">
        <f>D130+Table8414194101324273239434853567111825303946[[#This Row],[LỢI NHUẬN RÒNG]]</f>
        <v>0</v>
      </c>
    </row>
    <row r="131" spans="1:7" hidden="1" x14ac:dyDescent="0.3">
      <c r="G131" s="12">
        <f>D131+Table8414194101324273239434853567111825303946[[#This Row],[LỢI NHUẬN RÒNG]]</f>
        <v>0</v>
      </c>
    </row>
    <row r="132" spans="1:7" hidden="1" x14ac:dyDescent="0.3">
      <c r="B132" s="24"/>
      <c r="G132" s="12">
        <f>D132+Table8414194101324273239434853567111825303946[[#This Row],[LỢI NHUẬN RÒNG]]</f>
        <v>0</v>
      </c>
    </row>
    <row r="133" spans="1:7" hidden="1" x14ac:dyDescent="0.3">
      <c r="G133" s="12">
        <f>D133+Table8414194101324273239434853567111825303946[[#This Row],[LỢI NHUẬN RÒNG]]</f>
        <v>0</v>
      </c>
    </row>
    <row r="134" spans="1:7" hidden="1" x14ac:dyDescent="0.3">
      <c r="G134" s="12">
        <f>D134+Table8414194101324273239434853567111825303946[[#This Row],[LỢI NHUẬN RÒNG]]</f>
        <v>0</v>
      </c>
    </row>
    <row r="135" spans="1:7" hidden="1" x14ac:dyDescent="0.3">
      <c r="G135" s="12">
        <f>D135+Table8414194101324273239434853567111825303946[[#This Row],[LỢI NHUẬN RÒNG]]</f>
        <v>0</v>
      </c>
    </row>
    <row r="136" spans="1:7" hidden="1" x14ac:dyDescent="0.3">
      <c r="B136" s="21"/>
      <c r="G136" s="12">
        <f>D136+Table8414194101324273239434853567111825303946[[#This Row],[LỢI NHUẬN RÒNG]]</f>
        <v>0</v>
      </c>
    </row>
    <row r="137" spans="1:7" hidden="1" x14ac:dyDescent="0.3">
      <c r="G137" s="12">
        <f>D137+Table8414194101324273239434853567111825303946[[#This Row],[LỢI NHUẬN RÒNG]]</f>
        <v>0</v>
      </c>
    </row>
    <row r="138" spans="1:7" hidden="1" x14ac:dyDescent="0.3">
      <c r="G138" s="12">
        <f>D138+Table8414194101324273239434853567111825303946[[#This Row],[LỢI NHUẬN RÒNG]]</f>
        <v>0</v>
      </c>
    </row>
    <row r="139" spans="1:7" hidden="1" x14ac:dyDescent="0.3">
      <c r="G139" s="12">
        <f>D139+Table8414194101324273239434853567111825303946[[#This Row],[LỢI NHUẬN RÒNG]]</f>
        <v>0</v>
      </c>
    </row>
    <row r="140" spans="1:7" hidden="1" x14ac:dyDescent="0.3">
      <c r="B140" s="24"/>
      <c r="G140" s="12">
        <f>D140+Table8414194101324273239434853567111825303946[[#This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D141+Table8414194101324273239434853567111825303946[[#This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D142+Table8414194101324273239434853567111825303946[[#This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D143+Table8414194101324273239434853567111825303946[[#This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D144+Table8414194101324273239434853567111825303946[[#This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D145+Table8414194101324273239434853567111825303946[[#This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D146+Table8414194101324273239434853567111825303946[[#This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D147+Table8414194101324273239434853567111825303946[[#This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D148+Table8414194101324273239434853567111825303946[[#This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D149+Table8414194101324273239434853567111825303946[[#This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D150+Table8414194101324273239434853567111825303946[[#This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D151+Table8414194101324273239434853567111825303946[[#This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D152+Table8414194101324273239434853567111825303946[[#This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D153+Table8414194101324273239434853567111825303946[[#This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D154+Table8414194101324273239434853567111825303946[[#This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D155+Table8414194101324273239434853567111825303946[[#This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D156+Table8414194101324273239434853567111825303946[[#This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D157+Table8414194101324273239434853567111825303946[[#This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D158+Table8414194101324273239434853567111825303946[[#This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D159+Table8414194101324273239434853567111825303946[[#This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D160+Table8414194101324273239434853567111825303946[[#This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D161+Table8414194101324273239434853567111825303946[[#This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D162+Table8414194101324273239434853567111825303946[[#This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D163+Table8414194101324273239434853567111825303946[[#This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D164+Table8414194101324273239434853567111825303946[[#This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D165+Table8414194101324273239434853567111825303946[[#This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D166+Table8414194101324273239434853567111825303946[[#This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D167+Table8414194101324273239434853567111825303946[[#This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D168+Table8414194101324273239434853567111825303946[[#This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D169+Table8414194101324273239434853567111825303946[[#This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D170+Table8414194101324273239434853567111825303946[[#This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D171+Table8414194101324273239434853567111825303946[[#This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D172+Table8414194101324273239434853567111825303946[[#This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D173+Table8414194101324273239434853567111825303946[[#This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D174+Table8414194101324273239434853567111825303946[[#This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D175+Table8414194101324273239434853567111825303946[[#This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D176+Table8414194101324273239434853567111825303946[[#This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D177+Table8414194101324273239434853567111825303946[[#This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D178+Table8414194101324273239434853567111825303946[[#This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D179+Table8414194101324273239434853567111825303946[[#This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D180+Table8414194101324273239434853567111825303946[[#This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D181+Table8414194101324273239434853567111825303946[[#This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D182+Table8414194101324273239434853567111825303946[[#This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D183+Table8414194101324273239434853567111825303946[[#This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D184+Table8414194101324273239434853567111825303946[[#This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D185+Table8414194101324273239434853567111825303946[[#This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D186+Table8414194101324273239434853567111825303946[[#This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D187+Table8414194101324273239434853567111825303946[[#This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D188+Table8414194101324273239434853567111825303946[[#This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D189+Table8414194101324273239434853567111825303946[[#This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D190+Table8414194101324273239434853567111825303946[[#This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D191+Table8414194101324273239434853567111825303946[[#This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D192+Table8414194101324273239434853567111825303946[[#This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D193+Table8414194101324273239434853567111825303946[[#This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D194+Table8414194101324273239434853567111825303946[[#This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D195+Table8414194101324273239434853567111825303946[[#This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D196+Table8414194101324273239434853567111825303946[[#This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D197+Table8414194101324273239434853567111825303946[[#This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D198+Table8414194101324273239434853567111825303946[[#This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D199+Table8414194101324273239434853567111825303946[[#This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D200+Table8414194101324273239434853567111825303946[[#This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D201+Table8414194101324273239434853567111825303946[[#This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D202+Table8414194101324273239434853567111825303946[[#This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D203+Table8414194101324273239434853567111825303946[[#This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D204+Table8414194101324273239434853567111825303946[[#This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D205+Table8414194101324273239434853567111825303946[[#This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Table8414194101324273239434853567111825303946[[#This Row],[VỐN CP]]+Table8414194101324273239434853567111825303946[[#This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Table8414194101324273239434853567111825303946[[#This Row],[VỐN CP]]+Table8414194101324273239434853567111825303946[[#This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Table8414194101324273239434853567111825303946[[#This Row],[VỐN CP]]+Table8414194101324273239434853567111825303946[[#This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Table8414194101324273239434853567111825303946[[#This Row],[VỐN CP]]+Table8414194101324273239434853567111825303946[[#This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Table8414194101324273239434853567111825303946[[#This Row],[VỐN CP]]+Table8414194101324273239434853567111825303946[[#This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Table8414194101324273239434853567111825303946[[#This Row],[VỐN CP]]+Table8414194101324273239434853567111825303946[[#This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Table8414194101324273239434853567111825303946[[#This Row],[VỐN CP]]+Table8414194101324273239434853567111825303946[[#This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Table8414194101324273239434853567111825303946[[#This Row],[VỐN CP]]+Table8414194101324273239434853567111825303946[[#This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Table8414194101324273239434853567111825303946[[#This Row],[VỐN CP]]+Table8414194101324273239434853567111825303946[[#This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Table8414194101324273239434853567111825303946[[#This Row],[VỐN CP]]+Table8414194101324273239434853567111825303946[[#This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Table8414194101324273239434853567111825303946[[#This Row],[VỐN CP]]+Table8414194101324273239434853567111825303946[[#This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Table8414194101324273239434853567111825303946[[#This Row],[VỐN CP]]+Table8414194101324273239434853567111825303946[[#This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Table8414194101324273239434853567111825303946[[#This Row],[VỐN CP]]+Table8414194101324273239434853567111825303946[[#This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Table8414194101324273239434853567111825303946[[#This Row],[VỐN CP]]+Table8414194101324273239434853567111825303946[[#This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Table8414194101324273239434853567111825303946[[#This Row],[VỐN CP]]+Table8414194101324273239434853567111825303946[[#This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Table8414194101324273239434853567111825303946[[#This Row],[VỐN CP]]+Table8414194101324273239434853567111825303946[[#This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Table8414194101324273239434853567111825303946[[#This Row],[VỐN CP]]+Table8414194101324273239434853567111825303946[[#This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Table8414194101324273239434853567111825303946[[#This Row],[VỐN CP]]+Table8414194101324273239434853567111825303946[[#This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Table8414194101324273239434853567111825303946[[#This Row],[VỐN CP]]+Table8414194101324273239434853567111825303946[[#This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Table8414194101324273239434853567111825303946[[#This Row],[VỐN CP]]+Table8414194101324273239434853567111825303946[[#This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Table8414194101324273239434853567111825303946[[#This Row],[VỐN CP]]+Table8414194101324273239434853567111825303946[[#This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Table8414194101324273239434853567111825303946[[#This Row],[VỐN CP]]+Table8414194101324273239434853567111825303946[[#This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Table8414194101324273239434853567111825303946[[#This Row],[VỐN CP]]+Table8414194101324273239434853567111825303946[[#This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Table8414194101324273239434853567111825303946[[#This Row],[VỐN CP]]+Table8414194101324273239434853567111825303946[[#This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Table8414194101324273239434853567111825303946[[#This Row],[VỐN CP]]+Table8414194101324273239434853567111825303946[[#This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Table8414194101324273239434853567111825303946[[#This Row],[VỐN CP]]+Table8414194101324273239434853567111825303946[[#This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Table8414194101324273239434853567111825303946[[#This Row],[VỐN CP]]+Table8414194101324273239434853567111825303946[[#This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Table8414194101324273239434853567111825303946[[#This Row],[VỐN CP]]+Table8414194101324273239434853567111825303946[[#This Row],[LỢI NHUẬN RÒNG]]</f>
        <v>0</v>
      </c>
      <c r="H233" s="28"/>
    </row>
    <row r="234" spans="1:10" hidden="1" x14ac:dyDescent="0.3">
      <c r="A234" s="23"/>
      <c r="G234" s="21">
        <f>Table8414194101324273239434853567111825303946[[#This Row],[VỐN CP]]+Table8414194101324273239434853567111825303946[[#This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Table8414194101324273239434853567111825303946[[#This Row],[VỐN CP]]+Table8414194101324273239434853567111825303946[[#This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Table8414194101324273239434853567111825303946[[#This Row],[VỐN CP]]+Table8414194101324273239434853567111825303946[[#This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Table8414194101324273239434853567111825303946[[#This Row],[VỐN CP]]+Table8414194101324273239434853567111825303946[[#This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Table8414194101324273239434853567111825303946[[#This Row],[VỐN CP]]+Table8414194101324273239434853567111825303946[[#This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Table8414194101324273239434853567111825303946[[#This Row],[VỐN CP]]+Table8414194101324273239434853567111825303946[[#This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Table8414194101324273239434853567111825303946[[#This Row],[VỐN CP]]+Table8414194101324273239434853567111825303946[[#This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Table8414194101324273239434853567111825303946[[#This Row],[VỐN CP]]+Table8414194101324273239434853567111825303946[[#This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Table8414194101324273239434853567111825303946[[#This Row],[VỐN CP]]+Table8414194101324273239434853567111825303946[[#This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Table8414194101324273239434853567111825303946[[#This Row],[VỐN CP]]+Table8414194101324273239434853567111825303946[[#This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Table8414194101324273239434853567111825303946[[#This Row],[VỐN CP]]+Table8414194101324273239434853567111825303946[[#This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Table8414194101324273239434853567111825303946[[#This Row],[VỐN CP]]+Table8414194101324273239434853567111825303946[[#This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Table8414194101324273239434853567111825303946[[#This Row],[VỐN CP]]+Table8414194101324273239434853567111825303946[[#This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Table8414194101324273239434853567111825303946[[#This Row],[VỐN CP]]+Table8414194101324273239434853567111825303946[[#This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Table8414194101324273239434853567111825303946[[#This Row],[VỐN CP]]+Table8414194101324273239434853567111825303946[[#This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Table8414194101324273239434853567111825303946[[#This Row],[VỐN CP]]+Table8414194101324273239434853567111825303946[[#This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Table8414194101324273239434853567111825303946[[#This Row],[VỐN CP]]+Table8414194101324273239434853567111825303946[[#This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Table8414194101324273239434853567111825303946[[#This Row],[VỐN CP]]+Table8414194101324273239434853567111825303946[[#This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Table8414194101324273239434853567111825303946[[#This Row],[VỐN CP]]+Table8414194101324273239434853567111825303946[[#This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Table8414194101324273239434853567111825303946[[#This Row],[VỐN CP]]+Table8414194101324273239434853567111825303946[[#This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Table8414194101324273239434853567111825303946[[#This Row],[VỐN CP]]+Table8414194101324273239434853567111825303946[[#This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Table8414194101324273239434853567111825303946[[#This Row],[VỐN CP]]+Table8414194101324273239434853567111825303946[[#This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Table8414194101324273239434853567111825303946[[#This Row],[VỐN CP]]+Table8414194101324273239434853567111825303946[[#This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Table8414194101324273239434853567111825303946[[#This Row],[VỐN CP]]+Table8414194101324273239434853567111825303946[[#This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Table8414194101324273239434853567111825303946[[#This Row],[VỐN CP]]+Table8414194101324273239434853567111825303946[[#This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Table8414194101324273239434853567111825303946[[#This Row],[VỐN CP]]+Table8414194101324273239434853567111825303946[[#This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Table8414194101324273239434853567111825303946[[#This Row],[VỐN CP]]+Table8414194101324273239434853567111825303946[[#This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Table8414194101324273239434853567111825303946[[#This Row],[VỐN CP]]+Table8414194101324273239434853567111825303946[[#This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Table8414194101324273239434853567111825303946[[#This Row],[VỐN CP]]+Table8414194101324273239434853567111825303946[[#This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Table8414194101324273239434853567111825303946[[#This Row],[VỐN CP]]+Table8414194101324273239434853567111825303946[[#This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Table8414194101324273239434853567111825303946[[#This Row],[VỐN CP]]+Table8414194101324273239434853567111825303946[[#This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Table8414194101324273239434853567111825303946[[#This Row],[VỐN CP]]+Table8414194101324273239434853567111825303946[[#This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Table8414194101324273239434853567111825303946[[#This Row],[VỐN CP]]+Table8414194101324273239434853567111825303946[[#This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Table8414194101324273239434853567111825303946[[#This Row],[VỐN CP]]+Table8414194101324273239434853567111825303946[[#This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Table8414194101324273239434853567111825303946[[#This Row],[VỐN CP]]+Table8414194101324273239434853567111825303946[[#This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Table8414194101324273239434853567111825303946[[#This Row],[VỐN CP]]+Table8414194101324273239434853567111825303946[[#This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Table8414194101324273239434853567111825303946[[#This Row],[VỐN CP]]+Table8414194101324273239434853567111825303946[[#This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Table8414194101324273239434853567111825303946[[#This Row],[VỐN CP]]+Table8414194101324273239434853567111825303946[[#This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Table8414194101324273239434853567111825303946[[#This Row],[VỐN CP]]+Table8414194101324273239434853567111825303946[[#This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Table8414194101324273239434853567111825303946[[#This Row],[VỐN CP]]+Table8414194101324273239434853567111825303946[[#This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Table8414194101324273239434853567111825303946[[#This Row],[VỐN CP]]+Table8414194101324273239434853567111825303946[[#This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Table8414194101324273239434853567111825303946[[#This Row],[VỐN CP]]+Table8414194101324273239434853567111825303946[[#This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Table8414194101324273239434853567111825303946[[#This Row],[VỐN CP]]+Table8414194101324273239434853567111825303946[[#This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Table8414194101324273239434853567111825303946[[#This Row],[VỐN CP]]+Table8414194101324273239434853567111825303946[[#This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Table8414194101324273239434853567111825303946[[#This Row],[VỐN CP]]+Table8414194101324273239434853567111825303946[[#This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Table8414194101324273239434853567111825303946[[#This Row],[VỐN CP]]+Table8414194101324273239434853567111825303946[[#This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Table8414194101324273239434853567111825303946[[#This Row],[VỐN CP]]+Table8414194101324273239434853567111825303946[[#This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Table8414194101324273239434853567111825303946[[#This Row],[VỐN CP]]+Table8414194101324273239434853567111825303946[[#This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Table8414194101324273239434853567111825303946[[#This Row],[VỐN CP]]+Table8414194101324273239434853567111825303946[[#This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Table8414194101324273239434853567111825303946[[#This Row],[VỐN CP]]+Table8414194101324273239434853567111825303946[[#This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Table8414194101324273239434853567111825303946[[#This Row],[VỐN CP]]+Table8414194101324273239434853567111825303946[[#This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Table8414194101324273239434853567111825303946[[#This Row],[VỐN CP]]+Table8414194101324273239434853567111825303946[[#This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Table8414194101324273239434853567111825303946[[#This Row],[VỐN CP]]+Table8414194101324273239434853567111825303946[[#This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Table8414194101324273239434853567111825303946[[#This Row],[VỐN CP]]+Table8414194101324273239434853567111825303946[[#This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Table8414194101324273239434853567111825303946[[#This Row],[VỐN CP]]+Table8414194101324273239434853567111825303946[[#This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Table8414194101324273239434853567111825303946[[#This Row],[VỐN CP]]+Table8414194101324273239434853567111825303946[[#This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Table8414194101324273239434853567111825303946[[#This Row],[VỐN CP]]+Table8414194101324273239434853567111825303946[[#This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Table8414194101324273239434853567111825303946[[#This Row],[VỐN CP]]+Table8414194101324273239434853567111825303946[[#This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Table8414194101324273239434853567111825303946[[#This Row],[VỐN CP]]+Table8414194101324273239434853567111825303946[[#This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Table8414194101324273239434853567111825303946[[#This Row],[VỐN CP]]+Table8414194101324273239434853567111825303946[[#This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Table8414194101324273239434853567111825303946[[#This Row],[VỐN CP]]+Table8414194101324273239434853567111825303946[[#This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Table8414194101324273239434853567111825303946[[#This Row],[VỐN CP]]+Table8414194101324273239434853567111825303946[[#This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Table8414194101324273239434853567111825303946[[#This Row],[VỐN CP]]+Table8414194101324273239434853567111825303946[[#This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Table8414194101324273239434853567111825303946[[#This Row],[VỐN CP]]+Table8414194101324273239434853567111825303946[[#This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Table8414194101324273239434853567111825303946[[#This Row],[VỐN CP]]+Table8414194101324273239434853567111825303946[[#This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Table8414194101324273239434853567111825303946[[#This Row],[VỐN CP]]+Table8414194101324273239434853567111825303946[[#This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Table8414194101324273239434853567111825303946[[#This Row],[VỐN CP]]+Table8414194101324273239434853567111825303946[[#This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Table8414194101324273239434853567111825303946[[#This Row],[VỐN CP]]+Table8414194101324273239434853567111825303946[[#This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Table8414194101324273239434853567111825303946[[#This Row],[VỐN CP]]+Table8414194101324273239434853567111825303946[[#This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Table8414194101324273239434853567111825303946[[#This Row],[VỐN CP]]+Table8414194101324273239434853567111825303946[[#This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Table8414194101324273239434853567111825303946[[#This Row],[VỐN CP]]+Table8414194101324273239434853567111825303946[[#This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Table8414194101324273239434853567111825303946[[#This Row],[VỐN CP]]+Table8414194101324273239434853567111825303946[[#This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Table8414194101324273239434853567111825303946[[#This Row],[VỐN CP]]+Table8414194101324273239434853567111825303946[[#This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Table8414194101324273239434853567111825303946[[#This Row],[VỐN CP]]+Table8414194101324273239434853567111825303946[[#This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Table8414194101324273239434853567111825303946[[#This Row],[VỐN CP]]+Table8414194101324273239434853567111825303946[[#This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Table8414194101324273239434853567111825303946[[#This Row],[VỐN CP]]+Table8414194101324273239434853567111825303946[[#This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Table8414194101324273239434853567111825303946[[#This Row],[VỐN CP]]+Table8414194101324273239434853567111825303946[[#This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Table8414194101324273239434853567111825303946[[#This Row],[VỐN CP]]+Table8414194101324273239434853567111825303946[[#This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Table8414194101324273239434853567111825303946[[#This Row],[VỐN CP]]+Table8414194101324273239434853567111825303946[[#This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Table8414194101324273239434853567111825303946[[#This Row],[VỐN CP]]+Table8414194101324273239434853567111825303946[[#This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Table8414194101324273239434853567111825303946[[#This Row],[VỐN CP]]+Table8414194101324273239434853567111825303946[[#This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Table8414194101324273239434853567111825303946[[#This Row],[VỐN CP]]+Table8414194101324273239434853567111825303946[[#This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Table8414194101324273239434853567111825303946[[#This Row],[VỐN CP]]+Table8414194101324273239434853567111825303946[[#This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Table8414194101324273239434853567111825303946[[#This Row],[VỐN CP]]+Table8414194101324273239434853567111825303946[[#This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Table8414194101324273239434853567111825303946[[#This Row],[VỐN CP]]+Table8414194101324273239434853567111825303946[[#This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Table8414194101324273239434853567111825303946[[#This Row],[VỐN CP]]+Table8414194101324273239434853567111825303946[[#This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Table8414194101324273239434853567111825303946[[#This Row],[VỐN CP]]+Table8414194101324273239434853567111825303946[[#This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Table8414194101324273239434853567111825303946[[#This Row],[VỐN CP]]+Table8414194101324273239434853567111825303946[[#This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Table8414194101324273239434853567111825303946[[#This Row],[VỐN CP]]+Table8414194101324273239434853567111825303946[[#This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Table8414194101324273239434853567111825303946[[#This Row],[VỐN CP]]+Table8414194101324273239434853567111825303946[[#This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Table8414194101324273239434853567111825303946[[#This Row],[VỐN CP]]+Table8414194101324273239434853567111825303946[[#This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Table8414194101324273239434853567111825303946[[#This Row],[VỐN CP]]+Table8414194101324273239434853567111825303946[[#This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Table8414194101324273239434853567111825303946[[#This Row],[VỐN CP]]+Table8414194101324273239434853567111825303946[[#This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Table8414194101324273239434853567111825303946[[#This Row],[VỐN CP]]+Table8414194101324273239434853567111825303946[[#This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Table8414194101324273239434853567111825303946[[#This Row],[VỐN CP]]+Table8414194101324273239434853567111825303946[[#This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Table8414194101324273239434853567111825303946[[#This Row],[VỐN CP]]+Table8414194101324273239434853567111825303946[[#This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Table8414194101324273239434853567111825303946[[#This Row],[VỐN CP]]+Table8414194101324273239434853567111825303946[[#This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Table8414194101324273239434853567111825303946[[#This Row],[VỐN CP]]+Table8414194101324273239434853567111825303946[[#This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Table8414194101324273239434853567111825303946[[#This Row],[VỐN CP]]+Table8414194101324273239434853567111825303946[[#This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Table8414194101324273239434853567111825303946[[#This Row],[VỐN CP]]+Table8414194101324273239434853567111825303946[[#This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Table8414194101324273239434853567111825303946[[#This Row],[VỐN CP]]+Table8414194101324273239434853567111825303946[[#This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Table8414194101324273239434853567111825303946[[#This Row],[VỐN CP]]+Table8414194101324273239434853567111825303946[[#This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Table8414194101324273239434853567111825303946[[#This Row],[VỐN CP]]+Table8414194101324273239434853567111825303946[[#This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Table8414194101324273239434853567111825303946[[#This Row],[VỐN CP]]+Table8414194101324273239434853567111825303946[[#This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Table8414194101324273239434853567111825303946[[#This Row],[VỐN CP]]+Table8414194101324273239434853567111825303946[[#This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Table8414194101324273239434853567111825303946[[#This Row],[VỐN CP]]+Table8414194101324273239434853567111825303946[[#This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Table8414194101324273239434853567111825303946[[#This Row],[VỐN CP]]+Table8414194101324273239434853567111825303946[[#This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Table8414194101324273239434853567111825303946[[#This Row],[VỐN CP]]+Table8414194101324273239434853567111825303946[[#This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Table8414194101324273239434853567111825303946[[#This Row],[VỐN CP]]+Table8414194101324273239434853567111825303946[[#This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Table8414194101324273239434853567111825303946[[#This Row],[VỐN CP]]+Table8414194101324273239434853567111825303946[[#This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Table8414194101324273239434853567111825303946[[#This Row],[VỐN CP]]+Table8414194101324273239434853567111825303946[[#This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Table8414194101324273239434853567111825303946[[#This Row],[VỐN CP]]+Table8414194101324273239434853567111825303946[[#This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Table8414194101324273239434853567111825303946[[#This Row],[VỐN CP]]+Table8414194101324273239434853567111825303946[[#This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Table8414194101324273239434853567111825303946[[#This Row],[VỐN CP]]+Table8414194101324273239434853567111825303946[[#This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Table8414194101324273239434853567111825303946[[#This Row],[VỐN CP]]+Table8414194101324273239434853567111825303946[[#This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Table8414194101324273239434853567111825303946[[#This Row],[VỐN CP]]+Table8414194101324273239434853567111825303946[[#This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Table8414194101324273239434853567111825303946[[#This Row],[VỐN CP]]+Table8414194101324273239434853567111825303946[[#This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Table8414194101324273239434853567111825303946[[#This Row],[VỐN CP]]+Table8414194101324273239434853567111825303946[[#This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Table8414194101324273239434853567111825303946[[#This Row],[VỐN CP]]+Table8414194101324273239434853567111825303946[[#This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Table8414194101324273239434853567111825303946[[#This Row],[VỐN CP]]+Table8414194101324273239434853567111825303946[[#This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Table8414194101324273239434853567111825303946[[#This Row],[VỐN CP]]+Table8414194101324273239434853567111825303946[[#This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Table8414194101324273239434853567111825303946[[#This Row],[VỐN CP]]+Table8414194101324273239434853567111825303946[[#This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Table8414194101324273239434853567111825303946[[#This Row],[VỐN CP]]+Table8414194101324273239434853567111825303946[[#This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Table8414194101324273239434853567111825303946[[#This Row],[VỐN CP]]+Table8414194101324273239434853567111825303946[[#This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Table8414194101324273239434853567111825303946[[#This Row],[VỐN CP]]+Table8414194101324273239434853567111825303946[[#This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Table8414194101324273239434853567111825303946[[#This Row],[VỐN CP]]+Table8414194101324273239434853567111825303946[[#This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Table8414194101324273239434853567111825303946[[#This Row],[VỐN CP]]+Table8414194101324273239434853567111825303946[[#This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Table8414194101324273239434853567111825303946[[#This Row],[VỐN CP]]+Table8414194101324273239434853567111825303946[[#This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Table8414194101324273239434853567111825303946[[#This Row],[VỐN CP]]+Table8414194101324273239434853567111825303946[[#This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Table8414194101324273239434853567111825303946[[#This Row],[VỐN CP]]+Table8414194101324273239434853567111825303946[[#This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Table8414194101324273239434853567111825303946[[#This Row],[VỐN CP]]+Table8414194101324273239434853567111825303946[[#This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Table8414194101324273239434853567111825303946[[#This Row],[VỐN CP]]+Table8414194101324273239434853567111825303946[[#This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Table8414194101324273239434853567111825303946[[#This Row],[VỐN CP]]+Table8414194101324273239434853567111825303946[[#This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Table8414194101324273239434853567111825303946[[#This Row],[VỐN CP]]+Table8414194101324273239434853567111825303946[[#This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Table8414194101324273239434853567111825303946[[#This Row],[VỐN CP]]+Table8414194101324273239434853567111825303946[[#This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Table8414194101324273239434853567111825303946[[#This Row],[VỐN CP]]+Table8414194101324273239434853567111825303946[[#This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Table8414194101324273239434853567111825303946[[#This Row],[VỐN CP]]+Table8414194101324273239434853567111825303946[[#This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Table8414194101324273239434853567111825303946[[#This Row],[VỐN CP]]+Table8414194101324273239434853567111825303946[[#This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Table8414194101324273239434853567111825303946[[#This Row],[VỐN CP]]+Table8414194101324273239434853567111825303946[[#This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Table8414194101324273239434853567111825303946[[#This Row],[VỐN CP]]+Table8414194101324273239434853567111825303946[[#This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Table8414194101324273239434853567111825303946[[#This Row],[VỐN CP]]+Table8414194101324273239434853567111825303946[[#This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Table8414194101324273239434853567111825303946[[#This Row],[VỐN CP]]+Table8414194101324273239434853567111825303946[[#This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Table8414194101324273239434853567111825303946[[#This Row],[VỐN CP]]+Table8414194101324273239434853567111825303946[[#This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Table8414194101324273239434853567111825303946[[#This Row],[VỐN CP]]+Table8414194101324273239434853567111825303946[[#This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Table8414194101324273239434853567111825303946[[#This Row],[VỐN CP]]+Table8414194101324273239434853567111825303946[[#This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Table8414194101324273239434853567111825303946[[#This Row],[VỐN CP]]+Table8414194101324273239434853567111825303946[[#This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Table8414194101324273239434853567111825303946[[#This Row],[VỐN CP]]+Table8414194101324273239434853567111825303946[[#This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Table8414194101324273239434853567111825303946[[#This Row],[VỐN CP]]+Table8414194101324273239434853567111825303946[[#This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Table8414194101324273239434853567111825303946[[#This Row],[VỐN CP]]+Table8414194101324273239434853567111825303946[[#This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Table8414194101324273239434853567111825303946[[#This Row],[VỐN CP]]+Table8414194101324273239434853567111825303946[[#This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Table8414194101324273239434853567111825303946[[#This Row],[VỐN CP]]+Table8414194101324273239434853567111825303946[[#This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Table8414194101324273239434853567111825303946[[#This Row],[VỐN CP]]+Table8414194101324273239434853567111825303946[[#This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Table8414194101324273239434853567111825303946[[#This Row],[VỐN CP]]+Table8414194101324273239434853567111825303946[[#This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Table8414194101324273239434853567111825303946[[#This Row],[VỐN CP]]+Table8414194101324273239434853567111825303946[[#This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Table8414194101324273239434853567111825303946[[#This Row],[VỐN CP]]+Table8414194101324273239434853567111825303946[[#This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Table8414194101324273239434853567111825303946[[#This Row],[VỐN CP]]+Table8414194101324273239434853567111825303946[[#This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Table8414194101324273239434853567111825303946[[#This Row],[VỐN CP]]+Table8414194101324273239434853567111825303946[[#This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Table8414194101324273239434853567111825303946[[#This Row],[VỐN CP]]+Table8414194101324273239434853567111825303946[[#This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Table8414194101324273239434853567111825303946[[#This Row],[VỐN CP]]+Table8414194101324273239434853567111825303946[[#This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Table8414194101324273239434853567111825303946[[#This Row],[VỐN CP]]+Table8414194101324273239434853567111825303946[[#This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Table8414194101324273239434853567111825303946[[#This Row],[VỐN CP]]+Table8414194101324273239434853567111825303946[[#This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Table8414194101324273239434853567111825303946[[#This Row],[VỐN CP]]+Table8414194101324273239434853567111825303946[[#This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Table8414194101324273239434853567111825303946[[#This Row],[VỐN CP]]+Table8414194101324273239434853567111825303946[[#This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Table8414194101324273239434853567111825303946[[#This Row],[VỐN CP]]+Table8414194101324273239434853567111825303946[[#This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Table8414194101324273239434853567111825303946[[#This Row],[VỐN CP]]+Table8414194101324273239434853567111825303946[[#This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Table8414194101324273239434853567111825303946[[#This Row],[VỐN CP]]+Table8414194101324273239434853567111825303946[[#This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Table8414194101324273239434853567111825303946[[#This Row],[VỐN CP]]+Table8414194101324273239434853567111825303946[[#This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Table8414194101324273239434853567111825303946[[#This Row],[VỐN CP]]+Table8414194101324273239434853567111825303946[[#This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Table8414194101324273239434853567111825303946[[#This Row],[VỐN CP]]+Table8414194101324273239434853567111825303946[[#This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Table8414194101324273239434853567111825303946[[#This Row],[VỐN CP]]+Table8414194101324273239434853567111825303946[[#This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Table8414194101324273239434853567111825303946[[#This Row],[VỐN CP]]+Table8414194101324273239434853567111825303946[[#This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Table8414194101324273239434853567111825303946[[#This Row],[VỐN CP]]+Table8414194101324273239434853567111825303946[[#This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Table8414194101324273239434853567111825303946[[#This Row],[VỐN CP]]+Table8414194101324273239434853567111825303946[[#This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Table8414194101324273239434853567111825303946[[#This Row],[VỐN CP]]+Table8414194101324273239434853567111825303946[[#This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Table8414194101324273239434853567111825303946[[#This Row],[VỐN CP]]+Table8414194101324273239434853567111825303946[[#This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Table8414194101324273239434853567111825303946[[#This Row],[VỐN CP]]+Table8414194101324273239434853567111825303946[[#This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Table8414194101324273239434853567111825303946[[#This Row],[VỐN CP]]+Table8414194101324273239434853567111825303946[[#This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Table8414194101324273239434853567111825303946[[#This Row],[VỐN CP]]+Table8414194101324273239434853567111825303946[[#This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Table8414194101324273239434853567111825303946[[#This Row],[VỐN CP]]+Table8414194101324273239434853567111825303946[[#This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Table8414194101324273239434853567111825303946[[#This Row],[VỐN CP]]+Table8414194101324273239434853567111825303946[[#This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Table8414194101324273239434853567111825303946[[#This Row],[VỐN CP]]+Table8414194101324273239434853567111825303946[[#This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Table8414194101324273239434853567111825303946[[#This Row],[VỐN CP]]+Table8414194101324273239434853567111825303946[[#This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Table8414194101324273239434853567111825303946[[#This Row],[VỐN CP]]+Table8414194101324273239434853567111825303946[[#This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Table8414194101324273239434853567111825303946[[#This Row],[VỐN CP]]+Table8414194101324273239434853567111825303946[[#This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Table8414194101324273239434853567111825303946[[#This Row],[VỐN CP]]+Table8414194101324273239434853567111825303946[[#This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Table8414194101324273239434853567111825303946[[#This Row],[VỐN CP]]+Table8414194101324273239434853567111825303946[[#This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Table8414194101324273239434853567111825303946[[#This Row],[VỐN CP]]+Table8414194101324273239434853567111825303946[[#This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SUBTOTAL(109,Table8414194101324273239434853567111825303946[VỐN CP])</f>
        <v>0</v>
      </c>
      <c r="E421" s="21">
        <f>SUBTOTAL(109,Table8414194101324273239434853567111825303946[LỢI NHUẬN GỘP])</f>
        <v>0</v>
      </c>
      <c r="F421" s="21">
        <f>SUBTOTAL(109,Table8414194101324273239434853567111825303946[LỢI NHUẬN RÒNG])</f>
        <v>0</v>
      </c>
      <c r="G421" s="21">
        <f>SUBTOTAL(109,Table8414194101324273239434853567111825303946[TỔNG NHẬN])</f>
        <v>5224726.2271779589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honeticPr fontId="10" type="noConversion"/>
  <pageMargins left="0.7" right="0.7" top="0.75" bottom="0.75" header="0.3" footer="0.3"/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10DD-065D-4909-A8AF-FCCC127DE06B}">
  <sheetPr codeName="Sheet27"/>
  <dimension ref="A1:J39"/>
  <sheetViews>
    <sheetView topLeftCell="A19" workbookViewId="0">
      <selection activeCell="I32" sqref="I31:I32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160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Table73121879162330353842475259101724333843[[#This Row],[VỐN CP]]+Table95152051114252833404449545781522293645[[#This Row],[VỐN CP]]+Table9515205111425283340444954578121926314047[[#This Row],[VỐN CP]]</f>
        <v>82184166.666666672</v>
      </c>
      <c r="C3" s="14">
        <f>Table73121879162330353842475259101724333843[[#This Row],[LỢI NHUẬN GỘP]]+Table95152051114252833404449545781522293645[[#This Row],[LỢI NHUẬN GỘP]]+Table9515205111425283340444954578121926314047[[#This Row],[LỢI NHUẬN GỘP]]</f>
        <v>33741884.700000003</v>
      </c>
      <c r="D3" s="14">
        <f>Table73121879162330353842475259101724333843[[#This Row],[LỢI NHUẬN RÒNG]]+Table95152051114252833404449545781522293645[[#This Row],[LỢI NHUẬN RÒNG]]+Table9515205111425283340444954578121926314047[[#This Row],[LỢI NHUẬN RÒNG]]</f>
        <v>21575702.613605924</v>
      </c>
      <c r="E3" s="14">
        <f>Table73121879162330353842475259101724333843[[#This Row],[TỔNG NHẬN]]+Table95152051114252833404449545781522293645[[#This Row],[TỔNG NHẬN]]+Table9515205111425283340444954578121926314047[[#This Row],[TỔNG NHẬN]]</f>
        <v>106372232.39386156</v>
      </c>
      <c r="F3" s="49">
        <f t="shared" ref="F3:F29" si="0">D3/B3</f>
        <v>0.26252870216614216</v>
      </c>
    </row>
    <row r="4" spans="1:10" x14ac:dyDescent="0.3">
      <c r="A4" s="13" t="s">
        <v>87</v>
      </c>
      <c r="B4" s="14">
        <f>Table73121879162330353842475259101724333843[[#This Row],[VỐN CP]]</f>
        <v>81893333.333333328</v>
      </c>
      <c r="C4" s="14">
        <f>Table73121879162330353842475259101724333843[[#This Row],[LỢI NHUẬN GỘP]]</f>
        <v>27856515.966666665</v>
      </c>
      <c r="D4" s="14">
        <f>Table73121879162330353842475259101724333843[[#This Row],[LỢI NHUẬN RÒNG]]</f>
        <v>14565908.011671914</v>
      </c>
      <c r="E4" s="14">
        <f>Table73121879162330353842475259101724333843[[#This Row],[TỔNG NHẬN]]</f>
        <v>96459241.345005244</v>
      </c>
      <c r="F4" s="49">
        <f t="shared" si="0"/>
        <v>0.17786439284848479</v>
      </c>
      <c r="I4" s="50"/>
    </row>
    <row r="5" spans="1:10" x14ac:dyDescent="0.3">
      <c r="A5" s="13" t="s">
        <v>9</v>
      </c>
      <c r="B5" s="14">
        <f>Table73121879162330353842475259101724333843[[#This Row],[VỐN CP]]+'Tháng 7 nhà S   '!L4+'Tháng 7 nhà G   '!L4</f>
        <v>839709166.66666663</v>
      </c>
      <c r="C5" s="14">
        <f>Table73121879162330353842475259101724333843[[#This Row],[LỢI NHUẬN GỘP]]+'Tháng 7 nhà S   '!M4+'Tháng 7 nhà G   '!M4</f>
        <v>328506195.06083333</v>
      </c>
      <c r="D5" s="14">
        <f>Table73121879162330353842475259101724333843[[#This Row],[LỢI NHUẬN RÒNG]]+'Tháng 7 nhà S   '!N4+'Tháng 7 nhà G   '!N4</f>
        <v>195052104.5528993</v>
      </c>
      <c r="E5" s="14">
        <f>Table73121879162330353842475259101724333843[[#This Row],[TỔNG NHẬN]]+'Tháng 7 nhà S   '!O4+'Tháng 7 nhà G   '!O4</f>
        <v>1095521731.8758111</v>
      </c>
      <c r="F5" s="49">
        <f t="shared" si="0"/>
        <v>0.23228531055244245</v>
      </c>
      <c r="I5" s="50"/>
    </row>
    <row r="6" spans="1:10" x14ac:dyDescent="0.3">
      <c r="A6" s="13" t="s">
        <v>88</v>
      </c>
      <c r="B6" s="14">
        <f>Table73121879162330353842475259101724333843[[#This Row],[VỐN CP]]+'Tháng 7 nhà S   '!L5+'Tháng 7 nhà G   '!L5</f>
        <v>72785833.333333328</v>
      </c>
      <c r="C6" s="14">
        <f>Table73121879162330353842475259101724333843[[#This Row],[LỢI NHUẬN GỘP]]+'Tháng 7 nhà S   '!M5+'Tháng 7 nhà G   '!M5</f>
        <v>29116957.213333331</v>
      </c>
      <c r="D6" s="14">
        <f>Table73121879162330353842475259101724333843[[#This Row],[LỢI NHUẬN RÒNG]]+'Tháng 7 nhà S   '!N5+'Tháng 7 nhà G   '!N5</f>
        <v>16110986.376349313</v>
      </c>
      <c r="E6" s="14">
        <f>Table73121879162330353842475259101724333843[[#This Row],[TỔNG NHẬN]]+'Tháng 7 nhà S   '!O5+'Tháng 7 nhà G   '!O5</f>
        <v>104530457.20893565</v>
      </c>
      <c r="F6" s="49">
        <f t="shared" si="0"/>
        <v>0.22134783155626869</v>
      </c>
    </row>
    <row r="7" spans="1:10" x14ac:dyDescent="0.3">
      <c r="A7" s="13" t="s">
        <v>89</v>
      </c>
      <c r="B7" s="14">
        <f>Table73121879162330353842475259101724333843[[#This Row],[VỐN CP]]+'Tháng 7 nhà S   '!L6</f>
        <v>34338333.333333336</v>
      </c>
      <c r="C7" s="14">
        <f>Table73121879162330353842475259101724333843[[#This Row],[LỢI NHUẬN GỘP]]+'Tháng 7 nhà S   '!M6</f>
        <v>16187549.183333334</v>
      </c>
      <c r="D7" s="14">
        <f>Table73121879162330353842475259101724333843[[#This Row],[LỢI NHUẬN RÒNG]]+'Tháng 7 nhà S   '!N6</f>
        <v>10062092.933918808</v>
      </c>
      <c r="E7" s="14">
        <f>Table73121879162330353842475259101724333843[[#This Row],[TỔNG NHẬN]]+'Tháng 7 nhà S   '!O6</f>
        <v>44400426.26725214</v>
      </c>
      <c r="F7" s="49">
        <f t="shared" si="0"/>
        <v>0.29302799399850915</v>
      </c>
      <c r="I7" s="50"/>
    </row>
    <row r="8" spans="1:10" x14ac:dyDescent="0.3">
      <c r="A8" s="13" t="s">
        <v>17</v>
      </c>
      <c r="B8" s="14">
        <f>'Tháng 7 nhà S   '!L7</f>
        <v>6795000</v>
      </c>
      <c r="C8" s="14">
        <f>'Tháng 7 nhà S   '!M7</f>
        <v>3829256.9</v>
      </c>
      <c r="D8" s="14">
        <f>'Tháng 7 nhà S   '!N7</f>
        <v>2724914.0465526823</v>
      </c>
      <c r="E8" s="14">
        <f>'Tháng 7 nhà S   '!O7</f>
        <v>9519914.0465526804</v>
      </c>
      <c r="F8" s="49">
        <f t="shared" si="0"/>
        <v>0.40101751972813571</v>
      </c>
    </row>
    <row r="9" spans="1:10" x14ac:dyDescent="0.3">
      <c r="A9" s="13" t="s">
        <v>19</v>
      </c>
      <c r="B9" s="14">
        <f>'Tháng 7 nhà T '!L8+'Tháng 7 nhà S   '!L8+'Tháng 7 nhà G   '!L8</f>
        <v>881626666.66666675</v>
      </c>
      <c r="C9" s="14">
        <f>'Tháng 7 nhà T '!M8+'Tháng 7 nhà S   '!M8+'Tháng 7 nhà G   '!M8</f>
        <v>350972658.75833327</v>
      </c>
      <c r="D9" s="14">
        <f>'Tháng 7 nhà T '!N8+'Tháng 7 nhà S   '!N8+'Tháng 7 nhà G   '!N8</f>
        <v>210279333.33970609</v>
      </c>
      <c r="E9" s="14">
        <f>'Tháng 7 nhà T '!O8+'Tháng 7 nhà S   '!O8+'Tháng 7 nhà G   '!O8</f>
        <v>1119969548.7777007</v>
      </c>
      <c r="F9" s="49">
        <f t="shared" si="0"/>
        <v>0.23851290040346565</v>
      </c>
      <c r="I9" s="50"/>
    </row>
    <row r="10" spans="1:10" x14ac:dyDescent="0.3">
      <c r="A10" s="16" t="s">
        <v>21</v>
      </c>
      <c r="B10" s="14">
        <f>'Tháng 7 nhà T '!L9+'Tháng 7 nhà S   '!L9+'Tháng 7 nhà G   '!L9</f>
        <v>460646666.66666669</v>
      </c>
      <c r="C10" s="14">
        <f>'Tháng 7 nhà T '!M9+'Tháng 7 nhà S   '!M9+'Tháng 7 nhà G   '!M9</f>
        <v>191607858.76249999</v>
      </c>
      <c r="D10" s="14">
        <f>'Tháng 7 nhà T '!N9+'Tháng 7 nhà S   '!N9+'Tháng 7 nhà G   '!N9</f>
        <v>118337241.601281</v>
      </c>
      <c r="E10" s="14">
        <f>'Tháng 7 nhà T '!O9+'Tháng 7 nhà S   '!O9+'Tháng 7 nhà G   '!O9</f>
        <v>614884546.38004255</v>
      </c>
      <c r="F10" s="49">
        <f t="shared" si="0"/>
        <v>0.25689373258161929</v>
      </c>
      <c r="J10" s="50"/>
    </row>
    <row r="11" spans="1:10" x14ac:dyDescent="0.3">
      <c r="A11" s="13" t="s">
        <v>23</v>
      </c>
      <c r="B11" s="14">
        <f>'Tháng 7 nhà T '!L10+'Tháng 7 nhà S   '!L10+'Tháng 7 nhà G   '!L10</f>
        <v>51435000</v>
      </c>
      <c r="C11" s="14">
        <f>'Tháng 7 nhà T '!M10+'Tháng 7 nhà S   '!M10+'Tháng 7 nhà G   '!M10</f>
        <v>19462898.383333333</v>
      </c>
      <c r="D11" s="14">
        <f>'Tháng 7 nhà T '!N10+'Tháng 7 nhà S   '!N10+'Tháng 7 nhà G   '!N10</f>
        <v>12441456.856842475</v>
      </c>
      <c r="E11" s="14">
        <f>'Tháng 7 nhà T '!O10+'Tháng 7 nhà S   '!O10+'Tháng 7 nhà G   '!O10</f>
        <v>63876456.856842473</v>
      </c>
      <c r="F11" s="49">
        <f t="shared" si="0"/>
        <v>0.24188698078822737</v>
      </c>
    </row>
    <row r="12" spans="1:10" x14ac:dyDescent="0.3">
      <c r="A12" s="13" t="s">
        <v>25</v>
      </c>
      <c r="B12" s="14">
        <f>'Tháng 7 nhà T '!L16+'Tháng 7 nhà S   '!L11+'Tháng 7 nhà G   '!L11</f>
        <v>130080833.33333333</v>
      </c>
      <c r="C12" s="14">
        <f>'Tháng 7 nhà T '!M16+'Tháng 7 nhà S   '!M11+'Tháng 7 nhà G   '!M11</f>
        <v>54646562.913333341</v>
      </c>
      <c r="D12" s="14">
        <f>'Tháng 7 nhà T '!N16+'Tháng 7 nhà S   '!N11+'Tháng 7 nhà G   '!N11</f>
        <v>36501879.540531702</v>
      </c>
      <c r="E12" s="14">
        <f>'Tháng 7 nhà T '!O16+'Tháng 7 nhà S   '!O11+'Tháng 7 nhà G   '!O11</f>
        <v>174419802.21463197</v>
      </c>
      <c r="F12" s="49">
        <f t="shared" si="0"/>
        <v>0.2806092074071766</v>
      </c>
    </row>
    <row r="13" spans="1:10" x14ac:dyDescent="0.3">
      <c r="A13" s="13" t="s">
        <v>27</v>
      </c>
      <c r="B13" s="14">
        <f>'Tháng 7 nhà T '!L11+'Tháng 7 nhà S   '!L12+'Tháng 7 nhà G   '!L12</f>
        <v>417348333.33333331</v>
      </c>
      <c r="C13" s="14">
        <f>'Tháng 7 nhà T '!M11+'Tháng 7 nhà S   '!M12+'Tháng 7 nhà G   '!M12</f>
        <v>169395511.22499996</v>
      </c>
      <c r="D13" s="14">
        <f>'Tháng 7 nhà T '!N11+'Tháng 7 nhà S   '!N12+'Tháng 7 nhà G   '!N12</f>
        <v>102552005.94798696</v>
      </c>
      <c r="E13" s="14">
        <f>'Tháng 7 nhà T '!O11+'Tháng 7 nhà S   '!O12+'Tháng 7 nhà G   '!O12</f>
        <v>519900339.28132039</v>
      </c>
      <c r="F13" s="49">
        <f t="shared" si="0"/>
        <v>0.2457228117551373</v>
      </c>
    </row>
    <row r="14" spans="1:10" x14ac:dyDescent="0.3">
      <c r="A14" s="13" t="s">
        <v>29</v>
      </c>
      <c r="B14" s="14">
        <f>'Tháng 7 nhà S   '!L13+'Tháng 7 nhà G   '!L13</f>
        <v>62973333.333333328</v>
      </c>
      <c r="C14" s="14">
        <f>'Tháng 7 nhà S   '!M13+'Tháng 7 nhà G   '!M13</f>
        <v>26625049.316666666</v>
      </c>
      <c r="D14" s="14">
        <f>'Tháng 7 nhà S   '!N13+'Tháng 7 nhà G   '!N13</f>
        <v>17479828.167946186</v>
      </c>
      <c r="E14" s="14">
        <f>'Tháng 7 nhà S   '!O13+'Tháng 7 nhà G   '!O13</f>
        <v>111129073.38619652</v>
      </c>
      <c r="F14" s="49">
        <f t="shared" si="0"/>
        <v>0.27757508206562864</v>
      </c>
    </row>
    <row r="15" spans="1:10" x14ac:dyDescent="0.3">
      <c r="A15" s="13" t="s">
        <v>31</v>
      </c>
      <c r="B15" s="14">
        <f>'Tháng 7 nhà T '!L12+'Tháng 7 nhà S   '!L14+'Tháng 7 nhà G   '!L14</f>
        <v>256273333.33333331</v>
      </c>
      <c r="C15" s="14">
        <f>'Tháng 7 nhà T '!M12+'Tháng 7 nhà S   '!M14+'Tháng 7 nhà G   '!M14</f>
        <v>98483274.699999988</v>
      </c>
      <c r="D15" s="14">
        <f>'Tháng 7 nhà T '!N12+'Tháng 7 nhà S   '!N14+'Tháng 7 nhà G   '!N14</f>
        <v>61533916.454447135</v>
      </c>
      <c r="E15" s="14">
        <f>'Tháng 7 nhà T '!O12+'Tháng 7 nhà S   '!O14+'Tháng 7 nhà G   '!O14</f>
        <v>333440887.2870335</v>
      </c>
      <c r="F15" s="49">
        <f t="shared" si="0"/>
        <v>0.24011049317569966</v>
      </c>
    </row>
    <row r="16" spans="1:10" x14ac:dyDescent="0.3">
      <c r="A16" s="13" t="s">
        <v>91</v>
      </c>
      <c r="B16" s="14">
        <f>'Tháng 7 nhà T '!L13</f>
        <v>8400000</v>
      </c>
      <c r="C16" s="14">
        <f>'Tháng 7 nhà T '!M13</f>
        <v>5909850.6666666679</v>
      </c>
      <c r="D16" s="14">
        <f>'Tháng 7 nhà T '!N13</f>
        <v>4251545.7276305733</v>
      </c>
      <c r="E16" s="14">
        <f>'Tháng 7 nhà T '!O13</f>
        <v>12651545.727630574</v>
      </c>
      <c r="F16" s="49">
        <f t="shared" si="0"/>
        <v>0.50613639614649686</v>
      </c>
    </row>
    <row r="17" spans="1:6" x14ac:dyDescent="0.3">
      <c r="A17" s="13" t="s">
        <v>33</v>
      </c>
      <c r="B17" s="14">
        <f>'Tháng 7 nhà T '!L14+'Tháng 7 nhà S   '!L15+'Tháng 7 nhà G   '!L15</f>
        <v>101493333.33333334</v>
      </c>
      <c r="C17" s="14">
        <f>'Tháng 7 nhà T '!M14+'Tháng 7 nhà S   '!M15+'Tháng 7 nhà G   '!M15</f>
        <v>42371337.88333334</v>
      </c>
      <c r="D17" s="14">
        <f>'Tháng 7 nhà T '!N14+'Tháng 7 nhà S   '!N15+'Tháng 7 nhà G   '!N15</f>
        <v>27858258.702810217</v>
      </c>
      <c r="E17" s="14">
        <f>'Tháng 7 nhà T '!O14+'Tháng 7 nhà S   '!O15+'Tháng 7 nhà G   '!O15</f>
        <v>160027503.92106056</v>
      </c>
      <c r="F17" s="49">
        <f t="shared" si="0"/>
        <v>0.27448363146489307</v>
      </c>
    </row>
    <row r="18" spans="1:6" x14ac:dyDescent="0.3">
      <c r="A18" s="13" t="s">
        <v>35</v>
      </c>
      <c r="B18" s="14">
        <f>'Tháng 7 nhà S   '!L16+'Tháng 7 nhà G   '!L16</f>
        <v>51196666.666666672</v>
      </c>
      <c r="C18" s="14">
        <f>'Tháng 7 nhà S   '!M16+'Tháng 7 nhà G   '!M16</f>
        <v>21262623.233333334</v>
      </c>
      <c r="D18" s="14">
        <f>'Tháng 7 nhà S   '!N16+'Tháng 7 nhà G   '!N16</f>
        <v>14021267.588507675</v>
      </c>
      <c r="E18" s="14">
        <f>'Tháng 7 nhà S   '!O16+'Tháng 7 nhà G   '!O16</f>
        <v>65217934.255174354</v>
      </c>
      <c r="F18" s="49">
        <f t="shared" si="0"/>
        <v>0.27387071271256608</v>
      </c>
    </row>
    <row r="19" spans="1:6" x14ac:dyDescent="0.3">
      <c r="A19" s="16" t="s">
        <v>37</v>
      </c>
      <c r="B19" s="14">
        <f>'Tháng 7 nhà T '!L15+'Tháng 7 nhà S   '!L17+'Tháng 7 nhà G   '!L17</f>
        <v>254318333.33333331</v>
      </c>
      <c r="C19" s="14">
        <f>'Tháng 7 nhà T '!M15+'Tháng 7 nhà S   '!M17+'Tháng 7 nhà G   '!M17</f>
        <v>104277291.45000002</v>
      </c>
      <c r="D19" s="14">
        <f>'Tháng 7 nhà T '!N15+'Tháng 7 nhà S   '!N17+'Tháng 7 nhà G   '!N17</f>
        <v>66793841.243326217</v>
      </c>
      <c r="E19" s="14">
        <f>'Tháng 7 nhà T '!O15+'Tháng 7 nhà S   '!O17+'Tháng 7 nhà G   '!O17</f>
        <v>384484998.3464936</v>
      </c>
      <c r="F19" s="51">
        <f t="shared" si="0"/>
        <v>0.26263871883660067</v>
      </c>
    </row>
    <row r="20" spans="1:6" x14ac:dyDescent="0.3">
      <c r="A20" s="13" t="s">
        <v>39</v>
      </c>
      <c r="B20" s="14">
        <f>'Tháng 7 nhà S   '!L18</f>
        <v>1583333.3333333335</v>
      </c>
      <c r="C20" s="14">
        <f>'Tháng 7 nhà S   '!M18</f>
        <v>812008.36666666646</v>
      </c>
      <c r="D20" s="14">
        <f>'Tháng 7 nhà S   '!N18</f>
        <v>608705.60832491517</v>
      </c>
      <c r="E20" s="14">
        <f>'Tháng 7 nhà S   '!O18</f>
        <v>2192038.9416582487</v>
      </c>
      <c r="F20" s="51">
        <f t="shared" si="0"/>
        <v>0.38444564736310427</v>
      </c>
    </row>
    <row r="21" spans="1:6" x14ac:dyDescent="0.3">
      <c r="A21" s="13" t="s">
        <v>41</v>
      </c>
      <c r="B21" s="14">
        <f>'Tháng 7 nhà S   '!L19</f>
        <v>2533333.3333333335</v>
      </c>
      <c r="C21" s="14">
        <f>'Tháng 7 nhà S   '!M19</f>
        <v>1345055.2666666666</v>
      </c>
      <c r="D21" s="14">
        <f>'Tháng 7 nhà S   '!N19</f>
        <v>940902.27002048469</v>
      </c>
      <c r="E21" s="14">
        <f>'Tháng 7 nhà S   '!O19</f>
        <v>3474235.6033538179</v>
      </c>
      <c r="F21" s="51">
        <f t="shared" si="0"/>
        <v>0.37140879079755973</v>
      </c>
    </row>
    <row r="22" spans="1:6" x14ac:dyDescent="0.3">
      <c r="A22" s="13" t="s">
        <v>42</v>
      </c>
      <c r="B22" s="14">
        <f>'Tháng 7 nhà S   '!L20</f>
        <v>2083333.3333333335</v>
      </c>
      <c r="C22" s="14">
        <f>'Tháng 7 nhà S   '!M20</f>
        <v>1233066.5666666664</v>
      </c>
      <c r="D22" s="14">
        <f>'Tháng 7 nhà S   '!N20</f>
        <v>878342.66639691649</v>
      </c>
      <c r="E22" s="14">
        <f>'Tháng 7 nhà S   '!O20</f>
        <v>2961675.9997302499</v>
      </c>
      <c r="F22" s="51">
        <f t="shared" si="0"/>
        <v>0.42160447987051991</v>
      </c>
    </row>
    <row r="23" spans="1:6" x14ac:dyDescent="0.3">
      <c r="A23" s="13" t="s">
        <v>43</v>
      </c>
      <c r="B23" s="14">
        <f>'Tháng 7 nhà S   '!L21+'Tháng 7 nhà G   '!L21</f>
        <v>141243333.33333334</v>
      </c>
      <c r="C23" s="14">
        <f>'Tháng 7 nhà S   '!M21+'Tháng 7 nhà G   '!M21</f>
        <v>57137987.483333334</v>
      </c>
      <c r="D23" s="14">
        <f>'Tháng 7 nhà S   '!N21+'Tháng 7 nhà G   '!N21</f>
        <v>38019100.575431682</v>
      </c>
      <c r="E23" s="14">
        <f>'Tháng 7 nhà S   '!O21+'Tháng 7 nhà G   '!O21</f>
        <v>182466160.13594294</v>
      </c>
      <c r="F23" s="51">
        <f t="shared" si="0"/>
        <v>0.26917447838551684</v>
      </c>
    </row>
    <row r="24" spans="1:6" x14ac:dyDescent="0.3">
      <c r="A24" s="13" t="s">
        <v>44</v>
      </c>
      <c r="B24" s="14">
        <f>'Tháng 7 nhà S   '!L22</f>
        <v>4700000</v>
      </c>
      <c r="C24" s="14">
        <f>'Tháng 7 nhà S   '!M22</f>
        <v>2902653.65</v>
      </c>
      <c r="D24" s="14">
        <f>'Tháng 7 nhà S   '!N22</f>
        <v>1892982.0867404593</v>
      </c>
      <c r="E24" s="14">
        <f>'Tháng 7 nhà S   '!O22</f>
        <v>6592982.0867404593</v>
      </c>
      <c r="F24" s="51">
        <f t="shared" si="0"/>
        <v>0.40276214611499134</v>
      </c>
    </row>
    <row r="25" spans="1:6" x14ac:dyDescent="0.3">
      <c r="A25" s="13" t="s">
        <v>45</v>
      </c>
      <c r="B25" s="14">
        <f>'Tháng 7 nhà S   '!L23</f>
        <v>12925000</v>
      </c>
      <c r="C25" s="14">
        <f>'Tháng 7 nhà S   '!M23</f>
        <v>5776754.583333333</v>
      </c>
      <c r="D25" s="14">
        <f>'Tháng 7 nhà S   '!N23</f>
        <v>3897617.3488850165</v>
      </c>
      <c r="E25" s="14">
        <f>'Tháng 7 nhà S   '!O23</f>
        <v>16822617.348885015</v>
      </c>
      <c r="F25" s="49">
        <f t="shared" si="0"/>
        <v>0.30155646799884073</v>
      </c>
    </row>
    <row r="26" spans="1:6" s="52" customFormat="1" x14ac:dyDescent="0.3">
      <c r="A26" s="13" t="s">
        <v>46</v>
      </c>
      <c r="B26" s="14">
        <f>'Tháng 7 nhà S   '!L24+'Tháng 7 nhà G   '!L24</f>
        <v>13350000</v>
      </c>
      <c r="C26" s="14">
        <f>'Tháng 7 nhà S   '!M24+'Tháng 7 nhà G   '!M24</f>
        <v>4774066.8500000006</v>
      </c>
      <c r="D26" s="14">
        <f>'Tháng 7 nhà S   '!N24+'Tháng 7 nhà G   '!N24</f>
        <v>3049975.2605163776</v>
      </c>
      <c r="E26" s="14">
        <f>'Tháng 7 nhà S   '!O24+'Tháng 7 nhà G   '!O24</f>
        <v>21624701.487694338</v>
      </c>
      <c r="F26" s="49">
        <f t="shared" si="0"/>
        <v>0.2284625663308148</v>
      </c>
    </row>
    <row r="27" spans="1:6" s="52" customFormat="1" x14ac:dyDescent="0.3">
      <c r="A27" s="13" t="s">
        <v>161</v>
      </c>
      <c r="B27" s="14">
        <f>'Tháng 7 nhà G   '!L6</f>
        <v>0</v>
      </c>
      <c r="C27" s="14">
        <f>'Tháng 7 nhà G   '!M6</f>
        <v>0</v>
      </c>
      <c r="D27" s="14">
        <f>'Tháng 7 nhà G   '!N6</f>
        <v>0</v>
      </c>
      <c r="E27" s="14">
        <f>'Tháng 7 nhà G   '!O6</f>
        <v>28063548.771328036</v>
      </c>
      <c r="F27" s="49" t="e">
        <f t="shared" si="0"/>
        <v>#DIV/0!</v>
      </c>
    </row>
    <row r="28" spans="1:6" s="52" customFormat="1" x14ac:dyDescent="0.3">
      <c r="A28" s="13" t="s">
        <v>166</v>
      </c>
      <c r="B28" s="14">
        <f>'Tháng 7 nhà G   '!L18</f>
        <v>0</v>
      </c>
      <c r="C28" s="14">
        <f>'Tháng 7 nhà G   '!M18</f>
        <v>0</v>
      </c>
      <c r="D28" s="14">
        <f>'Tháng 7 nhà G   '!N18</f>
        <v>0</v>
      </c>
      <c r="E28" s="14">
        <f>'Tháng 7 nhà G   '!O18</f>
        <v>5224726.2271779589</v>
      </c>
      <c r="F28" s="49" t="e">
        <f>D28/B28</f>
        <v>#DIV/0!</v>
      </c>
    </row>
    <row r="29" spans="1:6" x14ac:dyDescent="0.3">
      <c r="A29" s="16" t="s">
        <v>129</v>
      </c>
      <c r="B29" s="14">
        <f>'[1]Tháng 9 nhà S '!L25</f>
        <v>1745166666.6666663</v>
      </c>
      <c r="C29" s="17">
        <f>SUBTOTAL(109,C2:C28)</f>
        <v>1598234869.083333</v>
      </c>
      <c r="D29" s="17">
        <f>SUBTOTAL(109,D2:D28)</f>
        <v>981429909.52233028</v>
      </c>
      <c r="E29" s="17">
        <f>SUBTOTAL(109,E2:E28)</f>
        <v>5286229326.174057</v>
      </c>
      <c r="F29" s="51">
        <f t="shared" si="0"/>
        <v>0.56237030437723079</v>
      </c>
    </row>
    <row r="30" spans="1:6" x14ac:dyDescent="0.3">
      <c r="A30" s="16"/>
      <c r="B30" s="17"/>
      <c r="C30" s="17"/>
      <c r="D30" s="17"/>
      <c r="E30" s="17"/>
      <c r="F30" s="51"/>
    </row>
    <row r="32" spans="1:6" x14ac:dyDescent="0.3">
      <c r="B32" s="50"/>
      <c r="C32" s="50"/>
      <c r="D32" s="50"/>
      <c r="E32" s="50"/>
    </row>
    <row r="33" spans="1:10" ht="14.5" x14ac:dyDescent="0.35">
      <c r="B33" s="53"/>
      <c r="C33" s="50"/>
      <c r="D33" s="50"/>
      <c r="E33" s="50"/>
    </row>
    <row r="34" spans="1:10" x14ac:dyDescent="0.3">
      <c r="B34" s="50"/>
      <c r="C34" s="50"/>
      <c r="D34" s="50"/>
      <c r="E34" s="50"/>
      <c r="F34" s="54"/>
    </row>
    <row r="35" spans="1:10" s="52" customFormat="1" x14ac:dyDescent="0.3">
      <c r="A35" s="46"/>
      <c r="B35" s="50"/>
      <c r="C35" s="50"/>
      <c r="D35" s="50"/>
      <c r="E35" s="50"/>
      <c r="G35" s="46"/>
      <c r="H35" s="46"/>
      <c r="I35" s="46"/>
      <c r="J35" s="46"/>
    </row>
    <row r="36" spans="1:10" s="52" customFormat="1" x14ac:dyDescent="0.3">
      <c r="A36" s="46"/>
      <c r="B36" s="50"/>
      <c r="C36" s="50"/>
      <c r="D36" s="50"/>
      <c r="E36" s="50"/>
      <c r="G36" s="46"/>
      <c r="H36" s="46"/>
      <c r="I36" s="46"/>
      <c r="J36" s="46"/>
    </row>
    <row r="38" spans="1:10" s="52" customFormat="1" x14ac:dyDescent="0.3">
      <c r="A38" s="46"/>
      <c r="B38" s="46"/>
      <c r="C38" s="46"/>
      <c r="D38" s="50"/>
      <c r="E38" s="46"/>
      <c r="G38" s="46"/>
      <c r="H38" s="46"/>
      <c r="I38" s="46"/>
      <c r="J38" s="46"/>
    </row>
    <row r="39" spans="1:10" s="52" customFormat="1" x14ac:dyDescent="0.3">
      <c r="A39" s="46"/>
      <c r="B39" s="46"/>
      <c r="C39" s="46"/>
      <c r="D39" s="50"/>
      <c r="E39" s="46"/>
      <c r="G39" s="46"/>
      <c r="H39" s="46"/>
      <c r="I39" s="46"/>
      <c r="J39" s="4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E77F-3F43-4F57-8252-08F4827B672C}">
  <sheetPr codeName="Sheet29"/>
  <dimension ref="A1:O416"/>
  <sheetViews>
    <sheetView topLeftCell="A198" zoomScaleNormal="100" workbookViewId="0">
      <selection activeCell="F67" sqref="F67:F405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168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4313057</v>
      </c>
      <c r="F3" s="11">
        <v>3419561.1188123906</v>
      </c>
      <c r="G3" s="12">
        <f>D3+Table8414194101324273239434853567142128354451[[#This Row],[LỢI NHUẬN RÒNG]]</f>
        <v>11819561.11881239</v>
      </c>
      <c r="K3" s="13" t="s">
        <v>10</v>
      </c>
      <c r="L3" s="14">
        <f>SUMIF(Table8414194101324273239434853567142128354451[CỔ ĐÔNG],K3,Table8414194101324273239434853567142128354451[VỐN CP])</f>
        <v>46988333.333333336</v>
      </c>
      <c r="M3" s="14">
        <f>SUMIF(Table8414194101324273239434853567142128354451[CỔ ĐÔNG],K3,Table8414194101324273239434853567142128354451[LỢI NHUẬN GỘP])</f>
        <v>20787058.283333335</v>
      </c>
      <c r="N3" s="14">
        <f>SUMIF(Table8414194101324273239434853567142128354451[CỔ ĐÔNG],K3,Table8414194101324273239434853567142128354451[LỢI NHUẬN RÒNG])</f>
        <v>13540944.584774282</v>
      </c>
      <c r="O3" s="15">
        <f>SUMIF(Table8414194101324273239434853567142128354451[CỔ ĐÔNG],K3,Table8414194101324273239434853567142128354451[TỔNG NHẬN])</f>
        <v>60529277.918107621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17850000</v>
      </c>
      <c r="E4" s="11">
        <v>2374687.35</v>
      </c>
      <c r="F4" s="11">
        <v>-1224692.4054716467</v>
      </c>
      <c r="G4" s="12">
        <f>D4+Table8414194101324273239434853567142128354451[[#This Row],[LỢI NHUẬN RÒNG]]</f>
        <v>16625307.594528353</v>
      </c>
      <c r="K4" s="13" t="s">
        <v>9</v>
      </c>
      <c r="L4" s="14">
        <f>SUMIF(Table8414194101324273239434853567142128354451[CỔ ĐÔNG],K4,Table8414194101324273239434853567142128354451[VỐN CP])</f>
        <v>374778333.33333331</v>
      </c>
      <c r="M4" s="14">
        <f>SUMIF(Table8414194101324273239434853567142128354451[CỔ ĐÔNG],K4,Table8414194101324273239434853567142128354451[LỢI NHUẬN GỘP])</f>
        <v>149493340.09416664</v>
      </c>
      <c r="N4" s="14">
        <f>SUMIF(Table8414194101324273239434853567142128354451[CỔ ĐÔNG],K4,Table8414194101324273239434853567142128354451[LỢI NHUẬN RÒNG])</f>
        <v>88248168.779535383</v>
      </c>
      <c r="O4" s="15">
        <f>SUMIF(Table8414194101324273239434853567142128354451[CỔ ĐÔNG],Table9515205111425283340444954578152229364552[[#This Row],[CỔ ĐÔNG]],Table8414194101324273239434853567142128354451[TỔNG NHẬN])</f>
        <v>463026502.11286867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12799999.999999998</v>
      </c>
      <c r="E5" s="11">
        <v>7957864.9000000013</v>
      </c>
      <c r="F5" s="11">
        <v>5569669.8518179841</v>
      </c>
      <c r="G5" s="12">
        <f>D5+Table8414194101324273239434853567142128354451[[#This Row],[LỢI NHUẬN RÒNG]]</f>
        <v>18369669.85181798</v>
      </c>
      <c r="K5" s="13" t="s">
        <v>13</v>
      </c>
      <c r="L5" s="14">
        <f>SUMIF(Table8414194101324273239434853567142128354451[CỔ ĐÔNG],K5,Table8414194101324273239434853567142128354451[VỐN CP])</f>
        <v>62752500.000000007</v>
      </c>
      <c r="M5" s="14">
        <f>SUMIF(Table8414194101324273239434853567142128354451[CỔ ĐÔNG],K5,Table8414194101324273239434853567142128354451[LỢI NHUẬN GỘP])</f>
        <v>29769150.046666671</v>
      </c>
      <c r="N5" s="14">
        <f>SUMIF(Table8414194101324273239434853567142128354451[CỔ ĐÔNG],K5,Table8414194101324273239434853567142128354451[LỢI NHUẬN RÒNG])</f>
        <v>17103706.583652932</v>
      </c>
      <c r="O5" s="15">
        <f>SUMIF(Table8414194101324273239434853567142128354451[CỔ ĐÔNG],Table9515205111425283340444954578152229364552[[#This Row],[CỔ ĐÔNG]],Table8414194101324273239434853567142128354451[TỔNG NHẬN])</f>
        <v>79856206.583652928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14340000</v>
      </c>
      <c r="E6" s="11">
        <v>8375101.7999999998</v>
      </c>
      <c r="F6" s="11">
        <v>4482292.7680387385</v>
      </c>
      <c r="G6" s="12">
        <f>D6+Table8414194101324273239434853567142128354451[[#This Row],[LỢI NHUẬN RÒNG]]</f>
        <v>18822292.768038739</v>
      </c>
      <c r="K6" s="13" t="s">
        <v>15</v>
      </c>
      <c r="L6" s="14">
        <f>SUMIF(Table8414194101324273239434853567142128354451[CỔ ĐÔNG],K6,Table8414194101324273239434853567142128354451[VỐN CP])</f>
        <v>0</v>
      </c>
      <c r="M6" s="14">
        <f>SUMIF(Table8414194101324273239434853567142128354451[CỔ ĐÔNG],K6,Table8414194101324273239434853567142128354451[LỢI NHUẬN GỘP])</f>
        <v>0</v>
      </c>
      <c r="N6" s="14">
        <f>SUMIF(Table8414194101324273239434853567142128354451[CỔ ĐÔNG],K6,Table8414194101324273239434853567142128354451[LỢI NHUẬN RÒNG])</f>
        <v>0</v>
      </c>
      <c r="O6" s="15">
        <f>SUMIF(Table8414194101324273239434853567142128354451[CỔ ĐÔNG],K6,Table8414194101324273239434853567142128354451[TỔNG NHẬN])</f>
        <v>0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5128374</v>
      </c>
      <c r="F7" s="11">
        <v>2997659.4599945545</v>
      </c>
      <c r="G7" s="12">
        <f>D7+Table8414194101324273239434853567142128354451[[#This Row],[LỢI NHUẬN RÒNG]]</f>
        <v>20997659.459994555</v>
      </c>
      <c r="I7" s="11"/>
      <c r="K7" s="13" t="s">
        <v>17</v>
      </c>
      <c r="L7" s="14">
        <f>SUMIF(Table8414194101324273239434853567142128354451[CỔ ĐÔNG],K7,Table8414194101324273239434853567142128354451[VỐN CP])</f>
        <v>6795000</v>
      </c>
      <c r="M7" s="14">
        <f>SUMIF(Table8414194101324273239434853567142128354451[CỔ ĐÔNG],K7,Table8414194101324273239434853567142128354451[LỢI NHUẬN GỘP])</f>
        <v>3585753.4499999997</v>
      </c>
      <c r="N7" s="14">
        <f>SUMIF(Table8414194101324273239434853567142128354451[CỔ ĐÔNG],K7,Table8414194101324273239434853567142128354451[LỢI NHUẬN RÒNG])</f>
        <v>2349457.0106840683</v>
      </c>
      <c r="O7" s="15">
        <f>SUMIF(Table8414194101324273239434853567142128354451[CỔ ĐÔNG],Table9515205111425283340444954578152229364552[[#This Row],[CỔ ĐÔNG]],Table8414194101324273239434853567142128354451[TỔNG NHẬN])</f>
        <v>9144457.0106840692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9500000</v>
      </c>
      <c r="E8" s="11">
        <v>4180274.0374999996</v>
      </c>
      <c r="F8" s="11">
        <v>3138384.1058318503</v>
      </c>
      <c r="G8" s="12">
        <f>D8+Table8414194101324273239434853567142128354451[[#This Row],[LỢI NHUẬN RÒNG]]</f>
        <v>12638384.10583185</v>
      </c>
      <c r="K8" s="13" t="s">
        <v>19</v>
      </c>
      <c r="L8" s="14">
        <f>SUMIF(Table8414194101324273239434853567142128354451[CỔ ĐÔNG],K8,Table8414194101324273239434853567142128354451[VỐN CP])</f>
        <v>388916666.66666669</v>
      </c>
      <c r="M8" s="14">
        <f>SUMIF(Table8414194101324273239434853567142128354451[CỔ ĐÔNG],K8,Table8414194101324273239434853567142128354451[LỢI NHUẬN GỘP])</f>
        <v>159596831.00833336</v>
      </c>
      <c r="N8" s="14">
        <f>SUMIF(Table8414194101324273239434853567142128354451[CỔ ĐÔNG],K8,Table8414194101324273239434853567142128354451[LỢI NHUẬN RÒNG])</f>
        <v>92914707.868239611</v>
      </c>
      <c r="O8" s="15">
        <f>SUMIF(Table8414194101324273239434853567142128354451[CỔ ĐÔNG],Table9515205111425283340444954578152229364552[[#This Row],[CỔ ĐÔNG]],Table8414194101324273239434853567142128354451[TỔNG NHẬN])</f>
        <v>481831374.53490615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3463015.3166666664</v>
      </c>
      <c r="F9" s="11">
        <v>2282050.4139266983</v>
      </c>
      <c r="G9" s="12">
        <f>D9+Table8414194101324273239434853567142128354451[[#This Row],[LỢI NHUẬN RÒNG]]</f>
        <v>11282050.413926698</v>
      </c>
      <c r="K9" s="13" t="s">
        <v>21</v>
      </c>
      <c r="L9" s="14">
        <f>SUMIF(Table8414194101324273239434853567142128354451[CỔ ĐÔNG],K9,Table8414194101324273239434853567142128354451[VỐN CP])</f>
        <v>345361666.66666669</v>
      </c>
      <c r="M9" s="14">
        <f>SUMIF(Table8414194101324273239434853567142128354451[CỔ ĐÔNG],K9,Table8414194101324273239434853567142128354451[LỢI NHUẬN GỘP])</f>
        <v>145484882.0625</v>
      </c>
      <c r="N9" s="14">
        <f>SUMIF(Table8414194101324273239434853567142128354451[CỔ ĐÔNG],K9,Table8414194101324273239434853567142128354451[LỢI NHUẬN RÒNG])</f>
        <v>89974380.67487289</v>
      </c>
      <c r="O9" s="15">
        <f>SUMIF(Table8414194101324273239434853567142128354451[CỔ ĐÔNG],Table9515205111425283340444954578152229364552[[#This Row],[CỔ ĐÔNG]],Table8414194101324273239434853567142128354451[TỔNG NHẬN])</f>
        <v>435336047.34153962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1869489.833333333</v>
      </c>
      <c r="F10" s="11">
        <v>1044765.5051311329</v>
      </c>
      <c r="G10" s="12">
        <f>D10+Table8414194101324273239434853567142128354451[[#This Row],[LỢI NHUẬN RÒNG]]</f>
        <v>6544765.5051311329</v>
      </c>
      <c r="I10" s="11"/>
      <c r="K10" s="13" t="s">
        <v>23</v>
      </c>
      <c r="L10" s="14">
        <f>SUMIF(Table8414194101324273239434853567142128354451[CỔ ĐÔNG],K10,Table8414194101324273239434853567142128354451[VỐN CP])</f>
        <v>35135000</v>
      </c>
      <c r="M10" s="14">
        <f>SUMIF(Table8414194101324273239434853567142128354451[CỔ ĐÔNG],K10,Table8414194101324273239434853567142128354451[LỢI NHUẬN GỘP])</f>
        <v>15177169.883333335</v>
      </c>
      <c r="N10" s="14">
        <f>SUMIF(Table8414194101324273239434853567142128354451[CỔ ĐÔNG],K10,Table8414194101324273239434853567142128354451[LỢI NHUẬN RÒNG])</f>
        <v>8602972.1332822014</v>
      </c>
      <c r="O10" s="15">
        <f>SUMIF(Table8414194101324273239434853567142128354451[CỔ ĐÔNG],Table9515205111425283340444954578152229364552[[#This Row],[CỔ ĐÔNG]],Table8414194101324273239434853567142128354451[TỔNG NHẬN])</f>
        <v>43737972.1332822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5910150.3333333349</v>
      </c>
      <c r="F11" s="11">
        <v>4130775.5889690905</v>
      </c>
      <c r="G11" s="12">
        <f>D11+Table8414194101324273239434853567142128354451[[#This Row],[LỢI NHUẬN RÒNG]]</f>
        <v>18910775.588969089</v>
      </c>
      <c r="K11" s="13" t="s">
        <v>25</v>
      </c>
      <c r="L11" s="14">
        <f>SUMIF(Table8414194101324273239434853567142128354451[CỔ ĐÔNG],K11,Table8414194101324273239434853567142128354451[VỐN CP])</f>
        <v>96580833.333333328</v>
      </c>
      <c r="M11" s="14">
        <f>SUMIF(Table8414194101324273239434853567142128354451[CỔ ĐÔNG],K11,Table8414194101324273239434853567142128354451[LỢI NHUẬN GỘP])</f>
        <v>42945603.030000001</v>
      </c>
      <c r="N11" s="14">
        <f>SUMIF(Table8414194101324273239434853567142128354451[CỔ ĐÔNG],K11,Table8414194101324273239434853567142128354451[LỢI NHUẬN RÒNG])</f>
        <v>25549216.219331004</v>
      </c>
      <c r="O11" s="15">
        <f>SUMIF(Table8414194101324273239434853567142128354451[CỔ ĐÔNG],Table9515205111425283340444954578152229364552[[#This Row],[CỔ ĐÔNG]],Table8414194101324273239434853567142128354451[TỔNG NHẬN])</f>
        <v>122130049.55266435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4621618.5</v>
      </c>
      <c r="F12" s="11">
        <v>2481959.7728002532</v>
      </c>
      <c r="G12" s="12">
        <f>D12+Table8414194101324273239434853567142128354451[[#This Row],[LỢI NHUẬN RÒNG]]</f>
        <v>16311959.772800254</v>
      </c>
      <c r="K12" s="13" t="s">
        <v>27</v>
      </c>
      <c r="L12" s="14">
        <f>SUMIF(Table8414194101324273239434853567142128354451[CỔ ĐÔNG],K12,Table8414194101324273239434853567142128354451[VỐN CP])</f>
        <v>78270000</v>
      </c>
      <c r="M12" s="14">
        <f>SUMIF(Table8414194101324273239434853567142128354451[CỔ ĐÔNG],K12,Table8414194101324273239434853567142128354451[LỢI NHUẬN GỘP])</f>
        <v>35629968.875</v>
      </c>
      <c r="N12" s="14">
        <f>SUMIF(Table8414194101324273239434853567142128354451[CỔ ĐÔNG],K12,Table8414194101324273239434853567142128354451[LỢI NHUẬN RÒNG])</f>
        <v>22151960.791470245</v>
      </c>
      <c r="O12" s="15">
        <f>SUMIF(Table8414194101324273239434853567142128354451[CỔ ĐÔNG],Table9515205111425283340444954578152229364552[[#This Row],[CỔ ĐÔNG]],Table8414194101324273239434853567142128354451[TỔNG NHẬN])</f>
        <v>100421960.79147024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SUMIF(Table8414194101324273239434853567142128354451[CỔ ĐÔNG],K13,Table8414194101324273239434853567142128354451[VỐN CP])</f>
        <v>38848333.333333328</v>
      </c>
      <c r="M13" s="14">
        <f>SUMIF(Table8414194101324273239434853567142128354451[CỔ ĐÔNG],K13,Table8414194101324273239434853567142128354451[LỢI NHUẬN GỘP])</f>
        <v>17782293.366666667</v>
      </c>
      <c r="N13" s="14">
        <f>SUMIF(Table8414194101324273239434853567142128354451[CỔ ĐÔNG],K13,Table8414194101324273239434853567142128354451[LỢI NHUẬN RÒNG])</f>
        <v>11212359.467733821</v>
      </c>
      <c r="O13" s="15">
        <f>SUMIF(Table8414194101324273239434853567142128354451[CỔ ĐÔNG],Table9515205111425283340444954578152229364552[[#This Row],[CỔ ĐÔNG]],Table8414194101324273239434853567142128354451[TỔNG NHẬN])</f>
        <v>50060692.801067159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20000000</v>
      </c>
      <c r="E14" s="11">
        <v>4027887.2</v>
      </c>
      <c r="F14" s="11">
        <v>-297100.8680349231</v>
      </c>
      <c r="G14" s="12">
        <f>D14+Table8414194101324273239434853567142128354451[[#This Row],[LỢI NHUẬN RÒNG]]</f>
        <v>19702899.131965078</v>
      </c>
      <c r="K14" s="13" t="s">
        <v>31</v>
      </c>
      <c r="L14" s="14">
        <f>SUMIF(Table8414194101324273239434853567142128354451[CỔ ĐÔNG],K14,Table8414194101324273239434853567142128354451[VỐN CP])</f>
        <v>172040000.00000003</v>
      </c>
      <c r="M14" s="14">
        <f>SUMIF(Table8414194101324273239434853567142128354451[CỔ ĐÔNG],K14,Table8414194101324273239434853567142128354451[LỢI NHUẬN GỘP])</f>
        <v>75508055.266666681</v>
      </c>
      <c r="N14" s="14">
        <f>SUMIF(Table8414194101324273239434853567142128354451[CỔ ĐÔNG],K14,Table8414194101324273239434853567142128354451[LỢI NHUẬN RÒNG])</f>
        <v>44158075.585632622</v>
      </c>
      <c r="O14" s="15">
        <f>SUMIF(Table8414194101324273239434853567142128354451[CỔ ĐÔNG],Table9515205111425283340444954578152229364552[[#This Row],[CỔ ĐÔNG]],Table8414194101324273239434853567142128354451[TỔNG NHẬN])</f>
        <v>216198075.58563259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2828198.7</v>
      </c>
      <c r="F15" s="11">
        <v>1936335.6803895705</v>
      </c>
      <c r="G15" s="12">
        <f>D15+Table8414194101324273239434853567142128354451[[#This Row],[LỢI NHUẬN RÒNG]]</f>
        <v>11086335.68038957</v>
      </c>
      <c r="K15" s="13" t="s">
        <v>33</v>
      </c>
      <c r="L15" s="14">
        <f>SUMIF(Table8414194101324273239434853567142128354451[CỔ ĐÔNG],K15,Table8414194101324273239434853567142128354451[VỐN CP])</f>
        <v>61625000</v>
      </c>
      <c r="M15" s="14">
        <f>SUMIF(Table8414194101324273239434853567142128354451[CỔ ĐÔNG],K15,Table8414194101324273239434853567142128354451[LỢI NHUẬN GỘP])</f>
        <v>27376405.783333343</v>
      </c>
      <c r="N15" s="14">
        <f>SUMIF(Table8414194101324273239434853567142128354451[CỔ ĐÔNG],K15,Table8414194101324273239434853567142128354451[LỢI NHUẬN RÒNG])</f>
        <v>17668922.573308542</v>
      </c>
      <c r="O15" s="15">
        <f>SUMIF(Table8414194101324273239434853567142128354451[CỔ ĐÔNG],Table9515205111425283340444954578152229364552[[#This Row],[CỔ ĐÔNG]],Table8414194101324273239434853567142128354451[TỔNG NHẬN])</f>
        <v>79293922.573308527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2936314.8</v>
      </c>
      <c r="F16" s="11">
        <v>2106827.6335745305</v>
      </c>
      <c r="G16" s="12">
        <f>D16+Table8414194101324273239434853567142128354451[[#This Row],[LỢI NHUẬN RÒNG]]</f>
        <v>8266827.6335745305</v>
      </c>
      <c r="K16" s="13" t="s">
        <v>35</v>
      </c>
      <c r="L16" s="14">
        <f>SUMIF(Table8414194101324273239434853567142128354451[CỔ ĐÔNG],K16,Table8414194101324273239434853567142128354451[VỐN CP])</f>
        <v>51013333.333333336</v>
      </c>
      <c r="M16" s="14">
        <f>SUMIF(Table8414194101324273239434853567142128354451[CỔ ĐÔNG],K16,Table8414194101324273239434853567142128354451[LỢI NHUẬN GỘP])</f>
        <v>22781462.81666667</v>
      </c>
      <c r="N16" s="14">
        <f>SUMIF(Table8414194101324273239434853567142128354451[CỔ ĐÔNG],K16,Table8414194101324273239434853567142128354451[LỢI NHUẬN RÒNG])</f>
        <v>14146866.825192038</v>
      </c>
      <c r="O16" s="15">
        <f>SUMIF(Table8414194101324273239434853567142128354451[CỔ ĐÔNG],Table9515205111425283340444954578152229364552[[#This Row],[CỔ ĐÔNG]],Table8414194101324273239434853567142128354451[TỔNG NHẬN])</f>
        <v>65160200.158525363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9600000</v>
      </c>
      <c r="E17" s="11">
        <v>3070361.8</v>
      </c>
      <c r="F17" s="11">
        <v>2128398.2912328974</v>
      </c>
      <c r="G17" s="12">
        <f>D17+Table8414194101324273239434853567142128354451[[#This Row],[LỢI NHUẬN RÒNG]]</f>
        <v>11728398.291232897</v>
      </c>
      <c r="K17" s="16" t="s">
        <v>37</v>
      </c>
      <c r="L17" s="17">
        <f>SUMIF(Table8414194101324273239434853567142128354451[CỔ ĐÔNG],K17,Table8414194101324273239434853567142128354451[VỐN CP])</f>
        <v>159401666.66666669</v>
      </c>
      <c r="M17" s="17">
        <f>SUMIF(Table8414194101324273239434853567142128354451[CỔ ĐÔNG],K17,Table8414194101324273239434853567142128354451[LỢI NHUẬN GỘP])</f>
        <v>70713439.666666657</v>
      </c>
      <c r="N17" s="17">
        <f>SUMIF(Table8414194101324273239434853567142128354451[CỔ ĐÔNG],K17,Table8414194101324273239434853567142128354451[LỢI NHUẬN RÒNG])</f>
        <v>46104791.190020911</v>
      </c>
      <c r="O17" s="15">
        <f>SUMIF(Table8414194101324273239434853567142128354451[CỔ ĐÔNG],Table9515205111425283340444954578152229364552[[#This Row],[CỔ ĐÔNG]],Table8414194101324273239434853567142128354451[TỔNG NHẬN])</f>
        <v>205506457.85668755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3001370.9333333327</v>
      </c>
      <c r="F18" s="11">
        <v>2019092.48355041</v>
      </c>
      <c r="G18" s="12">
        <f>D18+Table8414194101324273239434853567142128354451[[#This Row],[LỢI NHUẬN RÒNG]]</f>
        <v>7019092.4835504098</v>
      </c>
      <c r="K18" s="13" t="s">
        <v>39</v>
      </c>
      <c r="L18" s="17">
        <f>SUMIF(Table8414194101324273239434853567142128354451[CỔ ĐÔNG],K18,Table8414194101324273239434853567142128354451[VỐN CP])</f>
        <v>1500000</v>
      </c>
      <c r="M18" s="17">
        <f>SUMIF(Table8414194101324273239434853567142128354451[CỔ ĐÔNG],K18,Table8414194101324273239434853567142128354451[LỢI NHUẬN GỘP])</f>
        <v>792637.75</v>
      </c>
      <c r="N18" s="17">
        <f>SUMIF(Table8414194101324273239434853567142128354451[CỔ ĐÔNG],K18,Table8414194101324273239434853567142128354451[LỢI NHUẬN RÒNG])</f>
        <v>493449.50189017353</v>
      </c>
      <c r="O18" s="15">
        <f>SUMIF(Table8414194101324273239434853567142128354451[CỔ ĐÔNG],Table9515205111425283340444954578152229364552[[#This Row],[CỔ ĐÔNG]],Table8414194101324273239434853567142128354451[TỔNG NHẬN])</f>
        <v>1993449.5018901736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983919.4</v>
      </c>
      <c r="F19" s="11">
        <v>664358.67767802696</v>
      </c>
      <c r="G19" s="12">
        <f>D19+Table8414194101324273239434853567142128354451[[#This Row],[LỢI NHUẬN RÒNG]]</f>
        <v>1764358.677678027</v>
      </c>
      <c r="I19" s="11"/>
      <c r="K19" s="13" t="s">
        <v>41</v>
      </c>
      <c r="L19" s="17">
        <f>SUMIF(Table8414194101324273239434853567142128354451[CỔ ĐÔNG],K19,Table8414194101324273239434853567142128354451[VỐN CP])</f>
        <v>2450000</v>
      </c>
      <c r="M19" s="17">
        <f>SUMIF(Table8414194101324273239434853567142128354451[CỔ ĐÔNG],K19,Table8414194101324273239434853567142128354451[LỢI NHUẬN GỘP])</f>
        <v>1283839.8</v>
      </c>
      <c r="N19" s="17">
        <f>SUMIF(Table8414194101324273239434853567142128354451[CỔ ĐÔNG],K19,Table8414194101324273239434853567142128354451[LỢI NHUẬN RÒNG])</f>
        <v>609690.95951585018</v>
      </c>
      <c r="O19" s="15">
        <f>SUMIF(Table8414194101324273239434853567142128354451[CỔ ĐÔNG],Table9515205111425283340444954578152229364552[[#This Row],[CỔ ĐÔNG]],Table8414194101324273239434853567142128354451[TỔNG NHẬN])</f>
        <v>3059690.9595158501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1232302</v>
      </c>
      <c r="F20" s="11">
        <v>977017.462517826</v>
      </c>
      <c r="G20" s="12">
        <f>D20+Table8414194101324273239434853567142128354451[[#This Row],[LỢI NHUẬN RÒNG]]</f>
        <v>3377017.4625178259</v>
      </c>
      <c r="K20" s="13" t="s">
        <v>42</v>
      </c>
      <c r="L20" s="17">
        <f>SUMIF(Table8414194101324273239434853567142128354451[CỔ ĐÔNG],K20,Table8414194101324273239434853567142128354451[VỐN CP])</f>
        <v>2000000</v>
      </c>
      <c r="M20" s="17">
        <f>SUMIF(Table8414194101324273239434853567142128354451[CỔ ĐÔNG],K20,Table8414194101324273239434853567142128354451[LỢI NHUẬN GỘP])</f>
        <v>1263759.25</v>
      </c>
      <c r="N20" s="17">
        <f>SUMIF(Table8414194101324273239434853567142128354451[CỔ ĐÔNG],K20,Table8414194101324273239434853567142128354451[LỢI NHUẬN RÒNG])</f>
        <v>819269.25809793454</v>
      </c>
      <c r="O20" s="15">
        <f>SUMIF(Table8414194101324273239434853567142128354451[CỔ ĐÔNG],Table9515205111425283340444954578152229364552[[#This Row],[CỔ ĐÔNG]],Table8414194101324273239434853567142128354451[TỔNG NHẬN])</f>
        <v>2819269.2580979345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5100000</v>
      </c>
      <c r="E21" s="11">
        <v>678482.1</v>
      </c>
      <c r="F21" s="11">
        <v>-349912.11584904196</v>
      </c>
      <c r="G21" s="12">
        <f>D21+Table8414194101324273239434853567142128354451[[#This Row],[LỢI NHUẬN RÒNG]]</f>
        <v>4750087.8841509577</v>
      </c>
      <c r="K21" s="13" t="s">
        <v>43</v>
      </c>
      <c r="L21" s="17">
        <f>SUMIF(Table8414194101324273239434853567142128354451[CỔ ĐÔNG],K21,Table8414194101324273239434853567142128354451[VỐN CP])</f>
        <v>89901666.666666672</v>
      </c>
      <c r="M21" s="17">
        <f>SUMIF(Table8414194101324273239434853567142128354451[CỔ ĐÔNG],K21,Table8414194101324273239434853567142128354451[LỢI NHUẬN GỘP])</f>
        <v>37620740.549999997</v>
      </c>
      <c r="N21" s="17">
        <f>SUMIF(Table8414194101324273239434853567142128354451[CỔ ĐÔNG],K21,Table8414194101324273239434853567142128354451[LỢI NHUẬN RÒNG])</f>
        <v>22138362.49566697</v>
      </c>
      <c r="O21" s="15">
        <f>SUMIF(Table8414194101324273239434853567142128354451[CỔ ĐÔNG],Table9515205111425283340444954578152229364552[[#This Row],[CỔ ĐÔNG]],Table8414194101324273239434853567142128354451[TỔNG NHẬN])</f>
        <v>112040029.16233364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4266666.666666666</v>
      </c>
      <c r="E22" s="18">
        <v>2652621.6333333338</v>
      </c>
      <c r="F22" s="18">
        <v>1856556.6172726615</v>
      </c>
      <c r="G22" s="12">
        <f>D22+Table8414194101324273239434853567142128354451[[#This Row],[LỢI NHUẬN RÒNG]]</f>
        <v>6123223.283939328</v>
      </c>
      <c r="K22" s="13" t="s">
        <v>44</v>
      </c>
      <c r="L22" s="17">
        <f>SUMIF(Table8414194101324273239434853567142128354451[CỔ ĐÔNG],K22,Table8414194101324273239434853567142128354451[VỐN CP])</f>
        <v>4700000</v>
      </c>
      <c r="M22" s="17">
        <f>SUMIF(Table8414194101324273239434853567142128354451[CỔ ĐÔNG],K22,Table8414194101324273239434853567142128354451[LỢI NHUẬN GỘP])</f>
        <v>2939673.35</v>
      </c>
      <c r="N22" s="17">
        <f>SUMIF(Table8414194101324273239434853567142128354451[CỔ ĐÔNG],K22,Table8414194101324273239434853567142128354451[LỢI NHUẬN RÒNG])</f>
        <v>1541041.903416614</v>
      </c>
      <c r="O22" s="15">
        <f>SUMIF(Table8414194101324273239434853567142128354451[CỔ ĐÔNG],Table9515205111425283340444954578152229364552[[#This Row],[CỔ ĐÔNG]],Table8414194101324273239434853567142128354451[TỔNG NHẬN])</f>
        <v>6241041.903416615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4780000</v>
      </c>
      <c r="E23" s="11">
        <v>2791700.6</v>
      </c>
      <c r="F23" s="11">
        <v>1494097.5893462463</v>
      </c>
      <c r="G23" s="12">
        <f>D23+Table8414194101324273239434853567142128354451[[#This Row],[LỢI NHUẬN RÒNG]]</f>
        <v>6274097.5893462468</v>
      </c>
      <c r="K23" s="13" t="s">
        <v>45</v>
      </c>
      <c r="L23" s="17">
        <f>SUMIF(Table8414194101324273239434853567142128354451[CỔ ĐÔNG],K23,Table8414194101324273239434853567142128354451[VỐN CP])</f>
        <v>12925000</v>
      </c>
      <c r="M23" s="17">
        <f>SUMIF(Table8414194101324273239434853567142128354451[CỔ ĐÔNG],K23,Table8414194101324273239434853567142128354451[LỢI NHUẬN GỘP])</f>
        <v>5293846.6833333336</v>
      </c>
      <c r="N23" s="17">
        <f>SUMIF(Table8414194101324273239434853567142128354451[CỔ ĐÔNG],K23,Table8414194101324273239434853567142128354451[LỢI NHUẬN RÒNG])</f>
        <v>3530363.4887821139</v>
      </c>
      <c r="O23" s="15">
        <f>SUMIF(Table8414194101324273239434853567142128354451[CỔ ĐÔNG],Table9515205111425283340444954578152229364552[[#This Row],[CỔ ĐÔNG]],Table8414194101324273239434853567142128354451[TỔNG NHẬN])</f>
        <v>16455363.488782113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4313057</v>
      </c>
      <c r="F24" s="11">
        <v>3419561.1188123906</v>
      </c>
      <c r="G24" s="12">
        <f>D24+Table8414194101324273239434853567142128354451[[#This Row],[LỢI NHUẬN RÒNG]]</f>
        <v>11819561.11881239</v>
      </c>
      <c r="K24" s="13" t="s">
        <v>46</v>
      </c>
      <c r="L24" s="17">
        <f>SUMIF(Table8414194101324273239434853567142128354451[CỔ ĐÔNG],K24,Table8414194101324273239434853567142128354451[VỐN CP])</f>
        <v>13350000</v>
      </c>
      <c r="M24" s="17">
        <f>SUMIF(Table8414194101324273239434853567142128354451[CỔ ĐÔNG],K24,Table8414194101324273239434853567142128354451[LỢI NHUẬN GỘP])</f>
        <v>6116727.4000000004</v>
      </c>
      <c r="N24" s="17">
        <f>SUMIF(Table8414194101324273239434853567142128354451[CỔ ĐÔNG],K24,Table8414194101324273239434853567142128354451[LỢI NHUẬN RÒNG])</f>
        <v>4063555.3173723104</v>
      </c>
      <c r="O24" s="15">
        <f>SUMIF(Table8414194101324273239434853567142128354451[CỔ ĐÔNG],Table9515205111425283340444954578152229364552[[#This Row],[CỔ ĐÔNG]],Table8414194101324273239434853567142128354451[TỔNG NHẬN])</f>
        <v>17413555.317372311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17850000</v>
      </c>
      <c r="E25" s="11">
        <v>2374687.35</v>
      </c>
      <c r="F25" s="11">
        <v>-1224692.4054716467</v>
      </c>
      <c r="G25" s="12">
        <f>D25+Table8414194101324273239434853567142128354451[[#This Row],[LỢI NHUẬN RÒNG]]</f>
        <v>16625307.594528353</v>
      </c>
      <c r="K25" s="13" t="s">
        <v>47</v>
      </c>
      <c r="L25" s="14">
        <f>SUM(L2:L24)</f>
        <v>2045333333.3333333</v>
      </c>
      <c r="M25" s="14">
        <f>SUM(M2:M24)</f>
        <v>871942638.41666651</v>
      </c>
      <c r="N25" s="14">
        <f>SUM(N2:N24)</f>
        <v>526922263.21247256</v>
      </c>
      <c r="O25" s="14">
        <f>SUM(O2:O24)</f>
        <v>2572255596.5458055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12799999.999999998</v>
      </c>
      <c r="E26" s="11">
        <v>7957864.9000000013</v>
      </c>
      <c r="F26" s="11">
        <v>5569669.8518179841</v>
      </c>
      <c r="G26" s="12">
        <f>D26+Table8414194101324273239434853567142128354451[[#This Row],[LỢI NHUẬN RÒNG]]</f>
        <v>18369669.85181798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14340000</v>
      </c>
      <c r="E27" s="11">
        <v>8375101.7999999998</v>
      </c>
      <c r="F27" s="11">
        <v>4482292.7680387385</v>
      </c>
      <c r="G27" s="12">
        <f>D27+Table8414194101324273239434853567142128354451[[#This Row],[LỢI NHUẬN RÒNG]]</f>
        <v>18822292.768038739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5128374</v>
      </c>
      <c r="F28" s="11">
        <v>2997659.4599945545</v>
      </c>
      <c r="G28" s="12">
        <f>D28+Table8414194101324273239434853567142128354451[[#This Row],[LỢI NHUẬN RÒNG]]</f>
        <v>20997659.459994555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11400000</v>
      </c>
      <c r="E29" s="11">
        <v>5016328.8449999997</v>
      </c>
      <c r="F29" s="11">
        <v>3766060.9269982208</v>
      </c>
      <c r="G29" s="12">
        <f>D29+Table8414194101324273239434853567142128354451[[#This Row],[LỢI NHUẬN RÒNG]]</f>
        <v>15166060.92699822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4155618.38</v>
      </c>
      <c r="F30" s="11">
        <v>2738460.4967120378</v>
      </c>
      <c r="G30" s="12">
        <f>D30+Table8414194101324273239434853567142128354451[[#This Row],[LỢI NHUẬN RÒNG]]</f>
        <v>13538460.496712038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1495591.8666666662</v>
      </c>
      <c r="F31" s="11">
        <v>835812.40410490637</v>
      </c>
      <c r="G31" s="12">
        <f>D31+Table8414194101324273239434853567142128354451[[#This Row],[LỢI NHUẬN RÒNG]]</f>
        <v>5235812.4041049061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7387687.9166666679</v>
      </c>
      <c r="F32" s="11">
        <v>5163469.4862113632</v>
      </c>
      <c r="G32" s="12">
        <f>D32+Table8414194101324273239434853567142128354451[[#This Row],[LỢI NHUẬN RÒNG]]</f>
        <v>23638469.486211363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6162158</v>
      </c>
      <c r="F33" s="11">
        <v>3309279.6970670046</v>
      </c>
      <c r="G33" s="12">
        <f>D33+Table8414194101324273239434853567142128354451[[#This Row],[LỢI NHUẬN RÒNG]]</f>
        <v>21749279.697067004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25000000</v>
      </c>
      <c r="E35" s="11">
        <v>5034859</v>
      </c>
      <c r="F35" s="11">
        <v>-371376.08504365385</v>
      </c>
      <c r="G35" s="12">
        <f>D35+Table8414194101324273239434853567142128354451[[#This Row],[LỢI NHUẬN RÒNG]]</f>
        <v>24628623.914956346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3770931.6</v>
      </c>
      <c r="F36" s="11">
        <v>2581780.9071860937</v>
      </c>
      <c r="G36" s="12">
        <f>D36+Table8414194101324273239434853567142128354451[[#This Row],[LỢI NHUẬN RÒNG]]</f>
        <v>14781780.907186095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1468157.4</v>
      </c>
      <c r="F37" s="11">
        <v>1053413.8167872652</v>
      </c>
      <c r="G37" s="12">
        <f>D37+Table8414194101324273239434853567142128354451[[#This Row],[LỢI NHUẬN RÒNG]]</f>
        <v>4133413.8167872652</v>
      </c>
      <c r="L37" s="11">
        <f>N25+'Tháng 1 nhà T  '!N17</f>
        <v>804190922.66219878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9600000</v>
      </c>
      <c r="E38" s="11">
        <v>3070361.8</v>
      </c>
      <c r="F38" s="11">
        <v>2128398.2912328974</v>
      </c>
      <c r="G38" s="12">
        <f>D38+Table8414194101324273239434853567142128354451[[#This Row],[LỢI NHUẬN RÒNG]]</f>
        <v>11728398.291232897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3001370.9333333327</v>
      </c>
      <c r="F39" s="11">
        <v>2019092.48355041</v>
      </c>
      <c r="G39" s="12">
        <f>D39+Table8414194101324273239434853567142128354451[[#This Row],[LỢI NHUẬN RÒNG]]</f>
        <v>7019092.4835504098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983919.4</v>
      </c>
      <c r="F40" s="11">
        <v>664358.67767802696</v>
      </c>
      <c r="G40" s="12">
        <f>D40+Table8414194101324273239434853567142128354451[[#This Row],[LỢI NHUẬN RÒNG]]</f>
        <v>1764358.677678027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2464604</v>
      </c>
      <c r="F41" s="11">
        <v>1954034.925035652</v>
      </c>
      <c r="G41" s="12">
        <f>D41+Table8414194101324273239434853567142128354451[[#This Row],[LỢI NHUẬN RÒNG]]</f>
        <v>6754034.9250356518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5100000</v>
      </c>
      <c r="E42" s="11">
        <v>678482.1</v>
      </c>
      <c r="F42" s="11">
        <v>-349912.11584904196</v>
      </c>
      <c r="G42" s="12">
        <f>D42+Table8414194101324273239434853567142128354451[[#This Row],[LỢI NHUẬN RÒNG]]</f>
        <v>4750087.8841509577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4780000</v>
      </c>
      <c r="E43" s="11">
        <v>2791700.6</v>
      </c>
      <c r="F43" s="11">
        <v>1494097.5893462463</v>
      </c>
      <c r="G43" s="12">
        <f>D43+Table8414194101324273239434853567142128354451[[#This Row],[LỢI NHUẬN RÒNG]]</f>
        <v>6274097.5893462468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2564187</v>
      </c>
      <c r="F44" s="11">
        <v>1498829.7299972773</v>
      </c>
      <c r="G44" s="12">
        <f>D44+Table8414194101324273239434853567142128354451[[#This Row],[LỢI NHUẬN RÒNG]]</f>
        <v>10498829.729997277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5700000</v>
      </c>
      <c r="E45" s="11">
        <v>2508164.4224999999</v>
      </c>
      <c r="F45" s="11">
        <v>1883030.4634991104</v>
      </c>
      <c r="G45" s="12">
        <f>D45+Table8414194101324273239434853567142128354451[[#This Row],[LỢI NHUẬN RÒNG]]</f>
        <v>7583030.4634991102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2077809.19</v>
      </c>
      <c r="F46" s="11">
        <v>1369230.2483560189</v>
      </c>
      <c r="G46" s="12">
        <f>D46+Table8414194101324273239434853567142128354451[[#This Row],[LỢI NHUẬN RÒNG]]</f>
        <v>6769230.2483560191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1121693.8999999999</v>
      </c>
      <c r="F47" s="11">
        <v>626859.30307867972</v>
      </c>
      <c r="G47" s="12">
        <f>D47+Table8414194101324273239434853567142128354451[[#This Row],[LỢI NHUẬN RÒNG]]</f>
        <v>3926859.3030786798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4432612.7500000009</v>
      </c>
      <c r="F48" s="11">
        <v>3098081.6917268182</v>
      </c>
      <c r="G48" s="12">
        <f>D48+Table8414194101324273239434853567142128354451[[#This Row],[LỢI NHUẬN RÒNG]]</f>
        <v>14183081.691726819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4621618.5</v>
      </c>
      <c r="F49" s="11">
        <v>2481959.7728002532</v>
      </c>
      <c r="G49" s="12">
        <f>D49+Table8414194101324273239434853567142128354451[[#This Row],[LỢI NHUẬN RÒNG]]</f>
        <v>16311959.772800254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5656397.4000000004</v>
      </c>
      <c r="F51" s="11">
        <v>3872671.3607791411</v>
      </c>
      <c r="G51" s="12">
        <f>D51+Table8414194101324273239434853567142128354451[[#This Row],[LỢI NHUẬN RÒNG]]</f>
        <v>22172671.36077914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2936314.8</v>
      </c>
      <c r="F52" s="11">
        <v>2106827.6335745305</v>
      </c>
      <c r="G52" s="12">
        <f>D52+Table8414194101324273239434853567142128354451[[#This Row],[LỢI NHUẬN RÒNG]]</f>
        <v>8266827.6335745305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14400000</v>
      </c>
      <c r="E53" s="11">
        <v>4605542.7</v>
      </c>
      <c r="F53" s="11">
        <v>3192597.4368493464</v>
      </c>
      <c r="G53" s="12">
        <f>D53+Table8414194101324273239434853567142128354451[[#This Row],[LỢI NHUẬN RÒNG]]</f>
        <v>17592597.436849348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4502056.3999999994</v>
      </c>
      <c r="F54" s="11">
        <v>3028638.7253256147</v>
      </c>
      <c r="G54" s="12">
        <f>D54+Table8414194101324273239434853567142128354451[[#This Row],[LỢI NHUẬN RÒNG]]</f>
        <v>10528638.725325614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2951758.2</v>
      </c>
      <c r="F55" s="11">
        <v>1993076.0330340809</v>
      </c>
      <c r="G55" s="12">
        <f>D55+Table8414194101324273239434853567142128354451[[#This Row],[LỢI NHUẬN RÒNG]]</f>
        <v>5293076.0330340806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4266666.666666666</v>
      </c>
      <c r="E56" s="18">
        <v>2652621.6333333338</v>
      </c>
      <c r="F56" s="18">
        <v>1856556.6172726615</v>
      </c>
      <c r="G56" s="12">
        <f>D56+Table8414194101324273239434853567142128354451[[#This Row],[LỢI NHUẬN RÒNG]]</f>
        <v>6123223.283939328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1468157.4</v>
      </c>
      <c r="F57" s="11">
        <v>1053413.8167872652</v>
      </c>
      <c r="G57" s="12">
        <f>D57+Table8414194101324273239434853567142128354451[[#This Row],[LỢI NHUẬN RÒNG]]</f>
        <v>4133413.8167872652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2400000</v>
      </c>
      <c r="E58" s="11">
        <v>767590.45</v>
      </c>
      <c r="F58" s="11">
        <v>532099.57280822436</v>
      </c>
      <c r="G58" s="12">
        <f>D58+Table8414194101324273239434853567142128354451[[#This Row],[LỢI NHUẬN RÒNG]]</f>
        <v>2932099.5728082242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4266666.666666666</v>
      </c>
      <c r="E59" s="11">
        <v>2652621.6333333338</v>
      </c>
      <c r="F59" s="11">
        <v>1856556.6172726615</v>
      </c>
      <c r="G59" s="12">
        <f>D59+Table8414194101324273239434853567142128354451[[#This Row],[LỢI NHUẬN RÒNG]]</f>
        <v>6123223.283939328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1500685.4666666663</v>
      </c>
      <c r="F60" s="11">
        <v>1009546.241775205</v>
      </c>
      <c r="G60" s="12">
        <f>D60+Table8414194101324273239434853567142128354451[[#This Row],[LỢI NHUẬN RÒNG]]</f>
        <v>3509546.2417752049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11400000</v>
      </c>
      <c r="E61" s="11">
        <v>5016328.8449999997</v>
      </c>
      <c r="F61" s="11">
        <v>3766060.9269982208</v>
      </c>
      <c r="G61" s="12">
        <f>D61+Table8414194101324273239434853567142128354451[[#This Row],[LỢI NHUẬN RÒNG]]</f>
        <v>15166060.92699822</v>
      </c>
    </row>
    <row r="62" spans="1:7" ht="15" hidden="1" customHeight="1" x14ac:dyDescent="0.3">
      <c r="A62" s="10" t="s">
        <v>20</v>
      </c>
      <c r="B62" s="11" t="s">
        <v>27</v>
      </c>
      <c r="C62" s="18">
        <v>30</v>
      </c>
      <c r="D62" s="18">
        <v>10800000</v>
      </c>
      <c r="E62" s="18">
        <v>4155618.38</v>
      </c>
      <c r="F62" s="18">
        <v>2738460.4967120378</v>
      </c>
      <c r="G62" s="12">
        <f>D62+Table8414194101324273239434853567142128354451[[#This Row],[LỢI NHUẬN RÒNG]]</f>
        <v>13538460.496712038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2243387.7999999998</v>
      </c>
      <c r="F63" s="11">
        <v>1253718.6061573594</v>
      </c>
      <c r="G63" s="12">
        <f>D63+Table8414194101324273239434853567142128354451[[#This Row],[LỢI NHUẬN RÒNG]]</f>
        <v>7853718.6061573597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8865225.5000000019</v>
      </c>
      <c r="F64" s="11">
        <v>6196163.3834536364</v>
      </c>
      <c r="G64" s="12">
        <f>D64+Table8414194101324273239434853567142128354451[[#This Row],[LỢI NHUẬN RÒNG]]</f>
        <v>28366163.383453637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1967838.8</v>
      </c>
      <c r="F66" s="11">
        <v>1328717.3553560539</v>
      </c>
      <c r="G66" s="12">
        <f>D66+Table8414194101324273239434853567142128354451[[#This Row],[LỢI NHUẬN RÒNG]]</f>
        <v>3528717.3553560539</v>
      </c>
    </row>
    <row r="67" spans="1:7" ht="15" customHeight="1" x14ac:dyDescent="0.3">
      <c r="A67" s="10" t="s">
        <v>11</v>
      </c>
      <c r="B67" s="11" t="s">
        <v>31</v>
      </c>
      <c r="C67" s="11">
        <v>10</v>
      </c>
      <c r="D67" s="18">
        <v>5100000</v>
      </c>
      <c r="E67" s="18">
        <v>678482.1</v>
      </c>
      <c r="F67" s="18">
        <v>-349912.11584904196</v>
      </c>
      <c r="G67" s="12">
        <f>D67+Table8414194101324273239434853567142128354451[[#This Row],[LỢI NHUẬN RÒNG]]</f>
        <v>4750087.8841509577</v>
      </c>
    </row>
    <row r="68" spans="1:7" ht="15" customHeight="1" x14ac:dyDescent="0.3">
      <c r="A68" s="10" t="s">
        <v>12</v>
      </c>
      <c r="B68" s="11" t="s">
        <v>31</v>
      </c>
      <c r="C68" s="11">
        <v>10</v>
      </c>
      <c r="D68" s="11">
        <v>4266666.666666666</v>
      </c>
      <c r="E68" s="11">
        <v>2652621.6333333338</v>
      </c>
      <c r="F68" s="11">
        <v>1856556.6172726615</v>
      </c>
      <c r="G68" s="12">
        <f>D68+Table8414194101324273239434853567142128354451[[#This Row],[LỢI NHUẬN RÒNG]]</f>
        <v>6123223.283939328</v>
      </c>
    </row>
    <row r="69" spans="1:7" ht="15" customHeight="1" x14ac:dyDescent="0.3">
      <c r="A69" s="10" t="s">
        <v>14</v>
      </c>
      <c r="B69" s="11" t="s">
        <v>31</v>
      </c>
      <c r="C69" s="11">
        <v>10</v>
      </c>
      <c r="D69" s="11">
        <v>4780000</v>
      </c>
      <c r="E69" s="11">
        <v>2791700.6</v>
      </c>
      <c r="F69" s="11">
        <v>1494097.5893462463</v>
      </c>
      <c r="G69" s="12">
        <f>D69+Table8414194101324273239434853567142128354451[[#This Row],[LỢI NHUẬN RÒNG]]</f>
        <v>6274097.5893462468</v>
      </c>
    </row>
    <row r="70" spans="1:7" ht="15" customHeight="1" x14ac:dyDescent="0.3">
      <c r="A70" s="10" t="s">
        <v>30</v>
      </c>
      <c r="B70" s="11" t="s">
        <v>31</v>
      </c>
      <c r="C70" s="11">
        <v>10</v>
      </c>
      <c r="D70" s="11">
        <v>5000000</v>
      </c>
      <c r="E70" s="11">
        <v>1006971.8</v>
      </c>
      <c r="F70" s="11">
        <v>-74275.217008730775</v>
      </c>
      <c r="G70" s="12">
        <f>D70+Table8414194101324273239434853567142128354451[[#This Row],[LỢI NHUẬN RÒNG]]</f>
        <v>4925724.7829912696</v>
      </c>
    </row>
    <row r="71" spans="1:7" ht="15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1885465.8</v>
      </c>
      <c r="F71" s="11">
        <v>1290890.4535930469</v>
      </c>
      <c r="G71" s="12">
        <f>D71+Table8414194101324273239434853567142128354451[[#This Row],[LỢI NHUẬN RÒNG]]</f>
        <v>7390890.4535930473</v>
      </c>
    </row>
    <row r="72" spans="1:7" ht="15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1468157.4</v>
      </c>
      <c r="F72" s="11">
        <v>1053413.8167872652</v>
      </c>
      <c r="G72" s="12">
        <f>D72+Table8414194101324273239434853567142128354451[[#This Row],[LỢI NHUẬN RÒNG]]</f>
        <v>4133413.8167872652</v>
      </c>
    </row>
    <row r="73" spans="1:7" ht="15" customHeight="1" x14ac:dyDescent="0.3">
      <c r="A73" s="10" t="s">
        <v>36</v>
      </c>
      <c r="B73" s="11" t="s">
        <v>31</v>
      </c>
      <c r="C73" s="11">
        <v>10</v>
      </c>
      <c r="D73" s="11">
        <v>4800000</v>
      </c>
      <c r="E73" s="11">
        <v>1535180.9</v>
      </c>
      <c r="F73" s="11">
        <v>1064199.1456164487</v>
      </c>
      <c r="G73" s="12">
        <f>D73+Table8414194101324273239434853567142128354451[[#This Row],[LỢI NHUẬN RÒNG]]</f>
        <v>5864199.1456164485</v>
      </c>
    </row>
    <row r="74" spans="1:7" ht="15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1500685.4666666663</v>
      </c>
      <c r="F74" s="11">
        <v>1009546.241775205</v>
      </c>
      <c r="G74" s="12">
        <f>D74+Table8414194101324273239434853567142128354451[[#This Row],[LỢI NHUẬN RÒNG]]</f>
        <v>3509546.2417752049</v>
      </c>
    </row>
    <row r="75" spans="1:7" ht="15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1967838.8</v>
      </c>
      <c r="F75" s="11">
        <v>1328717.3553560539</v>
      </c>
      <c r="G75" s="12">
        <f>D75+Table8414194101324273239434853567142128354451[[#This Row],[LỢI NHUẬN RÒNG]]</f>
        <v>3528717.3553560539</v>
      </c>
    </row>
    <row r="76" spans="1:7" ht="15" hidden="1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747795.93333333312</v>
      </c>
      <c r="F76" s="11">
        <v>417906.20205245318</v>
      </c>
      <c r="G76" s="12">
        <f>D76+Table8414194101324273239434853567142128354451[[#This Row],[LỢI NHUẬN RÒNG]]</f>
        <v>2617906.2020524531</v>
      </c>
    </row>
    <row r="77" spans="1:7" ht="15" hidden="1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2955075.1666666674</v>
      </c>
      <c r="F77" s="11">
        <v>2065387.7944845452</v>
      </c>
      <c r="G77" s="12">
        <f>D77+Table8414194101324273239434853567142128354451[[#This Row],[LỢI NHUẬN RÒNG]]</f>
        <v>9455387.7944845445</v>
      </c>
    </row>
    <row r="78" spans="1:7" ht="15" hidden="1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hidden="1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1885465.8</v>
      </c>
      <c r="F79" s="11">
        <v>1290890.4535930469</v>
      </c>
      <c r="G79" s="12">
        <f>D79+Table8414194101324273239434853567142128354451[[#This Row],[LỢI NHUẬN RÒNG]]</f>
        <v>7390890.4535930473</v>
      </c>
    </row>
    <row r="80" spans="1:7" ht="15" hidden="1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1468157.4</v>
      </c>
      <c r="F80" s="11">
        <v>1053413.8167872652</v>
      </c>
      <c r="G80" s="12">
        <f>D80+Table8414194101324273239434853567142128354451[[#This Row],[LỢI NHUẬN RÒNG]]</f>
        <v>4133413.8167872652</v>
      </c>
    </row>
    <row r="81" spans="1:7" ht="15" hidden="1" customHeight="1" x14ac:dyDescent="0.3">
      <c r="A81" s="10" t="s">
        <v>36</v>
      </c>
      <c r="B81" s="11" t="s">
        <v>33</v>
      </c>
      <c r="C81" s="11">
        <v>15</v>
      </c>
      <c r="D81" s="11">
        <v>7200000</v>
      </c>
      <c r="E81" s="11">
        <v>2302771.35</v>
      </c>
      <c r="F81" s="11">
        <v>1596298.7184246732</v>
      </c>
      <c r="G81" s="12">
        <f>D81+Table8414194101324273239434853567142128354451[[#This Row],[LỢI NHUẬN RÒNG]]</f>
        <v>8796298.7184246741</v>
      </c>
    </row>
    <row r="82" spans="1:7" ht="15" hidden="1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1500685.4666666663</v>
      </c>
      <c r="F82" s="11">
        <v>1009546.241775205</v>
      </c>
      <c r="G82" s="12">
        <f>D82+Table8414194101324273239434853567142128354451[[#This Row],[LỢI NHUẬN RÒNG]]</f>
        <v>3509546.2417752049</v>
      </c>
    </row>
    <row r="83" spans="1:7" ht="15" hidden="1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983919.4</v>
      </c>
      <c r="F83" s="11">
        <v>664358.67767802696</v>
      </c>
      <c r="G83" s="12">
        <f>D83+Table8414194101324273239434853567142128354451[[#This Row],[LỢI NHUẬN RÒNG]]</f>
        <v>1764358.677678027</v>
      </c>
    </row>
    <row r="84" spans="1:7" ht="15" hidden="1" customHeight="1" x14ac:dyDescent="0.3">
      <c r="A84" s="10" t="s">
        <v>14</v>
      </c>
      <c r="B84" s="11" t="s">
        <v>37</v>
      </c>
      <c r="C84" s="11">
        <v>10</v>
      </c>
      <c r="D84" s="11">
        <v>4780000</v>
      </c>
      <c r="E84" s="11">
        <v>2791700.6</v>
      </c>
      <c r="F84" s="11">
        <v>1494097.5893462463</v>
      </c>
      <c r="G84" s="12">
        <f>D84+Table8414194101324273239434853567142128354451[[#This Row],[LỢI NHUẬN RÒNG]]</f>
        <v>6274097.5893462468</v>
      </c>
    </row>
    <row r="85" spans="1:7" ht="15" hidden="1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2828198.7</v>
      </c>
      <c r="F85" s="11">
        <v>1936335.6803895705</v>
      </c>
      <c r="G85" s="12">
        <f>D85+Table8414194101324273239434853567142128354451[[#This Row],[LỢI NHUẬN RÒNG]]</f>
        <v>11086335.68038957</v>
      </c>
    </row>
    <row r="86" spans="1:7" ht="15" hidden="1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1468157.4</v>
      </c>
      <c r="F86" s="21">
        <v>1053413.8167872652</v>
      </c>
      <c r="G86" s="12">
        <f>D86+Table8414194101324273239434853567142128354451[[#This Row],[LỢI NHUẬN RÒNG]]</f>
        <v>4133413.8167872652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22400000</v>
      </c>
      <c r="E87" s="21">
        <v>11116513.6</v>
      </c>
      <c r="F87" s="21">
        <v>5384085.8944753883</v>
      </c>
      <c r="G87" s="12">
        <f>D87+Table8414194101324273239434853567142128354451[[#This Row],[LỢI NHUẬN RÒNG]]</f>
        <v>27784085.894475389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16800000</v>
      </c>
      <c r="E88" s="21">
        <v>8337385.2000000002</v>
      </c>
      <c r="F88" s="21">
        <v>4038064.4208565415</v>
      </c>
      <c r="G88" s="12">
        <f>D88+Table8414194101324273239434853567142128354451[[#This Row],[LỢI NHUẬN RÒNG]]</f>
        <v>20838064.420856543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2800000</v>
      </c>
      <c r="E89" s="21">
        <v>1389564.2</v>
      </c>
      <c r="F89" s="21">
        <v>673010.73680942354</v>
      </c>
      <c r="G89" s="12">
        <f>D89+Table8414194101324273239434853567142128354451[[#This Row],[LỢI NHUẬN RÒNG]]</f>
        <v>3473010.7368094237</v>
      </c>
    </row>
    <row r="90" spans="1:7" x14ac:dyDescent="0.3">
      <c r="A90" s="23" t="s">
        <v>48</v>
      </c>
      <c r="B90" s="21" t="s">
        <v>31</v>
      </c>
      <c r="C90" s="21">
        <v>15</v>
      </c>
      <c r="D90" s="21">
        <v>8400000</v>
      </c>
      <c r="E90" s="21">
        <v>4168692.6</v>
      </c>
      <c r="F90" s="21">
        <v>2019032.2104282707</v>
      </c>
      <c r="G90" s="12">
        <f>D90+Table8414194101324273239434853567142128354451[[#This Row],[LỢI NHUẬN RÒNG]]</f>
        <v>10419032.210428271</v>
      </c>
    </row>
    <row r="91" spans="1:7" hidden="1" x14ac:dyDescent="0.3">
      <c r="A91" s="23" t="s">
        <v>48</v>
      </c>
      <c r="B91" s="24" t="s">
        <v>15</v>
      </c>
      <c r="C91" s="21"/>
      <c r="D91" s="21"/>
      <c r="E91" s="21"/>
      <c r="F91" s="21"/>
      <c r="G91" s="12"/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2800000</v>
      </c>
      <c r="E92" s="21">
        <v>1389564.2</v>
      </c>
      <c r="F92" s="21">
        <v>673010.73680942354</v>
      </c>
      <c r="G92" s="12">
        <f>D92+Table8414194101324273239434853567142128354451[[#This Row],[LỢI NHUẬN RÒNG]]</f>
        <v>3473010.7368094237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2800000</v>
      </c>
      <c r="E93" s="21">
        <v>1389564.2</v>
      </c>
      <c r="F93" s="21">
        <v>673010.73680942354</v>
      </c>
      <c r="G93" s="12">
        <f>D93+Table8414194101324273239434853567142128354451[[#This Row],[LỢI NHUẬN RÒNG]]</f>
        <v>3473010.7368094237</v>
      </c>
    </row>
    <row r="94" spans="1:7" hidden="1" x14ac:dyDescent="0.3">
      <c r="A94" s="23" t="s">
        <v>49</v>
      </c>
      <c r="B94" s="21" t="s">
        <v>37</v>
      </c>
      <c r="C94" s="21">
        <v>5</v>
      </c>
      <c r="D94" s="21">
        <v>1616666.6666666665</v>
      </c>
      <c r="E94" s="21">
        <v>857757.0833333336</v>
      </c>
      <c r="F94" s="21">
        <v>581133.59019990265</v>
      </c>
      <c r="G94" s="12">
        <f>D94+Table8414194101324273239434853567142128354451[[#This Row],[LỢI NHUẬN RÒNG]]</f>
        <v>2197800.2568665692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9700000</v>
      </c>
      <c r="E95" s="21">
        <v>5146542.5000000009</v>
      </c>
      <c r="F95" s="21">
        <v>3486801.5411994159</v>
      </c>
      <c r="G95" s="12">
        <f>D95+Table8414194101324273239434853567142128354451[[#This Row],[LỢI NHUẬN RÒNG]]</f>
        <v>13186801.541199416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1616666.6666666665</v>
      </c>
      <c r="E96" s="21">
        <v>857757.0833333336</v>
      </c>
      <c r="F96" s="21">
        <v>581133.59019990265</v>
      </c>
      <c r="G96" s="12">
        <f>D96+Table8414194101324273239434853567142128354451[[#This Row],[LỢI NHUẬN RÒNG]]</f>
        <v>2197800.2568665692</v>
      </c>
    </row>
    <row r="97" spans="1:7" x14ac:dyDescent="0.3">
      <c r="A97" s="23" t="s">
        <v>49</v>
      </c>
      <c r="B97" s="11" t="s">
        <v>31</v>
      </c>
      <c r="C97" s="21">
        <v>10</v>
      </c>
      <c r="D97" s="21">
        <v>3233333.333333333</v>
      </c>
      <c r="E97" s="21">
        <v>1715514.1666666672</v>
      </c>
      <c r="F97" s="21">
        <v>1162267.1803998053</v>
      </c>
      <c r="G97" s="12">
        <f>D97+Table8414194101324273239434853567142128354451[[#This Row],[LỢI NHUẬN RÒNG]]</f>
        <v>4395600.5137331383</v>
      </c>
    </row>
    <row r="98" spans="1:7" hidden="1" x14ac:dyDescent="0.3">
      <c r="A98" s="23" t="s">
        <v>49</v>
      </c>
      <c r="B98" s="11" t="s">
        <v>33</v>
      </c>
      <c r="C98" s="21">
        <v>5</v>
      </c>
      <c r="D98" s="21">
        <v>1616666.6666666665</v>
      </c>
      <c r="E98" s="21">
        <v>857757.0833333336</v>
      </c>
      <c r="F98" s="21">
        <v>581133.59019990265</v>
      </c>
      <c r="G98" s="12">
        <f>D98+Table8414194101324273239434853567142128354451[[#This Row],[LỢI NHUẬN RÒNG]]</f>
        <v>2197800.2568665692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9700000</v>
      </c>
      <c r="E99" s="21">
        <v>5146542.5000000009</v>
      </c>
      <c r="F99" s="21">
        <v>3486801.5411994159</v>
      </c>
      <c r="G99" s="12">
        <f>D99+Table8414194101324273239434853567142128354451[[#This Row],[LỢI NHUẬN RÒNG]]</f>
        <v>13186801.541199416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1616666.6666666665</v>
      </c>
      <c r="E100" s="21">
        <v>857757.0833333336</v>
      </c>
      <c r="F100" s="21">
        <v>581133.59019990265</v>
      </c>
      <c r="G100" s="12">
        <f>D100+Table8414194101324273239434853567142128354451[[#This Row],[LỢI NHUẬN RÒNG]]</f>
        <v>2197800.2568665692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1616666.6666666665</v>
      </c>
      <c r="E101" s="21">
        <v>857757.0833333336</v>
      </c>
      <c r="F101" s="21">
        <v>581133.59019990265</v>
      </c>
      <c r="G101" s="12">
        <f>D101+Table8414194101324273239434853567142128354451[[#This Row],[LỢI NHUẬN RÒNG]]</f>
        <v>2197800.2568665692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1616666.6666666665</v>
      </c>
      <c r="E102" s="21">
        <v>857757.0833333336</v>
      </c>
      <c r="F102" s="21">
        <v>581133.59019990265</v>
      </c>
      <c r="G102" s="12">
        <f>D102+Table8414194101324273239434853567142128354451[[#This Row],[LỢI NHUẬN RÒNG]]</f>
        <v>2197800.2568665692</v>
      </c>
    </row>
    <row r="103" spans="1:7" hidden="1" x14ac:dyDescent="0.3">
      <c r="A103" s="23" t="s">
        <v>50</v>
      </c>
      <c r="B103" s="21" t="s">
        <v>37</v>
      </c>
      <c r="C103" s="21">
        <v>5</v>
      </c>
      <c r="D103" s="21">
        <v>1891666.666666667</v>
      </c>
      <c r="E103" s="21">
        <v>624378.58333333326</v>
      </c>
      <c r="F103" s="21">
        <v>362879.07976244763</v>
      </c>
      <c r="G103" s="12">
        <f>D103+Table8414194101324273239434853567142128354451[[#This Row],[LỢI NHUẬN RÒNG]]</f>
        <v>2254545.7464291146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11350000.000000002</v>
      </c>
      <c r="E104" s="21">
        <v>3746271.4999999995</v>
      </c>
      <c r="F104" s="21">
        <v>2177274.4785746858</v>
      </c>
      <c r="G104" s="12">
        <f>D104+Table8414194101324273239434853567142128354451[[#This Row],[LỢI NHUẬN RÒNG]]</f>
        <v>13527274.478574688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1891666.666666667</v>
      </c>
      <c r="E105" s="21">
        <v>624378.58333333326</v>
      </c>
      <c r="F105" s="21">
        <v>362879.07976244763</v>
      </c>
      <c r="G105" s="12">
        <f>D105+Table8414194101324273239434853567142128354451[[#This Row],[LỢI NHUẬN RÒNG]]</f>
        <v>2254545.7464291146</v>
      </c>
    </row>
    <row r="106" spans="1:7" x14ac:dyDescent="0.3">
      <c r="A106" s="23" t="s">
        <v>50</v>
      </c>
      <c r="B106" s="11" t="s">
        <v>31</v>
      </c>
      <c r="C106" s="21">
        <v>10</v>
      </c>
      <c r="D106" s="21">
        <v>3783333.333333334</v>
      </c>
      <c r="E106" s="21">
        <v>1248757.1666666665</v>
      </c>
      <c r="F106" s="21">
        <v>725758.15952489525</v>
      </c>
      <c r="G106" s="12">
        <f>D106+Table8414194101324273239434853567142128354451[[#This Row],[LỢI NHUẬN RÒNG]]</f>
        <v>4509091.4928582292</v>
      </c>
    </row>
    <row r="107" spans="1:7" hidden="1" x14ac:dyDescent="0.3">
      <c r="A107" s="23" t="s">
        <v>50</v>
      </c>
      <c r="B107" s="11" t="s">
        <v>33</v>
      </c>
      <c r="C107" s="21">
        <v>5</v>
      </c>
      <c r="D107" s="21">
        <v>1891666.666666667</v>
      </c>
      <c r="E107" s="21">
        <v>624378.58333333326</v>
      </c>
      <c r="F107" s="21">
        <v>362879.07976244763</v>
      </c>
      <c r="G107" s="12">
        <f>D107+Table8414194101324273239434853567142128354451[[#This Row],[LỢI NHUẬN RÒNG]]</f>
        <v>2254545.7464291146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11350000.000000002</v>
      </c>
      <c r="E108" s="21">
        <v>3746271.4999999995</v>
      </c>
      <c r="F108" s="21">
        <v>2177274.4785746858</v>
      </c>
      <c r="G108" s="12">
        <f>D108+Table8414194101324273239434853567142128354451[[#This Row],[LỢI NHUẬN RÒNG]]</f>
        <v>13527274.478574688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1891666.666666667</v>
      </c>
      <c r="E109" s="21">
        <v>624378.58333333326</v>
      </c>
      <c r="F109" s="21">
        <v>362879.07976244763</v>
      </c>
      <c r="G109" s="12">
        <f>D109+Table8414194101324273239434853567142128354451[[#This Row],[LỢI NHUẬN RÒNG]]</f>
        <v>2254545.7464291146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1891666.666666667</v>
      </c>
      <c r="E110" s="21">
        <v>624378.58333333326</v>
      </c>
      <c r="F110" s="21">
        <v>362879.07976244763</v>
      </c>
      <c r="G110" s="12">
        <f>D110+Table8414194101324273239434853567142128354451[[#This Row],[LỢI NHUẬN RÒNG]]</f>
        <v>2254545.7464291146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1891666.666666667</v>
      </c>
      <c r="E111" s="21">
        <v>624378.58333333326</v>
      </c>
      <c r="F111" s="21">
        <v>362879.07976244763</v>
      </c>
      <c r="G111" s="12">
        <f>D111+Table8414194101324273239434853567142128354451[[#This Row],[LỢI NHUẬN RÒNG]]</f>
        <v>2254545.7464291146</v>
      </c>
    </row>
    <row r="112" spans="1:7" hidden="1" x14ac:dyDescent="0.3">
      <c r="A112" s="23" t="s">
        <v>51</v>
      </c>
      <c r="B112" s="21" t="s">
        <v>37</v>
      </c>
      <c r="C112" s="21">
        <v>5</v>
      </c>
      <c r="D112" s="21">
        <v>1166666.6666666665</v>
      </c>
      <c r="E112" s="21">
        <v>744303.28333333344</v>
      </c>
      <c r="F112" s="21">
        <v>424971.58200147451</v>
      </c>
      <c r="G112" s="12">
        <f>D112+Table8414194101324273239434853567142128354451[[#This Row],[LỢI NHUẬN RÒNG]]</f>
        <v>1591638.248668141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6999999.9999999991</v>
      </c>
      <c r="E113" s="21">
        <v>4465819.7</v>
      </c>
      <c r="F113" s="21">
        <v>2549829.4920088472</v>
      </c>
      <c r="G113" s="12">
        <f>D113+Table8414194101324273239434853567142128354451[[#This Row],[LỢI NHUẬN RÒNG]]</f>
        <v>9549829.4920088463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1166666.6666666665</v>
      </c>
      <c r="E114" s="21">
        <v>744303.28333333344</v>
      </c>
      <c r="F114" s="21">
        <v>424971.58200147451</v>
      </c>
      <c r="G114" s="12">
        <f>D114+Table8414194101324273239434853567142128354451[[#This Row],[LỢI NHUẬN RÒNG]]</f>
        <v>1591638.248668141</v>
      </c>
    </row>
    <row r="115" spans="1:7" x14ac:dyDescent="0.3">
      <c r="A115" s="23" t="s">
        <v>51</v>
      </c>
      <c r="B115" s="11" t="s">
        <v>31</v>
      </c>
      <c r="C115" s="11">
        <v>10</v>
      </c>
      <c r="D115" s="11">
        <v>2333333.333333333</v>
      </c>
      <c r="E115" s="11">
        <v>1488606.5666666669</v>
      </c>
      <c r="F115" s="11">
        <v>849943.16400294902</v>
      </c>
      <c r="G115" s="12">
        <f>D115+Table8414194101324273239434853567142128354451[[#This Row],[LỢI NHUẬN RÒNG]]</f>
        <v>3183276.4973362819</v>
      </c>
    </row>
    <row r="116" spans="1:7" hidden="1" x14ac:dyDescent="0.3">
      <c r="A116" s="23" t="s">
        <v>51</v>
      </c>
      <c r="B116" s="11" t="s">
        <v>33</v>
      </c>
      <c r="C116" s="11">
        <v>5</v>
      </c>
      <c r="D116" s="11">
        <v>1166666.6666666665</v>
      </c>
      <c r="E116" s="11">
        <v>744303.28333333344</v>
      </c>
      <c r="F116" s="11">
        <v>424971.58200147451</v>
      </c>
      <c r="G116" s="12">
        <f>D116+Table8414194101324273239434853567142128354451[[#This Row],[LỢI NHUẬN RÒNG]]</f>
        <v>1591638.248668141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6999999.9999999991</v>
      </c>
      <c r="E117" s="11">
        <v>4465819.7</v>
      </c>
      <c r="F117" s="11">
        <v>2549829.4920088472</v>
      </c>
      <c r="G117" s="12">
        <f>D117+Table8414194101324273239434853567142128354451[[#This Row],[LỢI NHUẬN RÒNG]]</f>
        <v>9549829.4920088463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1166666.6666666665</v>
      </c>
      <c r="E118" s="11">
        <v>744303.28333333344</v>
      </c>
      <c r="F118" s="11">
        <v>424971.58200147451</v>
      </c>
      <c r="G118" s="12">
        <f>D118+Table8414194101324273239434853567142128354451[[#This Row],[LỢI NHUẬN RÒNG]]</f>
        <v>1591638.248668141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1166666.6666666665</v>
      </c>
      <c r="E119" s="11">
        <v>744303.28333333344</v>
      </c>
      <c r="F119" s="11">
        <v>424971.58200147451</v>
      </c>
      <c r="G119" s="12">
        <f>D119+Table8414194101324273239434853567142128354451[[#This Row],[LỢI NHUẬN RÒNG]]</f>
        <v>1591638.248668141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1166666.6666666665</v>
      </c>
      <c r="E120" s="21">
        <v>744303.28333333344</v>
      </c>
      <c r="F120" s="21">
        <v>424971.58200147451</v>
      </c>
      <c r="G120" s="12">
        <f>D120+Table8414194101324273239434853567142128354451[[#This Row],[LỢI NHUẬN RÒNG]]</f>
        <v>1591638.248668141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4232894.75</v>
      </c>
      <c r="F121" s="11">
        <v>2813471.4836736019</v>
      </c>
      <c r="G121" s="12">
        <f>D121+Table8414194101324273239434853567142128354451[[#This Row],[LỢI NHUẬN RÒNG]]</f>
        <v>7713471.4836736023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1209398.5</v>
      </c>
      <c r="F122" s="11">
        <v>803848.99533531489</v>
      </c>
      <c r="G122" s="12">
        <f>D122+Table8414194101324273239434853567142128354451[[#This Row],[LỢI NHUẬN RÒNG]]</f>
        <v>2203848.9953353149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1209398.5</v>
      </c>
      <c r="F123" s="11">
        <v>803848.99533531489</v>
      </c>
      <c r="G123" s="12">
        <f>D123+Table8414194101324273239434853567142128354451[[#This Row],[LỢI NHUẬN RÒNG]]</f>
        <v>2203848.9953353149</v>
      </c>
    </row>
    <row r="124" spans="1:7" x14ac:dyDescent="0.3">
      <c r="A124" s="26" t="s">
        <v>52</v>
      </c>
      <c r="B124" s="11" t="s">
        <v>31</v>
      </c>
      <c r="C124" s="11">
        <v>15</v>
      </c>
      <c r="D124" s="11">
        <v>2100000</v>
      </c>
      <c r="E124" s="11">
        <v>1814097.75</v>
      </c>
      <c r="F124" s="11">
        <v>1205773.4930029721</v>
      </c>
      <c r="G124" s="12">
        <f>D124+Table8414194101324273239434853567142128354451[[#This Row],[LỢI NHUẬN RÒNG]]</f>
        <v>3305773.4930029721</v>
      </c>
    </row>
    <row r="125" spans="1:7" hidden="1" x14ac:dyDescent="0.3">
      <c r="A125" s="26" t="s">
        <v>52</v>
      </c>
      <c r="B125" s="24" t="s">
        <v>15</v>
      </c>
      <c r="G125" s="12"/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2418797</v>
      </c>
      <c r="F126" s="11">
        <v>1607697.9906706298</v>
      </c>
      <c r="G126" s="12">
        <f>D126+Table8414194101324273239434853567142128354451[[#This Row],[LỢI NHUẬN RÒNG]]</f>
        <v>4407697.9906706298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1209398.5</v>
      </c>
      <c r="F127" s="21">
        <v>803848.99533531489</v>
      </c>
      <c r="G127" s="12">
        <f>D127+Table8414194101324273239434853567142128354451[[#This Row],[LỢI NHUẬN RÒNG]]</f>
        <v>2203848.9953353149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4463071.4000000004</v>
      </c>
      <c r="F128" s="11">
        <v>3017039.7368364842</v>
      </c>
      <c r="G128" s="12">
        <f>D128+Table8414194101324273239434853567142128354451[[#This Row],[LỢI NHUẬN RÒNG]]</f>
        <v>11677039.736836484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2231535.7000000002</v>
      </c>
      <c r="F129" s="11">
        <v>1508519.8684182421</v>
      </c>
      <c r="G129" s="12">
        <f>D129+Table8414194101324273239434853567142128354451[[#This Row],[LỢI NHUẬN RÒNG]]</f>
        <v>5838519.8684182419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2231535.7000000002</v>
      </c>
      <c r="F130" s="11">
        <v>1508519.8684182421</v>
      </c>
      <c r="G130" s="12">
        <f>D130+Table8414194101324273239434853567142128354451[[#This Row],[LỢI NHUẬN RÒNG]]</f>
        <v>5838519.8684182419</v>
      </c>
    </row>
    <row r="131" spans="1:7" x14ac:dyDescent="0.3">
      <c r="A131" s="26" t="s">
        <v>53</v>
      </c>
      <c r="B131" s="11" t="s">
        <v>31</v>
      </c>
      <c r="C131" s="11">
        <v>25</v>
      </c>
      <c r="D131" s="11">
        <v>10825000</v>
      </c>
      <c r="E131" s="11">
        <v>5578839.25</v>
      </c>
      <c r="F131" s="11">
        <v>3771299.6710456051</v>
      </c>
      <c r="G131" s="12">
        <f>D131+Table8414194101324273239434853567142128354451[[#This Row],[LỢI NHUẬN RÒNG]]</f>
        <v>14596299.671045605</v>
      </c>
    </row>
    <row r="132" spans="1:7" hidden="1" x14ac:dyDescent="0.3">
      <c r="A132" s="26" t="s">
        <v>53</v>
      </c>
      <c r="B132" s="24" t="s">
        <v>15</v>
      </c>
      <c r="G132" s="12"/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2231535.7000000002</v>
      </c>
      <c r="F133" s="11">
        <v>1508519.8684182421</v>
      </c>
      <c r="G133" s="12">
        <f>D133+Table8414194101324273239434853567142128354451[[#This Row],[LỢI NHUẬN RÒNG]]</f>
        <v>5838519.8684182419</v>
      </c>
    </row>
    <row r="134" spans="1:7" hidden="1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1115767.8500000001</v>
      </c>
      <c r="F134" s="11">
        <v>754259.93420912104</v>
      </c>
      <c r="G134" s="12">
        <f>D134+Table8414194101324273239434853567142128354451[[#This Row],[LỢI NHUẬN RÒNG]]</f>
        <v>2919259.9342091209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1115767.8500000001</v>
      </c>
      <c r="F135" s="11">
        <v>754259.93420912104</v>
      </c>
      <c r="G135" s="12">
        <f>D135+Table8414194101324273239434853567142128354451[[#This Row],[LỢI NHUẬN RÒNG]]</f>
        <v>2919259.9342091209</v>
      </c>
    </row>
    <row r="136" spans="1:7" hidden="1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3347303.55</v>
      </c>
      <c r="F136" s="11">
        <v>2262779.8026273632</v>
      </c>
      <c r="G136" s="12">
        <f>D136+Table8414194101324273239434853567142128354451[[#This Row],[LỢI NHUẬN RÒNG]]</f>
        <v>8757779.8026273623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1014176.2</v>
      </c>
      <c r="F137" s="11">
        <v>567861.48122476938</v>
      </c>
      <c r="G137" s="12">
        <f>D137+Table8414194101324273239434853567142128354451[[#This Row],[LỢI NHUẬN RÒNG]]</f>
        <v>1617861.4812247693</v>
      </c>
    </row>
    <row r="138" spans="1:7" hidden="1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1014176.2</v>
      </c>
      <c r="F138" s="11">
        <v>567861.48122476938</v>
      </c>
      <c r="G138" s="12">
        <f>D138+Table8414194101324273239434853567142128354451[[#This Row],[LỢI NHUẬN RÒNG]]</f>
        <v>1617861.4812247693</v>
      </c>
    </row>
    <row r="139" spans="1:7" x14ac:dyDescent="0.3">
      <c r="A139" s="26" t="s">
        <v>54</v>
      </c>
      <c r="B139" s="11" t="s">
        <v>31</v>
      </c>
      <c r="C139" s="11">
        <v>55</v>
      </c>
      <c r="D139" s="11">
        <v>5775000</v>
      </c>
      <c r="E139" s="11">
        <v>5577969.0999999996</v>
      </c>
      <c r="F139" s="11">
        <v>3123238.1467362316</v>
      </c>
      <c r="G139" s="12">
        <f>D139+Table8414194101324273239434853567142128354451[[#This Row],[LỢI NHUẬN RÒNG]]</f>
        <v>8898238.1467362307</v>
      </c>
    </row>
    <row r="140" spans="1:7" hidden="1" x14ac:dyDescent="0.3">
      <c r="A140" s="26" t="s">
        <v>54</v>
      </c>
      <c r="B140" s="24" t="s">
        <v>15</v>
      </c>
      <c r="G140" s="12">
        <f>D140+Table8414194101324273239434853567142128354451[[#This Row],[LỢI NHUẬN RÒNG]]</f>
        <v>0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1468157.4</v>
      </c>
      <c r="F141" s="21">
        <v>1053413.8167872652</v>
      </c>
      <c r="G141" s="12">
        <f>D141+Table8414194101324273239434853567142128354451[[#This Row],[LỢI NHUẬN RÒNG]]</f>
        <v>4133413.8167872652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1014176.2</v>
      </c>
      <c r="F142" s="21">
        <v>567861.48122476938</v>
      </c>
      <c r="G142" s="12">
        <f>D142+Table8414194101324273239434853567142128354451[[#This Row],[LỢI NHUẬN RÒNG]]</f>
        <v>1617861.4812247693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1521264.3</v>
      </c>
      <c r="F143" s="21">
        <v>851792.22183715401</v>
      </c>
      <c r="G143" s="12">
        <f>D143+Table8414194101324273239434853567142128354451[[#This Row],[LỢI NHUẬN RÒNG]]</f>
        <v>2426792.2218371541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3358400.1333333324</v>
      </c>
      <c r="F144" s="21">
        <v>1681951.8107020662</v>
      </c>
      <c r="G144" s="12">
        <f>D144+Table8414194101324273239434853567142128354451[[#This Row],[LỢI NHUẬN RÒNG]]</f>
        <v>10081951.810702067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2518800.0999999996</v>
      </c>
      <c r="F145" s="21">
        <v>1261463.8580265495</v>
      </c>
      <c r="G145" s="12">
        <f>D145+Table8414194101324273239434853567142128354451[[#This Row],[LỢI NHUẬN RÒNG]]</f>
        <v>7561463.8580265492</v>
      </c>
    </row>
    <row r="146" spans="1:10" x14ac:dyDescent="0.3">
      <c r="A146" s="23" t="s">
        <v>55</v>
      </c>
      <c r="B146" s="24" t="s">
        <v>31</v>
      </c>
      <c r="C146" s="21">
        <v>10</v>
      </c>
      <c r="D146" s="21">
        <v>4200000</v>
      </c>
      <c r="E146" s="21">
        <v>1679200.0666666662</v>
      </c>
      <c r="F146" s="21">
        <v>840975.90535103309</v>
      </c>
      <c r="G146" s="12">
        <f>D146+Table8414194101324273239434853567142128354451[[#This Row],[LỢI NHUẬN RÒNG]]</f>
        <v>5040975.9053510334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5037600.1999999993</v>
      </c>
      <c r="F147" s="21">
        <v>2522927.7160530989</v>
      </c>
      <c r="G147" s="12">
        <f>D147+Table8414194101324273239434853567142128354451[[#This Row],[LỢI NHUẬN RÒNG]]</f>
        <v>15122927.716053098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1679200.0666666662</v>
      </c>
      <c r="F148" s="21">
        <v>840975.90535103309</v>
      </c>
      <c r="G148" s="12">
        <f>D148+Table8414194101324273239434853567142128354451[[#This Row],[LỢI NHUẬN RÒNG]]</f>
        <v>5040975.9053510334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2518800.0999999996</v>
      </c>
      <c r="F149" s="21">
        <v>1261463.8580265495</v>
      </c>
      <c r="G149" s="12">
        <f>D149+Table8414194101324273239434853567142128354451[[#This Row],[LỢI NHUẬN RÒNG]]</f>
        <v>7561463.8580265492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823248</v>
      </c>
      <c r="F150" s="21">
        <v>492265.97746307624</v>
      </c>
      <c r="G150" s="12">
        <f>D150+Table8414194101324273239434853567142128354451[[#This Row],[LỢI NHUẬN RÒNG]]</f>
        <v>3342265.9774630764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823248</v>
      </c>
      <c r="F151" s="21">
        <v>492265.97746307624</v>
      </c>
      <c r="G151" s="12">
        <f>D151+Table8414194101324273239434853567142128354451[[#This Row],[LỢI NHUẬN RÒNG]]</f>
        <v>3342265.9774630764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823248</v>
      </c>
      <c r="F152" s="21">
        <v>492265.97746307624</v>
      </c>
      <c r="G152" s="12">
        <f>D152+Table8414194101324273239434853567142128354451[[#This Row],[LỢI NHUẬN RÒNG]]</f>
        <v>3342265.9774630764</v>
      </c>
      <c r="H152" s="11"/>
      <c r="J152" s="11"/>
    </row>
    <row r="153" spans="1:10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1646496</v>
      </c>
      <c r="F153" s="21">
        <v>984531.95492615248</v>
      </c>
      <c r="G153" s="12">
        <f>D153+Table8414194101324273239434853567142128354451[[#This Row],[LỢI NHUẬN RÒNG]]</f>
        <v>6684531.9549261527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1646496</v>
      </c>
      <c r="F154" s="21">
        <v>984531.95492615248</v>
      </c>
      <c r="G154" s="12">
        <f>D154+Table8414194101324273239434853567142128354451[[#This Row],[LỢI NHUẬN RÒNG]]</f>
        <v>6684531.9549261527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823248</v>
      </c>
      <c r="F155" s="21">
        <v>492265.97746307624</v>
      </c>
      <c r="G155" s="12">
        <f>D155+Table8414194101324273239434853567142128354451[[#This Row],[LỢI NHUẬN RÒNG]]</f>
        <v>3342265.9774630764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823248</v>
      </c>
      <c r="F156" s="21">
        <v>492265.97746307624</v>
      </c>
      <c r="G156" s="12">
        <f>D156+Table8414194101324273239434853567142128354451[[#This Row],[LỢI NHUẬN RÒNG]]</f>
        <v>3342265.9774630764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823248</v>
      </c>
      <c r="F157" s="21">
        <v>492265.97746307624</v>
      </c>
      <c r="G157" s="12">
        <f>D157+Table8414194101324273239434853567142128354451[[#This Row],[LỢI NHUẬN RÒNG]]</f>
        <v>3342265.9774630764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11625000</v>
      </c>
      <c r="E158" s="21">
        <v>3597506.5199999996</v>
      </c>
      <c r="F158" s="21">
        <v>2346025.2905651359</v>
      </c>
      <c r="G158" s="12">
        <f>D158+Table8414194101324273239434853567142128354451[[#This Row],[LỢI NHUẬN RÒNG]]</f>
        <v>13971025.290565137</v>
      </c>
      <c r="H158" s="11"/>
    </row>
    <row r="159" spans="1:10" hidden="1" x14ac:dyDescent="0.3">
      <c r="A159" s="23" t="s">
        <v>57</v>
      </c>
      <c r="B159" s="21" t="s">
        <v>37</v>
      </c>
      <c r="C159" s="21">
        <v>5</v>
      </c>
      <c r="D159" s="21">
        <v>1937500</v>
      </c>
      <c r="E159" s="21">
        <v>599584.41999999993</v>
      </c>
      <c r="F159" s="21">
        <v>391004.21509418933</v>
      </c>
      <c r="G159" s="12">
        <f>D159+Table8414194101324273239434853567142128354451[[#This Row],[LỢI NHUẬN RÒNG]]</f>
        <v>2328504.2150941892</v>
      </c>
      <c r="H159" s="11"/>
    </row>
    <row r="160" spans="1:10" hidden="1" x14ac:dyDescent="0.3">
      <c r="A160" s="23" t="s">
        <v>57</v>
      </c>
      <c r="B160" s="21" t="s">
        <v>33</v>
      </c>
      <c r="C160" s="21">
        <v>5</v>
      </c>
      <c r="D160" s="21">
        <v>1937500</v>
      </c>
      <c r="E160" s="21">
        <v>599584.41999999993</v>
      </c>
      <c r="F160" s="21">
        <v>391004.21509418933</v>
      </c>
      <c r="G160" s="12">
        <f>D160+Table8414194101324273239434853567142128354451[[#This Row],[LỢI NHUẬN RÒNG]]</f>
        <v>2328504.2150941892</v>
      </c>
      <c r="H160" s="11"/>
    </row>
    <row r="161" spans="1:10" x14ac:dyDescent="0.3">
      <c r="A161" s="23" t="s">
        <v>57</v>
      </c>
      <c r="B161" s="21" t="s">
        <v>31</v>
      </c>
      <c r="C161" s="21">
        <v>10</v>
      </c>
      <c r="D161" s="21">
        <v>3875000</v>
      </c>
      <c r="E161" s="21">
        <v>1199168.8399999999</v>
      </c>
      <c r="F161" s="21">
        <v>782008.43018837867</v>
      </c>
      <c r="G161" s="12">
        <f>D161+Table8414194101324273239434853567142128354451[[#This Row],[LỢI NHUẬN RÒNG]]</f>
        <v>4657008.4301883783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7750000</v>
      </c>
      <c r="E162" s="21">
        <v>2398337.6799999997</v>
      </c>
      <c r="F162" s="21">
        <v>1564016.8603767573</v>
      </c>
      <c r="G162" s="12">
        <f>D162+Table8414194101324273239434853567142128354451[[#This Row],[LỢI NHUẬN RÒNG]]</f>
        <v>9314016.8603767566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1937500</v>
      </c>
      <c r="E163" s="21">
        <v>599584.41999999993</v>
      </c>
      <c r="F163" s="21">
        <v>391004.21509418933</v>
      </c>
      <c r="G163" s="12">
        <f>D163+Table8414194101324273239434853567142128354451[[#This Row],[LỢI NHUẬN RÒNG]]</f>
        <v>2328504.2150941892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9687500</v>
      </c>
      <c r="E164" s="21">
        <v>2997922.0999999996</v>
      </c>
      <c r="F164" s="21">
        <v>1955021.0754709467</v>
      </c>
      <c r="G164" s="12">
        <f>D164+Table8414194101324273239434853567142128354451[[#This Row],[LỢI NHUẬN RÒNG]]</f>
        <v>11642521.075470947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1687500</v>
      </c>
      <c r="E165" s="21">
        <v>1101768.8400000001</v>
      </c>
      <c r="F165" s="21">
        <v>704888.86570682656</v>
      </c>
      <c r="G165" s="12">
        <f>D165+Table8414194101324273239434853567142128354451[[#This Row],[LỢI NHUẬN RÒNG]]</f>
        <v>2392388.8657068266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3375000</v>
      </c>
      <c r="E166" s="21">
        <v>2203537.6800000002</v>
      </c>
      <c r="F166" s="21">
        <v>1409777.7314136531</v>
      </c>
      <c r="G166" s="12">
        <f>D166+Table8414194101324273239434853567142128354451[[#This Row],[LỢI NHUẬN RÒNG]]</f>
        <v>4784777.7314136531</v>
      </c>
      <c r="H166" s="11"/>
    </row>
    <row r="167" spans="1:10" hidden="1" x14ac:dyDescent="0.3">
      <c r="A167" s="23" t="s">
        <v>58</v>
      </c>
      <c r="B167" s="21" t="s">
        <v>37</v>
      </c>
      <c r="C167" s="18">
        <v>5</v>
      </c>
      <c r="D167" s="18">
        <v>562500</v>
      </c>
      <c r="E167" s="18">
        <v>367256.28</v>
      </c>
      <c r="F167" s="18">
        <v>234962.95523560885</v>
      </c>
      <c r="G167" s="12">
        <f>D167+Table8414194101324273239434853567142128354451[[#This Row],[LỢI NHUẬN RÒNG]]</f>
        <v>797462.95523560885</v>
      </c>
      <c r="H167" s="11"/>
    </row>
    <row r="168" spans="1:10" hidden="1" x14ac:dyDescent="0.3">
      <c r="A168" s="23" t="s">
        <v>58</v>
      </c>
      <c r="B168" s="21" t="s">
        <v>33</v>
      </c>
      <c r="C168" s="21">
        <v>5</v>
      </c>
      <c r="D168" s="21">
        <v>562500</v>
      </c>
      <c r="E168" s="21">
        <v>367256.28</v>
      </c>
      <c r="F168" s="21">
        <v>234962.95523560885</v>
      </c>
      <c r="G168" s="12">
        <f>D168+Table8414194101324273239434853567142128354451[[#This Row],[LỢI NHUẬN RÒNG]]</f>
        <v>797462.95523560885</v>
      </c>
      <c r="H168" s="11"/>
    </row>
    <row r="169" spans="1:10" x14ac:dyDescent="0.3">
      <c r="A169" s="23" t="s">
        <v>58</v>
      </c>
      <c r="B169" s="21" t="s">
        <v>31</v>
      </c>
      <c r="C169" s="21">
        <v>10</v>
      </c>
      <c r="D169" s="21">
        <v>1125000</v>
      </c>
      <c r="E169" s="21">
        <v>734512.56</v>
      </c>
      <c r="F169" s="21">
        <v>469925.91047121771</v>
      </c>
      <c r="G169" s="12">
        <f>D169+Table8414194101324273239434853567142128354451[[#This Row],[LỢI NHUẬN RÒNG]]</f>
        <v>1594925.9104712177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2250000</v>
      </c>
      <c r="E170" s="21">
        <v>1469025.12</v>
      </c>
      <c r="F170" s="21">
        <v>939851.82094243541</v>
      </c>
      <c r="G170" s="12">
        <f>D170+Table8414194101324273239434853567142128354451[[#This Row],[LỢI NHUẬN RÒNG]]</f>
        <v>3189851.8209424354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562500</v>
      </c>
      <c r="E171" s="21">
        <v>367256.28</v>
      </c>
      <c r="F171" s="21">
        <v>234962.95523560885</v>
      </c>
      <c r="G171" s="12">
        <f>D171+Table8414194101324273239434853567142128354451[[#This Row],[LỢI NHUẬN RÒNG]]</f>
        <v>797462.95523560885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562500</v>
      </c>
      <c r="E172" s="21">
        <v>367256.28</v>
      </c>
      <c r="F172" s="21">
        <v>234962.95523560885</v>
      </c>
      <c r="G172" s="12">
        <f>D172+Table8414194101324273239434853567142128354451[[#This Row],[LỢI NHUẬN RÒNG]]</f>
        <v>797462.95523560885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562500</v>
      </c>
      <c r="E173" s="21">
        <v>367256.28</v>
      </c>
      <c r="F173" s="21">
        <v>234962.95523560885</v>
      </c>
      <c r="G173" s="12">
        <f>D173+Table8414194101324273239434853567142128354451[[#This Row],[LỢI NHUẬN RÒNG]]</f>
        <v>797462.95523560885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2948786.8</v>
      </c>
      <c r="F174" s="21">
        <v>2246571.9740000619</v>
      </c>
      <c r="G174" s="12">
        <f>D174+Table8414194101324273239434853567142128354451[[#This Row],[LỢI NHUẬN RÒNG]]</f>
        <v>9646571.9740000628</v>
      </c>
      <c r="H174" s="11"/>
    </row>
    <row r="175" spans="1:10" hidden="1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737196.7</v>
      </c>
      <c r="F175" s="21">
        <v>561642.99350001547</v>
      </c>
      <c r="G175" s="12">
        <f>D175+Table8414194101324273239434853567142128354451[[#This Row],[LỢI NHUẬN RÒNG]]</f>
        <v>2411642.9935000157</v>
      </c>
      <c r="H175" s="11"/>
    </row>
    <row r="176" spans="1:10" hidden="1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1474393.4</v>
      </c>
      <c r="F176" s="21">
        <v>1123285.9870000309</v>
      </c>
      <c r="G176" s="12">
        <f>D176+Table8414194101324273239434853567142128354451[[#This Row],[LỢI NHUẬN RÒNG]]</f>
        <v>4823285.9870000314</v>
      </c>
      <c r="H176" s="11"/>
    </row>
    <row r="177" spans="1:9" x14ac:dyDescent="0.3">
      <c r="A177" s="23" t="s">
        <v>59</v>
      </c>
      <c r="B177" s="21" t="s">
        <v>31</v>
      </c>
      <c r="C177" s="21">
        <v>15</v>
      </c>
      <c r="D177" s="21">
        <v>5550000</v>
      </c>
      <c r="E177" s="21">
        <v>2211590.1</v>
      </c>
      <c r="F177" s="21">
        <v>1684928.9805000466</v>
      </c>
      <c r="G177" s="12">
        <f>D177+Table8414194101324273239434853567142128354451[[#This Row],[LỢI NHUẬN RÒNG]]</f>
        <v>7234928.9805000462</v>
      </c>
      <c r="H177" s="11"/>
    </row>
    <row r="178" spans="1:9" hidden="1" x14ac:dyDescent="0.3">
      <c r="A178" s="23" t="s">
        <v>59</v>
      </c>
      <c r="B178" s="24" t="s">
        <v>15</v>
      </c>
      <c r="C178" s="21"/>
      <c r="D178" s="21"/>
      <c r="E178" s="21"/>
      <c r="F178" s="21"/>
      <c r="G178" s="12"/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2948786.8</v>
      </c>
      <c r="F179" s="21">
        <v>2246571.9740000619</v>
      </c>
      <c r="G179" s="12">
        <f>D179+Table8414194101324273239434853567142128354451[[#This Row],[LỢI NHUẬN RÒNG]]</f>
        <v>9646571.9740000628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1474393.4</v>
      </c>
      <c r="F180" s="21">
        <v>1123285.9870000309</v>
      </c>
      <c r="G180" s="12">
        <f>D180+Table8414194101324273239434853567142128354451[[#This Row],[LỢI NHUẬN RÒNG]]</f>
        <v>4823285.9870000314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737196.7</v>
      </c>
      <c r="F181" s="21">
        <v>561642.99350001547</v>
      </c>
      <c r="G181" s="12">
        <f>D181+Table8414194101324273239434853567142128354451[[#This Row],[LỢI NHUẬN RÒNG]]</f>
        <v>2411642.9935000157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2211590.1</v>
      </c>
      <c r="F182" s="21">
        <v>1684928.9805000466</v>
      </c>
      <c r="G182" s="12">
        <f>D182+Table8414194101324273239434853567142128354451[[#This Row],[LỢI NHUẬN RÒNG]]</f>
        <v>7234928.9805000462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3000000</v>
      </c>
      <c r="E183" s="18">
        <v>1585275.5</v>
      </c>
      <c r="F183" s="18">
        <v>986899.00378034706</v>
      </c>
      <c r="G183" s="12">
        <f>D183+Table8414194101324273239434853567142128354451[[#This Row],[LỢI NHUẬN RÒNG]]</f>
        <v>3986899.0037803473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4500000</v>
      </c>
      <c r="E184" s="21">
        <v>2377913.25</v>
      </c>
      <c r="F184" s="21">
        <v>1480348.5056705207</v>
      </c>
      <c r="G184" s="12">
        <f>D184+Table8414194101324273239434853567142128354451[[#This Row],[LỢI NHUẬN RÒNG]]</f>
        <v>5980348.5056705205</v>
      </c>
      <c r="H184" s="28"/>
    </row>
    <row r="185" spans="1:9" hidden="1" x14ac:dyDescent="0.3">
      <c r="A185" s="23" t="s">
        <v>60</v>
      </c>
      <c r="B185" s="21" t="s">
        <v>37</v>
      </c>
      <c r="C185" s="21">
        <v>5</v>
      </c>
      <c r="D185" s="21">
        <v>1500000</v>
      </c>
      <c r="E185" s="21">
        <v>792637.75</v>
      </c>
      <c r="F185" s="21">
        <v>493449.50189017353</v>
      </c>
      <c r="G185" s="12">
        <f>D185+Table8414194101324273239434853567142128354451[[#This Row],[LỢI NHUẬN RÒNG]]</f>
        <v>1993449.5018901736</v>
      </c>
      <c r="H185" s="28"/>
    </row>
    <row r="186" spans="1:9" hidden="1" x14ac:dyDescent="0.3">
      <c r="A186" s="23" t="s">
        <v>60</v>
      </c>
      <c r="B186" s="21" t="s">
        <v>33</v>
      </c>
      <c r="C186" s="21">
        <v>5</v>
      </c>
      <c r="D186" s="21">
        <v>1500000</v>
      </c>
      <c r="E186" s="21">
        <v>792637.75</v>
      </c>
      <c r="F186" s="21">
        <v>493449.50189017353</v>
      </c>
      <c r="G186" s="12">
        <f>D186+Table8414194101324273239434853567142128354451[[#This Row],[LỢI NHUẬN RÒNG]]</f>
        <v>1993449.5018901736</v>
      </c>
      <c r="H186" s="28"/>
    </row>
    <row r="187" spans="1:9" x14ac:dyDescent="0.3">
      <c r="A187" s="23" t="s">
        <v>60</v>
      </c>
      <c r="B187" s="21" t="s">
        <v>31</v>
      </c>
      <c r="C187" s="21">
        <v>20</v>
      </c>
      <c r="D187" s="21">
        <v>6000000</v>
      </c>
      <c r="E187" s="21">
        <v>3170551</v>
      </c>
      <c r="F187" s="21">
        <v>1973798.0075606941</v>
      </c>
      <c r="G187" s="12">
        <f>D187+Table8414194101324273239434853567142128354451[[#This Row],[LỢI NHUẬN RÒNG]]</f>
        <v>7973798.0075606946</v>
      </c>
      <c r="H187" s="28"/>
    </row>
    <row r="188" spans="1:9" hidden="1" x14ac:dyDescent="0.3">
      <c r="A188" s="23" t="s">
        <v>60</v>
      </c>
      <c r="B188" s="24" t="s">
        <v>15</v>
      </c>
      <c r="C188" s="21"/>
      <c r="D188" s="21"/>
      <c r="E188" s="21"/>
      <c r="F188" s="21"/>
      <c r="G188" s="12">
        <f>D188+Table8414194101324273239434853567142128354451[[#This Row],[LỢI NHUẬN RÒNG]]</f>
        <v>0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4500000</v>
      </c>
      <c r="E189" s="21">
        <v>2377913.25</v>
      </c>
      <c r="F189" s="21">
        <v>1480348.5056705207</v>
      </c>
      <c r="G189" s="12">
        <f>D189+Table8414194101324273239434853567142128354451[[#This Row],[LỢI NHUẬN RÒNG]]</f>
        <v>5980348.5056705205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1500000</v>
      </c>
      <c r="E190" s="21">
        <v>792637.75</v>
      </c>
      <c r="F190" s="21">
        <v>493449.50189017353</v>
      </c>
      <c r="G190" s="12">
        <f>D190+Table8414194101324273239434853567142128354451[[#This Row],[LỢI NHUẬN RÒNG]]</f>
        <v>1993449.5018901736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3000000</v>
      </c>
      <c r="E191" s="21">
        <v>1585275.5</v>
      </c>
      <c r="F191" s="21">
        <v>986899.00378034706</v>
      </c>
      <c r="G191" s="12">
        <f>D191+Table8414194101324273239434853567142128354451[[#This Row],[LỢI NHUẬN RÒNG]]</f>
        <v>3986899.0037803473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1500000</v>
      </c>
      <c r="E192" s="21">
        <v>792637.75</v>
      </c>
      <c r="F192" s="21">
        <v>493449.50189017353</v>
      </c>
      <c r="G192" s="12">
        <f>D192+Table8414194101324273239434853567142128354451[[#This Row],[LỢI NHUẬN RÒNG]]</f>
        <v>1993449.5018901736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1500000</v>
      </c>
      <c r="E193" s="21">
        <v>792637.75</v>
      </c>
      <c r="F193" s="21">
        <v>493449.50189017353</v>
      </c>
      <c r="G193" s="12">
        <f>D193+Table8414194101324273239434853567142128354451[[#This Row],[LỢI NHUẬN RÒNG]]</f>
        <v>1993449.5018901736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1500000</v>
      </c>
      <c r="E194" s="21">
        <v>792637.75</v>
      </c>
      <c r="F194" s="21">
        <v>493449.50189017353</v>
      </c>
      <c r="G194" s="12">
        <f>D194+Table8414194101324273239434853567142128354451[[#This Row],[LỢI NHUẬN RÒNG]]</f>
        <v>1993449.5018901736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1413364.5</v>
      </c>
      <c r="F195" s="21">
        <v>977459.2686232829</v>
      </c>
      <c r="G195" s="12">
        <f>D195+Table8414194101324273239434853567142128354451[[#This Row],[LỢI NHUẬN RÒNG]]</f>
        <v>2477459.2686232831</v>
      </c>
      <c r="H195" s="28"/>
    </row>
    <row r="196" spans="1:8" hidden="1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1413364.5</v>
      </c>
      <c r="F196" s="21">
        <v>977459.2686232829</v>
      </c>
      <c r="G196" s="12">
        <f>D196+Table8414194101324273239434853567142128354451[[#This Row],[LỢI NHUẬN RÒNG]]</f>
        <v>2477459.2686232831</v>
      </c>
      <c r="H196" s="28"/>
    </row>
    <row r="197" spans="1:8" hidden="1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471121.5</v>
      </c>
      <c r="F197" s="21">
        <v>325819.75620776101</v>
      </c>
      <c r="G197" s="12">
        <f>D197+Table8414194101324273239434853567142128354451[[#This Row],[LỢI NHUẬN RÒNG]]</f>
        <v>825819.75620776101</v>
      </c>
      <c r="H197" s="28"/>
    </row>
    <row r="198" spans="1:8" x14ac:dyDescent="0.3">
      <c r="A198" s="23" t="s">
        <v>61</v>
      </c>
      <c r="B198" s="21" t="s">
        <v>31</v>
      </c>
      <c r="C198" s="21">
        <v>20</v>
      </c>
      <c r="D198" s="21">
        <v>2000000</v>
      </c>
      <c r="E198" s="21">
        <v>1884486</v>
      </c>
      <c r="F198" s="21">
        <v>1303279.024831044</v>
      </c>
      <c r="G198" s="12">
        <f>D198+Table8414194101324273239434853567142128354451[[#This Row],[LỢI NHUẬN RÒNG]]</f>
        <v>3303279.024831044</v>
      </c>
      <c r="H198" s="28"/>
    </row>
    <row r="199" spans="1:8" hidden="1" x14ac:dyDescent="0.3">
      <c r="A199" s="23" t="s">
        <v>61</v>
      </c>
      <c r="B199" s="21" t="s">
        <v>15</v>
      </c>
      <c r="C199" s="21"/>
      <c r="D199" s="21"/>
      <c r="E199" s="21"/>
      <c r="F199" s="21"/>
      <c r="G199" s="12">
        <f>D199+Table8414194101324273239434853567142128354451[[#This Row],[LỢI NHUẬN RÒNG]]</f>
        <v>0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1413364.5</v>
      </c>
      <c r="F200" s="21">
        <v>977459.2686232829</v>
      </c>
      <c r="G200" s="12">
        <f>D200+Table8414194101324273239434853567142128354451[[#This Row],[LỢI NHUẬN RÒNG]]</f>
        <v>2477459.2686232831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471121.5</v>
      </c>
      <c r="F201" s="21">
        <v>325819.75620776101</v>
      </c>
      <c r="G201" s="12">
        <f>D201+Table8414194101324273239434853567142128354451[[#This Row],[LỢI NHUẬN RÒNG]]</f>
        <v>825819.75620776101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471121.5</v>
      </c>
      <c r="F202" s="21">
        <v>325819.75620776101</v>
      </c>
      <c r="G202" s="12">
        <f>D202+Table8414194101324273239434853567142128354451[[#This Row],[LỢI NHUẬN RÒNG]]</f>
        <v>825819.75620776101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471121.5</v>
      </c>
      <c r="F203" s="21">
        <v>325819.75620776101</v>
      </c>
      <c r="G203" s="12">
        <f>D203+Table8414194101324273239434853567142128354451[[#This Row],[LỢI NHUẬN RÒNG]]</f>
        <v>825819.75620776101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942243</v>
      </c>
      <c r="F204" s="21">
        <v>651639.51241552201</v>
      </c>
      <c r="G204" s="12">
        <f>D204+Table8414194101324273239434853567142128354451[[#This Row],[LỢI NHUẬN RÒNG]]</f>
        <v>1651639.512415522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471121.5</v>
      </c>
      <c r="F205" s="21">
        <v>325819.75620776101</v>
      </c>
      <c r="G205" s="12">
        <f>D205+Table8414194101324273239434853567142128354451[[#This Row],[LỢI NHUẬN RÒNG]]</f>
        <v>825819.75620776101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1564054.2</v>
      </c>
      <c r="F206" s="21">
        <v>336965.28480757179</v>
      </c>
      <c r="G206" s="21">
        <f>Table8414194101324273239434853567142128354451[[#This Row],[VỐN CP]]+Table8414194101324273239434853567142128354451[[#This Row],[LỢI NHUẬN RÒNG]]</f>
        <v>3936965.2848075717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3910135.5</v>
      </c>
      <c r="F207" s="21">
        <v>842413.21201892942</v>
      </c>
      <c r="G207" s="21">
        <f>Table8414194101324273239434853567142128354451[[#This Row],[VỐN CP]]+Table8414194101324273239434853567142128354451[[#This Row],[LỢI NHUẬN RÒNG]]</f>
        <v>9842413.2120189294</v>
      </c>
      <c r="H207" s="28"/>
    </row>
    <row r="208" spans="1:8" hidden="1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1564054.2</v>
      </c>
      <c r="F208" s="21">
        <v>336965.28480757179</v>
      </c>
      <c r="G208" s="21">
        <f>Table8414194101324273239434853567142128354451[[#This Row],[VỐN CP]]+Table8414194101324273239434853567142128354451[[#This Row],[LỢI NHUẬN RÒNG]]</f>
        <v>3936965.2848075717</v>
      </c>
      <c r="H208" s="28"/>
    </row>
    <row r="209" spans="1:8" hidden="1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782027.1</v>
      </c>
      <c r="F209" s="21">
        <v>168482.6424037859</v>
      </c>
      <c r="G209" s="21">
        <f>Table8414194101324273239434853567142128354451[[#This Row],[VỐN CP]]+Table8414194101324273239434853567142128354451[[#This Row],[LỢI NHUẬN RÒNG]]</f>
        <v>1968482.6424037858</v>
      </c>
      <c r="H209" s="28"/>
    </row>
    <row r="210" spans="1:8" x14ac:dyDescent="0.3">
      <c r="A210" s="23" t="s">
        <v>62</v>
      </c>
      <c r="B210" s="27" t="s">
        <v>31</v>
      </c>
      <c r="C210" s="21">
        <v>5</v>
      </c>
      <c r="D210" s="21">
        <v>1800000</v>
      </c>
      <c r="E210" s="21">
        <v>782027.1</v>
      </c>
      <c r="F210" s="21">
        <v>168482.6424037859</v>
      </c>
      <c r="G210" s="21">
        <f>Table8414194101324273239434853567142128354451[[#This Row],[VỐN CP]]+Table8414194101324273239434853567142128354451[[#This Row],[LỢI NHUẬN RÒNG]]</f>
        <v>1968482.6424037858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3128108.4</v>
      </c>
      <c r="F211" s="21">
        <v>673930.56961514358</v>
      </c>
      <c r="G211" s="21">
        <f>Table8414194101324273239434853567142128354451[[#This Row],[VỐN CP]]+Table8414194101324273239434853567142128354451[[#This Row],[LỢI NHUẬN RÒNG]]</f>
        <v>7873930.5696151434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1564054.2</v>
      </c>
      <c r="F212" s="21">
        <v>336965.28480757179</v>
      </c>
      <c r="G212" s="21">
        <f>Table8414194101324273239434853567142128354451[[#This Row],[VỐN CP]]+Table8414194101324273239434853567142128354451[[#This Row],[LỢI NHUẬN RÒNG]]</f>
        <v>3936965.2848075717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782027.1</v>
      </c>
      <c r="F213" s="21">
        <v>168482.6424037859</v>
      </c>
      <c r="G213" s="21">
        <f>Table8414194101324273239434853567142128354451[[#This Row],[VỐN CP]]+Table8414194101324273239434853567142128354451[[#This Row],[LỢI NHUẬN RÒNG]]</f>
        <v>1968482.6424037858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1564054.2</v>
      </c>
      <c r="F214" s="21">
        <v>336965.28480757179</v>
      </c>
      <c r="G214" s="21">
        <f>Table8414194101324273239434853567142128354451[[#This Row],[VỐN CP]]+Table8414194101324273239434853567142128354451[[#This Row],[LỢI NHUẬN RÒNG]]</f>
        <v>3936965.2848075717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2845003.2</v>
      </c>
      <c r="F215" s="21">
        <v>1780146.7121195823</v>
      </c>
      <c r="G215" s="21">
        <f>Table8414194101324273239434853567142128354451[[#This Row],[VỐN CP]]+Table8414194101324273239434853567142128354451[[#This Row],[LỢI NHUẬN RÒNG]]</f>
        <v>7980146.7121195821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5690006.4000000004</v>
      </c>
      <c r="F216" s="21">
        <v>3560293.4242391647</v>
      </c>
      <c r="G216" s="21">
        <f>Table8414194101324273239434853567142128354451[[#This Row],[VỐN CP]]+Table8414194101324273239434853567142128354451[[#This Row],[LỢI NHUẬN RÒNG]]</f>
        <v>15960293.424239164</v>
      </c>
      <c r="H216" s="28"/>
    </row>
    <row r="217" spans="1:8" hidden="1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2845003.2</v>
      </c>
      <c r="F217" s="21">
        <v>1780146.7121195823</v>
      </c>
      <c r="G217" s="21">
        <f>Table8414194101324273239434853567142128354451[[#This Row],[VỐN CP]]+Table8414194101324273239434853567142128354451[[#This Row],[LỢI NHUẬN RÒNG]]</f>
        <v>7980146.7121195821</v>
      </c>
      <c r="H217" s="28"/>
    </row>
    <row r="218" spans="1:8" hidden="1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1422501.6</v>
      </c>
      <c r="F218" s="21">
        <v>890073.35605979117</v>
      </c>
      <c r="G218" s="21">
        <f>Table8414194101324273239434853567142128354451[[#This Row],[VỐN CP]]+Table8414194101324273239434853567142128354451[[#This Row],[LỢI NHUẬN RÒNG]]</f>
        <v>3990073.3560597911</v>
      </c>
      <c r="H218" s="28"/>
    </row>
    <row r="219" spans="1:8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1422501.6</v>
      </c>
      <c r="F219" s="21">
        <v>890073.35605979117</v>
      </c>
      <c r="G219" s="21">
        <f>Table8414194101324273239434853567142128354451[[#This Row],[VỐN CP]]+Table8414194101324273239434853567142128354451[[#This Row],[LỢI NHUẬN RÒNG]]</f>
        <v>3990073.3560597911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2845003.2</v>
      </c>
      <c r="F220" s="21">
        <v>1780146.7121195823</v>
      </c>
      <c r="G220" s="21">
        <f>Table8414194101324273239434853567142128354451[[#This Row],[VỐN CP]]+Table8414194101324273239434853567142128354451[[#This Row],[LỢI NHUẬN RÒNG]]</f>
        <v>7980146.7121195821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1422501.6</v>
      </c>
      <c r="F221" s="21">
        <v>890073.35605979117</v>
      </c>
      <c r="G221" s="21">
        <f>Table8414194101324273239434853567142128354451[[#This Row],[VỐN CP]]+Table8414194101324273239434853567142128354451[[#This Row],[LỢI NHUẬN RÒNG]]</f>
        <v>3990073.3560597911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2845003.2</v>
      </c>
      <c r="F222" s="21">
        <v>1780146.7121195823</v>
      </c>
      <c r="G222" s="21">
        <f>Table8414194101324273239434853567142128354451[[#This Row],[VỐN CP]]+Table8414194101324273239434853567142128354451[[#This Row],[LỢI NHUẬN RÒNG]]</f>
        <v>7980146.7121195821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2845003.2</v>
      </c>
      <c r="F223" s="21">
        <v>1780146.7121195823</v>
      </c>
      <c r="G223" s="21">
        <f>Table8414194101324273239434853567142128354451[[#This Row],[VỐN CP]]+Table8414194101324273239434853567142128354451[[#This Row],[LỢI NHUẬN RÒNG]]</f>
        <v>7980146.7121195821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1422501.6</v>
      </c>
      <c r="F224" s="21">
        <v>890073.35605979117</v>
      </c>
      <c r="G224" s="21">
        <f>Table8414194101324273239434853567142128354451[[#This Row],[VỐN CP]]+Table8414194101324273239434853567142128354451[[#This Row],[LỢI NHUẬN RÒNG]]</f>
        <v>3990073.3560597911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2845003.2</v>
      </c>
      <c r="F225" s="21">
        <v>1780146.7121195823</v>
      </c>
      <c r="G225" s="21">
        <f>Table8414194101324273239434853567142128354451[[#This Row],[VỐN CP]]+Table8414194101324273239434853567142128354451[[#This Row],[LỢI NHUẬN RÒNG]]</f>
        <v>7980146.7121195821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1969332.2</v>
      </c>
      <c r="F226" s="21">
        <v>1638957.0157072947</v>
      </c>
      <c r="G226" s="21">
        <f>Table8414194101324273239434853567142128354451[[#This Row],[VỐN CP]]+Table8414194101324273239434853567142128354451[[#This Row],[LỢI NHUẬN RÒNG]]</f>
        <v>5338957.0157072945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3938664.4</v>
      </c>
      <c r="F227" s="21">
        <v>3277914.0314145894</v>
      </c>
      <c r="G227" s="21">
        <f>Table8414194101324273239434853567142128354451[[#This Row],[VỐN CP]]+Table8414194101324273239434853567142128354451[[#This Row],[LỢI NHUẬN RÒNG]]</f>
        <v>10677914.031414589</v>
      </c>
      <c r="H227" s="28"/>
    </row>
    <row r="228" spans="1:10" hidden="1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1969332.2</v>
      </c>
      <c r="F228" s="21">
        <v>1638957.0157072947</v>
      </c>
      <c r="G228" s="21">
        <f>Table8414194101324273239434853567142128354451[[#This Row],[VỐN CP]]+Table8414194101324273239434853567142128354451[[#This Row],[LỢI NHUẬN RÒNG]]</f>
        <v>5338957.0157072945</v>
      </c>
      <c r="H228" s="28"/>
    </row>
    <row r="229" spans="1:10" hidden="1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984666.1</v>
      </c>
      <c r="F229" s="21">
        <v>819478.50785364734</v>
      </c>
      <c r="G229" s="21">
        <f>Table8414194101324273239434853567142128354451[[#This Row],[VỐN CP]]+Table8414194101324273239434853567142128354451[[#This Row],[LỢI NHUẬN RÒNG]]</f>
        <v>2669478.5078536472</v>
      </c>
      <c r="H229" s="28"/>
    </row>
    <row r="230" spans="1:10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984666.1</v>
      </c>
      <c r="F230" s="21">
        <v>819478.50785364734</v>
      </c>
      <c r="G230" s="21">
        <f>Table8414194101324273239434853567142128354451[[#This Row],[VỐN CP]]+Table8414194101324273239434853567142128354451[[#This Row],[LỢI NHUẬN RÒNG]]</f>
        <v>2669478.5078536472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1969332.2</v>
      </c>
      <c r="F231" s="21">
        <v>1638957.0157072947</v>
      </c>
      <c r="G231" s="21">
        <f>Table8414194101324273239434853567142128354451[[#This Row],[VỐN CP]]+Table8414194101324273239434853567142128354451[[#This Row],[LỢI NHUẬN RÒNG]]</f>
        <v>5338957.0157072945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984666.1</v>
      </c>
      <c r="F232" s="21">
        <v>819478.50785364734</v>
      </c>
      <c r="G232" s="21">
        <f>Table8414194101324273239434853567142128354451[[#This Row],[VỐN CP]]+Table8414194101324273239434853567142128354451[[#This Row],[LỢI NHUẬN RÒNG]]</f>
        <v>2669478.5078536472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1969332.2</v>
      </c>
      <c r="F233" s="21">
        <v>1638957.0157072947</v>
      </c>
      <c r="G233" s="21">
        <f>Table8414194101324273239434853567142128354451[[#This Row],[VỐN CP]]+Table8414194101324273239434853567142128354451[[#This Row],[LỢI NHUẬN RÒNG]]</f>
        <v>5338957.0157072945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984666.1</v>
      </c>
      <c r="F234" s="11">
        <v>819478.50785364734</v>
      </c>
      <c r="G234" s="21">
        <f>Table8414194101324273239434853567142128354451[[#This Row],[VỐN CP]]+Table8414194101324273239434853567142128354451[[#This Row],[LỢI NHUẬN RÒNG]]</f>
        <v>2669478.5078536472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1969332.2</v>
      </c>
      <c r="F235" s="21">
        <v>1638957.0157072947</v>
      </c>
      <c r="G235" s="21">
        <f>Table8414194101324273239434853567142128354451[[#This Row],[VỐN CP]]+Table8414194101324273239434853567142128354451[[#This Row],[LỢI NHUẬN RÒNG]]</f>
        <v>5338957.0157072945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1969332.2</v>
      </c>
      <c r="F236" s="21">
        <v>1638957.0157072947</v>
      </c>
      <c r="G236" s="21">
        <f>Table8414194101324273239434853567142128354451[[#This Row],[VỐN CP]]+Table8414194101324273239434853567142128354451[[#This Row],[LỢI NHUẬN RÒNG]]</f>
        <v>5338957.0157072945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1171441.8</v>
      </c>
      <c r="F237" s="21">
        <v>725794.32738670486</v>
      </c>
      <c r="G237" s="21">
        <f>Table8414194101324273239434853567142128354451[[#This Row],[VỐN CP]]+Table8414194101324273239434853567142128354451[[#This Row],[LỢI NHUẬN RÒNG]]</f>
        <v>4225794.3273867052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3514325.4</v>
      </c>
      <c r="F238" s="21">
        <v>2177382.9821601147</v>
      </c>
      <c r="G238" s="21">
        <f>Table8414194101324273239434853567142128354451[[#This Row],[VỐN CP]]+Table8414194101324273239434853567142128354451[[#This Row],[LỢI NHUẬN RÒNG]]</f>
        <v>12677382.982160114</v>
      </c>
      <c r="H238" s="28"/>
      <c r="I238" s="11"/>
      <c r="J238" s="11"/>
    </row>
    <row r="239" spans="1:10" hidden="1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1171441.8</v>
      </c>
      <c r="F239" s="21">
        <v>725794.32738670486</v>
      </c>
      <c r="G239" s="21">
        <f>Table8414194101324273239434853567142128354451[[#This Row],[VỐN CP]]+Table8414194101324273239434853567142128354451[[#This Row],[LỢI NHUẬN RÒNG]]</f>
        <v>4225794.3273867052</v>
      </c>
      <c r="H239" s="28"/>
      <c r="I239" s="11"/>
      <c r="J239" s="11"/>
    </row>
    <row r="240" spans="1:10" hidden="1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585720.9</v>
      </c>
      <c r="F240" s="21">
        <v>362897.16369335243</v>
      </c>
      <c r="G240" s="21">
        <f>Table8414194101324273239434853567142128354451[[#This Row],[VỐN CP]]+Table8414194101324273239434853567142128354451[[#This Row],[LỢI NHUẬN RÒNG]]</f>
        <v>2112897.1636933526</v>
      </c>
      <c r="H240" s="28"/>
      <c r="I240" s="11"/>
      <c r="J240" s="11"/>
    </row>
    <row r="241" spans="1:10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1171441.8</v>
      </c>
      <c r="F241" s="21">
        <v>725794.32738670486</v>
      </c>
      <c r="G241" s="21">
        <f>Table8414194101324273239434853567142128354451[[#This Row],[VỐN CP]]+Table8414194101324273239434853567142128354451[[#This Row],[LỢI NHUẬN RÒNG]]</f>
        <v>4225794.3273867052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1171441.8</v>
      </c>
      <c r="F242" s="21">
        <v>725794.32738670486</v>
      </c>
      <c r="G242" s="21">
        <f>Table8414194101324273239434853567142128354451[[#This Row],[VỐN CP]]+Table8414194101324273239434853567142128354451[[#This Row],[LỢI NHUẬN RÒNG]]</f>
        <v>4225794.3273867052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1171441.8</v>
      </c>
      <c r="F243" s="21">
        <v>725794.32738670486</v>
      </c>
      <c r="G243" s="21">
        <f>Table8414194101324273239434853567142128354451[[#This Row],[VỐN CP]]+Table8414194101324273239434853567142128354451[[#This Row],[LỢI NHUẬN RÒNG]]</f>
        <v>4225794.3273867052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1171441.8</v>
      </c>
      <c r="F244" s="21">
        <v>725794.32738670486</v>
      </c>
      <c r="G244" s="21">
        <f>Table8414194101324273239434853567142128354451[[#This Row],[VỐN CP]]+Table8414194101324273239434853567142128354451[[#This Row],[LỢI NHUẬN RÒNG]]</f>
        <v>4225794.3273867052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585720.9</v>
      </c>
      <c r="F245" s="21">
        <v>362897.16369335243</v>
      </c>
      <c r="G245" s="21">
        <f>Table8414194101324273239434853567142128354451[[#This Row],[VỐN CP]]+Table8414194101324273239434853567142128354451[[#This Row],[LỢI NHUẬN RÒNG]]</f>
        <v>2112897.1636933526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1622379.9</v>
      </c>
      <c r="F246" s="21">
        <v>1056420.2638395131</v>
      </c>
      <c r="G246" s="21">
        <f>Table8414194101324273239434853567142128354451[[#This Row],[VỐN CP]]+Table8414194101324273239434853567142128354451[[#This Row],[LỢI NHUẬN RÒNG]]</f>
        <v>6056420.2638395131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3244759.8</v>
      </c>
      <c r="F247" s="21">
        <v>2112840.5276790261</v>
      </c>
      <c r="G247" s="21">
        <f>Table8414194101324273239434853567142128354451[[#This Row],[VỐN CP]]+Table8414194101324273239434853567142128354451[[#This Row],[LỢI NHUẬN RÒNG]]</f>
        <v>12112840.527679026</v>
      </c>
      <c r="H247" s="28"/>
      <c r="I247" s="11"/>
      <c r="J247" s="11"/>
    </row>
    <row r="248" spans="1:10" hidden="1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1622379.9</v>
      </c>
      <c r="F248" s="21">
        <v>1056420.2638395131</v>
      </c>
      <c r="G248" s="21">
        <f>Table8414194101324273239434853567142128354451[[#This Row],[VỐN CP]]+Table8414194101324273239434853567142128354451[[#This Row],[LỢI NHUẬN RÒNG]]</f>
        <v>6056420.2638395131</v>
      </c>
      <c r="H248" s="28"/>
      <c r="I248" s="11"/>
      <c r="J248" s="11"/>
    </row>
    <row r="249" spans="1:10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811189.95</v>
      </c>
      <c r="F249" s="21">
        <v>528210.13191975653</v>
      </c>
      <c r="G249" s="21">
        <f>Table8414194101324273239434853567142128354451[[#This Row],[VỐN CP]]+Table8414194101324273239434853567142128354451[[#This Row],[LỢI NHUẬN RÒNG]]</f>
        <v>3028210.1319197565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1622379.9</v>
      </c>
      <c r="F250" s="21">
        <v>1056420.2638395131</v>
      </c>
      <c r="G250" s="21">
        <f>Table8414194101324273239434853567142128354451[[#This Row],[VỐN CP]]+Table8414194101324273239434853567142128354451[[#This Row],[LỢI NHUẬN RÒNG]]</f>
        <v>6056420.2638395131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811189.95</v>
      </c>
      <c r="F251" s="21">
        <v>528210.13191975653</v>
      </c>
      <c r="G251" s="21">
        <f>Table8414194101324273239434853567142128354451[[#This Row],[VỐN CP]]+Table8414194101324273239434853567142128354451[[#This Row],[LỢI NHUẬN RÒNG]]</f>
        <v>3028210.1319197565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1622379.9</v>
      </c>
      <c r="F252" s="21">
        <v>1056420.2638395131</v>
      </c>
      <c r="G252" s="21">
        <f>Table8414194101324273239434853567142128354451[[#This Row],[VỐN CP]]+Table8414194101324273239434853567142128354451[[#This Row],[LỢI NHUẬN RÒNG]]</f>
        <v>6056420.2638395131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811189.95</v>
      </c>
      <c r="F253" s="21">
        <v>528210.13191975653</v>
      </c>
      <c r="G253" s="21">
        <f>Table8414194101324273239434853567142128354451[[#This Row],[VỐN CP]]+Table8414194101324273239434853567142128354451[[#This Row],[LỢI NHUẬN RÒNG]]</f>
        <v>3028210.1319197565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811189.95</v>
      </c>
      <c r="F254" s="21">
        <v>528210.13191975653</v>
      </c>
      <c r="G254" s="21">
        <f>Table8414194101324273239434853567142128354451[[#This Row],[VỐN CP]]+Table8414194101324273239434853567142128354451[[#This Row],[LỢI NHUẬN RÒNG]]</f>
        <v>3028210.1319197565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1622379.9</v>
      </c>
      <c r="F255" s="21">
        <v>1056420.2638395131</v>
      </c>
      <c r="G255" s="21">
        <f>Table8414194101324273239434853567142128354451[[#This Row],[VỐN CP]]+Table8414194101324273239434853567142128354451[[#This Row],[LỢI NHUẬN RÒNG]]</f>
        <v>6056420.2638395131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811189.95</v>
      </c>
      <c r="F256" s="21">
        <v>528210.13191975653</v>
      </c>
      <c r="G256" s="21">
        <f>Table8414194101324273239434853567142128354451[[#This Row],[VỐN CP]]+Table8414194101324273239434853567142128354451[[#This Row],[LỢI NHUẬN RÒNG]]</f>
        <v>3028210.1319197565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811189.95</v>
      </c>
      <c r="F257" s="21">
        <v>528210.13191975653</v>
      </c>
      <c r="G257" s="21">
        <f>Table8414194101324273239434853567142128354451[[#This Row],[VỐN CP]]+Table8414194101324273239434853567142128354451[[#This Row],[LỢI NHUẬN RÒNG]]</f>
        <v>3028210.1319197565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982404.1</v>
      </c>
      <c r="F258" s="21">
        <v>232482.91525135338</v>
      </c>
      <c r="G258" s="21">
        <f>Table8414194101324273239434853567142128354451[[#This Row],[VỐN CP]]+Table8414194101324273239434853567142128354451[[#This Row],[LỢI NHUẬN RÒNG]]</f>
        <v>2132482.9152513533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1964808.2</v>
      </c>
      <c r="F259" s="21">
        <v>464965.83050270675</v>
      </c>
      <c r="G259" s="21">
        <f>Table8414194101324273239434853567142128354451[[#This Row],[VỐN CP]]+Table8414194101324273239434853567142128354451[[#This Row],[LỢI NHUẬN RÒNG]]</f>
        <v>4264965.8305027066</v>
      </c>
      <c r="H259" s="28"/>
      <c r="I259" s="11"/>
      <c r="J259" s="11"/>
    </row>
    <row r="260" spans="1:10" hidden="1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491202.05</v>
      </c>
      <c r="F260" s="21">
        <v>116241.45762567669</v>
      </c>
      <c r="G260" s="21">
        <f>Table8414194101324273239434853567142128354451[[#This Row],[VỐN CP]]+Table8414194101324273239434853567142128354451[[#This Row],[LỢI NHUẬN RÒNG]]</f>
        <v>1066241.4576256766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982404.1</v>
      </c>
      <c r="F261" s="21">
        <v>232482.91525135338</v>
      </c>
      <c r="G261" s="21">
        <f>Table8414194101324273239434853567142128354451[[#This Row],[VỐN CP]]+Table8414194101324273239434853567142128354451[[#This Row],[LỢI NHUẬN RÒNG]]</f>
        <v>2132482.9152513533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1473606.15</v>
      </c>
      <c r="F262" s="21">
        <v>348724.37287703005</v>
      </c>
      <c r="G262" s="21">
        <f>Table8414194101324273239434853567142128354451[[#This Row],[VỐN CP]]+Table8414194101324273239434853567142128354451[[#This Row],[LỢI NHUẬN RÒNG]]</f>
        <v>3198724.3728770302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982404.1</v>
      </c>
      <c r="F263" s="21">
        <v>232482.91525135338</v>
      </c>
      <c r="G263" s="21">
        <f>Table8414194101324273239434853567142128354451[[#This Row],[VỐN CP]]+Table8414194101324273239434853567142128354451[[#This Row],[LỢI NHUẬN RÒNG]]</f>
        <v>2132482.9152513533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491202.05</v>
      </c>
      <c r="F264" s="21">
        <v>116241.45762567669</v>
      </c>
      <c r="G264" s="21">
        <f>Table8414194101324273239434853567142128354451[[#This Row],[VỐN CP]]+Table8414194101324273239434853567142128354451[[#This Row],[LỢI NHUẬN RÒNG]]</f>
        <v>1066241.4576256766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1964808.2</v>
      </c>
      <c r="F265" s="21">
        <v>464965.83050270675</v>
      </c>
      <c r="G265" s="21">
        <f>Table8414194101324273239434853567142128354451[[#This Row],[VỐN CP]]+Table8414194101324273239434853567142128354451[[#This Row],[LỢI NHUẬN RÒNG]]</f>
        <v>4264965.8305027066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491202.05</v>
      </c>
      <c r="F266" s="21">
        <v>116241.45762567669</v>
      </c>
      <c r="G266" s="21">
        <f>Table8414194101324273239434853567142128354451[[#This Row],[VỐN CP]]+Table8414194101324273239434853567142128354451[[#This Row],[LỢI NHUẬN RÒNG]]</f>
        <v>1066241.4576256766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1890178.8</v>
      </c>
      <c r="F267" s="21">
        <v>1502953.3584822428</v>
      </c>
      <c r="G267" s="21">
        <f>Table8414194101324273239434853567142128354451[[#This Row],[VỐN CP]]+Table8414194101324273239434853567142128354451[[#This Row],[LỢI NHUẬN RÒNG]]</f>
        <v>3002953.3584822426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630059.6</v>
      </c>
      <c r="F268" s="21">
        <v>500984.45282741426</v>
      </c>
      <c r="G268" s="21">
        <f>Table8414194101324273239434853567142128354451[[#This Row],[VỐN CP]]+Table8414194101324273239434853567142128354451[[#This Row],[LỢI NHUẬN RÒNG]]</f>
        <v>1000984.4528274143</v>
      </c>
      <c r="H268" s="28"/>
      <c r="I268" s="11"/>
      <c r="J268" s="11"/>
    </row>
    <row r="269" spans="1:10" hidden="1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1260119.2</v>
      </c>
      <c r="F269" s="21">
        <v>1001968.9056548285</v>
      </c>
      <c r="G269" s="21">
        <f>Table8414194101324273239434853567142128354451[[#This Row],[VỐN CP]]+Table8414194101324273239434853567142128354451[[#This Row],[LỢI NHUẬN RÒNG]]</f>
        <v>2001968.9056548285</v>
      </c>
      <c r="H269" s="28"/>
      <c r="I269" s="11"/>
      <c r="J269" s="11"/>
    </row>
    <row r="270" spans="1:10" hidden="1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630059.6</v>
      </c>
      <c r="F270" s="21">
        <v>500984.45282741426</v>
      </c>
      <c r="G270" s="21">
        <f>Table8414194101324273239434853567142128354451[[#This Row],[VỐN CP]]+Table8414194101324273239434853567142128354451[[#This Row],[LỢI NHUẬN RÒNG]]</f>
        <v>1000984.4528274143</v>
      </c>
      <c r="H270" s="28"/>
      <c r="I270" s="11"/>
      <c r="J270" s="11"/>
    </row>
    <row r="271" spans="1:10" x14ac:dyDescent="0.3">
      <c r="A271" s="23" t="s">
        <v>68</v>
      </c>
      <c r="B271" s="27" t="s">
        <v>31</v>
      </c>
      <c r="C271" s="21">
        <v>10</v>
      </c>
      <c r="D271" s="21">
        <v>1000000</v>
      </c>
      <c r="E271" s="21">
        <v>1260119.2</v>
      </c>
      <c r="F271" s="21">
        <v>1001968.9056548285</v>
      </c>
      <c r="G271" s="21">
        <f>Table8414194101324273239434853567142128354451[[#This Row],[VỐN CP]]+Table8414194101324273239434853567142128354451[[#This Row],[LỢI NHUẬN RÒNG]]</f>
        <v>2001968.9056548285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/>
      <c r="D272" s="21"/>
      <c r="E272" s="21"/>
      <c r="F272" s="21"/>
      <c r="G272" s="21">
        <f>Table8414194101324273239434853567142128354451[[#This Row],[VỐN CP]]+Table8414194101324273239434853567142128354451[[#This Row],[LỢI NHUẬN RÒNG]]</f>
        <v>0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1890178.8</v>
      </c>
      <c r="F273" s="21">
        <v>1502953.3584822428</v>
      </c>
      <c r="G273" s="21">
        <f>Table8414194101324273239434853567142128354451[[#This Row],[VỐN CP]]+Table8414194101324273239434853567142128354451[[#This Row],[LỢI NHUẬN RÒNG]]</f>
        <v>3002953.3584822426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630059.6</v>
      </c>
      <c r="F274" s="21">
        <v>500984.45282741426</v>
      </c>
      <c r="G274" s="21">
        <f>Table8414194101324273239434853567142128354451[[#This Row],[VỐN CP]]+Table8414194101324273239434853567142128354451[[#This Row],[LỢI NHUẬN RÒNG]]</f>
        <v>1000984.4528274143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1260119.2</v>
      </c>
      <c r="F275" s="21">
        <v>1001968.9056548285</v>
      </c>
      <c r="G275" s="21">
        <f>Table8414194101324273239434853567142128354451[[#This Row],[VỐN CP]]+Table8414194101324273239434853567142128354451[[#This Row],[LỢI NHUẬN RÒNG]]</f>
        <v>2001968.9056548285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1260119.2</v>
      </c>
      <c r="F276" s="21">
        <v>1001968.9056548285</v>
      </c>
      <c r="G276" s="21">
        <f>Table8414194101324273239434853567142128354451[[#This Row],[VỐN CP]]+Table8414194101324273239434853567142128354451[[#This Row],[LỢI NHUẬN RÒNG]]</f>
        <v>2001968.9056548285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630059.6</v>
      </c>
      <c r="F277" s="21">
        <v>500984.45282741426</v>
      </c>
      <c r="G277" s="21">
        <f>Table8414194101324273239434853567142128354451[[#This Row],[VỐN CP]]+Table8414194101324273239434853567142128354451[[#This Row],[LỢI NHUẬN RÒNG]]</f>
        <v>1000984.4528274143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1260119.2</v>
      </c>
      <c r="F278" s="21">
        <v>1001968.9056548285</v>
      </c>
      <c r="G278" s="21">
        <f>Table8414194101324273239434853567142128354451[[#This Row],[VỐN CP]]+Table8414194101324273239434853567142128354451[[#This Row],[LỢI NHUẬN RÒNG]]</f>
        <v>2001968.9056548285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2482734.2000000002</v>
      </c>
      <c r="F279" s="21">
        <v>1356664.6966945021</v>
      </c>
      <c r="G279" s="21">
        <f>Table8414194101324273239434853567142128354451[[#This Row],[VỐN CP]]+Table8414194101324273239434853567142128354451[[#This Row],[LỢI NHUẬN RÒNG]]</f>
        <v>8556664.6966945026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1241367.1000000001</v>
      </c>
      <c r="F280" s="21">
        <v>678332.34834725107</v>
      </c>
      <c r="G280" s="21">
        <f>Table8414194101324273239434853567142128354451[[#This Row],[VỐN CP]]+Table8414194101324273239434853567142128354451[[#This Row],[LỢI NHUẬN RÒNG]]</f>
        <v>4278332.3483472513</v>
      </c>
      <c r="H280" s="28"/>
      <c r="I280" s="11"/>
      <c r="J280" s="11"/>
    </row>
    <row r="281" spans="1:10" hidden="1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1241367.1000000001</v>
      </c>
      <c r="F281" s="21">
        <v>678332.34834725107</v>
      </c>
      <c r="G281" s="21">
        <f>Table8414194101324273239434853567142128354451[[#This Row],[VỐN CP]]+Table8414194101324273239434853567142128354451[[#This Row],[LỢI NHUẬN RÒNG]]</f>
        <v>4278332.3483472513</v>
      </c>
      <c r="H281" s="28"/>
      <c r="I281" s="11"/>
      <c r="J281" s="11"/>
    </row>
    <row r="282" spans="1:10" hidden="1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620683.55000000005</v>
      </c>
      <c r="F282" s="21">
        <v>339166.17417362554</v>
      </c>
      <c r="G282" s="21">
        <f>Table8414194101324273239434853567142128354451[[#This Row],[VỐN CP]]+Table8414194101324273239434853567142128354451[[#This Row],[LỢI NHUẬN RÒNG]]</f>
        <v>2139166.1741736257</v>
      </c>
      <c r="H282" s="28"/>
      <c r="I282" s="11"/>
      <c r="J282" s="11"/>
    </row>
    <row r="283" spans="1:10" x14ac:dyDescent="0.3">
      <c r="A283" s="23" t="s">
        <v>69</v>
      </c>
      <c r="B283" s="27" t="s">
        <v>31</v>
      </c>
      <c r="C283" s="21">
        <v>10</v>
      </c>
      <c r="D283" s="21">
        <v>3600000</v>
      </c>
      <c r="E283" s="21">
        <v>1241367.1000000001</v>
      </c>
      <c r="F283" s="21">
        <v>678332.34834725107</v>
      </c>
      <c r="G283" s="21">
        <f>Table8414194101324273239434853567142128354451[[#This Row],[VỐN CP]]+Table8414194101324273239434853567142128354451[[#This Row],[LỢI NHUẬN RÒNG]]</f>
        <v>4278332.3483472513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/>
      <c r="D284" s="21"/>
      <c r="E284" s="21"/>
      <c r="F284" s="21"/>
      <c r="G284" s="21">
        <f>Table8414194101324273239434853567142128354451[[#This Row],[VỐN CP]]+Table8414194101324273239434853567142128354451[[#This Row],[LỢI NHUẬN RÒNG]]</f>
        <v>0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1862050.65</v>
      </c>
      <c r="F285" s="21">
        <v>1017498.5225208767</v>
      </c>
      <c r="G285" s="21">
        <f>Table8414194101324273239434853567142128354451[[#This Row],[VỐN CP]]+Table8414194101324273239434853567142128354451[[#This Row],[LỢI NHUẬN RÒNG]]</f>
        <v>6417498.5225208765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620683.55000000005</v>
      </c>
      <c r="F286" s="21">
        <v>339166.17417362554</v>
      </c>
      <c r="G286" s="21">
        <f>Table8414194101324273239434853567142128354451[[#This Row],[VỐN CP]]+Table8414194101324273239434853567142128354451[[#This Row],[LỢI NHUẬN RÒNG]]</f>
        <v>2139166.1741736257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1862050.65</v>
      </c>
      <c r="F287" s="21">
        <v>1017498.5225208767</v>
      </c>
      <c r="G287" s="21">
        <f>Table8414194101324273239434853567142128354451[[#This Row],[VỐN CP]]+Table8414194101324273239434853567142128354451[[#This Row],[LỢI NHUẬN RÒNG]]</f>
        <v>6417498.5225208765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1241367.1000000001</v>
      </c>
      <c r="F288" s="21">
        <v>678332.34834725107</v>
      </c>
      <c r="G288" s="21">
        <f>Table8414194101324273239434853567142128354451[[#This Row],[VỐN CP]]+Table8414194101324273239434853567142128354451[[#This Row],[LỢI NHUẬN RÒNG]]</f>
        <v>4278332.3483472513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2327895.4</v>
      </c>
      <c r="F289" s="21">
        <v>1327946.8699381663</v>
      </c>
      <c r="G289" s="21">
        <f>Table8414194101324273239434853567142128354451[[#This Row],[VỐN CP]]+Table8414194101324273239434853567142128354451[[#This Row],[LỢI NHUẬN RÒNG]]</f>
        <v>6527946.8699381668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1163947.7</v>
      </c>
      <c r="F290" s="21">
        <v>663973.43496908317</v>
      </c>
      <c r="G290" s="21">
        <f>Table8414194101324273239434853567142128354451[[#This Row],[VỐN CP]]+Table8414194101324273239434853567142128354451[[#This Row],[LỢI NHUẬN RÒNG]]</f>
        <v>3263973.4349690834</v>
      </c>
      <c r="H290" s="28"/>
      <c r="I290" s="11"/>
      <c r="J290" s="11"/>
    </row>
    <row r="291" spans="1:10" hidden="1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1163947.7</v>
      </c>
      <c r="F291" s="21">
        <v>663973.43496908317</v>
      </c>
      <c r="G291" s="21">
        <f>Table8414194101324273239434853567142128354451[[#This Row],[VỐN CP]]+Table8414194101324273239434853567142128354451[[#This Row],[LỢI NHUẬN RÒNG]]</f>
        <v>3263973.4349690834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2327895.4</v>
      </c>
      <c r="F292" s="21">
        <v>1327946.8699381663</v>
      </c>
      <c r="G292" s="21">
        <f>Table8414194101324273239434853567142128354451[[#This Row],[VỐN CP]]+Table8414194101324273239434853567142128354451[[#This Row],[LỢI NHUẬN RÒNG]]</f>
        <v>6527946.8699381668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581973.85</v>
      </c>
      <c r="F293" s="21">
        <v>331986.71748454159</v>
      </c>
      <c r="G293" s="21">
        <f>Table8414194101324273239434853567142128354451[[#This Row],[VỐN CP]]+Table8414194101324273239434853567142128354451[[#This Row],[LỢI NHUẬN RÒNG]]</f>
        <v>1631986.7174845417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581973.85</v>
      </c>
      <c r="F294" s="21">
        <v>331986.71748454159</v>
      </c>
      <c r="G294" s="21">
        <f>Table8414194101324273239434853567142128354451[[#This Row],[VỐN CP]]+Table8414194101324273239434853567142128354451[[#This Row],[LỢI NHUẬN RÒNG]]</f>
        <v>1631986.7174845417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581973.85</v>
      </c>
      <c r="F295" s="21">
        <v>331986.71748454159</v>
      </c>
      <c r="G295" s="21">
        <f>Table8414194101324273239434853567142128354451[[#This Row],[VỐN CP]]+Table8414194101324273239434853567142128354451[[#This Row],[LỢI NHUẬN RÒNG]]</f>
        <v>1631986.7174845417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1745921.55</v>
      </c>
      <c r="F296" s="21">
        <v>995960.15245362488</v>
      </c>
      <c r="G296" s="21">
        <f>Table8414194101324273239434853567142128354451[[#This Row],[VỐN CP]]+Table8414194101324273239434853567142128354451[[#This Row],[LỢI NHUẬN RÒNG]]</f>
        <v>4895960.1524536246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1163947.7</v>
      </c>
      <c r="F297" s="21">
        <v>663973.43496908317</v>
      </c>
      <c r="G297" s="21">
        <f>Table8414194101324273239434853567142128354451[[#This Row],[VỐN CP]]+Table8414194101324273239434853567142128354451[[#This Row],[LỢI NHUẬN RÒNG]]</f>
        <v>3263973.4349690834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8903407.0000000019</v>
      </c>
      <c r="F298" s="21">
        <v>4737610.6512906607</v>
      </c>
      <c r="G298" s="21">
        <f>Table8414194101324273239434853567142128354451[[#This Row],[VỐN CP]]+Table8414194101324273239434853567142128354451[[#This Row],[LỢI NHUẬN RÒNG]]</f>
        <v>24177610.651290663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4451703.5000000009</v>
      </c>
      <c r="F299" s="21">
        <v>2368805.3256453304</v>
      </c>
      <c r="G299" s="21">
        <f>Table8414194101324273239434853567142128354451[[#This Row],[VỐN CP]]+Table8414194101324273239434853567142128354451[[#This Row],[LỢI NHUẬN RÒNG]]</f>
        <v>12088805.325645331</v>
      </c>
      <c r="H299" s="28"/>
      <c r="I299" s="11"/>
      <c r="J299" s="11"/>
    </row>
    <row r="300" spans="1:10" hidden="1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1483901.1666666672</v>
      </c>
      <c r="F300" s="21">
        <v>789601.77521511016</v>
      </c>
      <c r="G300" s="21">
        <f>Table8414194101324273239434853567142128354451[[#This Row],[VỐN CP]]+Table8414194101324273239434853567142128354451[[#This Row],[LỢI NHUẬN RÒNG]]</f>
        <v>4029601.7752151103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4451703.5000000009</v>
      </c>
      <c r="F301" s="21">
        <v>2368805.3256453304</v>
      </c>
      <c r="G301" s="21">
        <f>Table8414194101324273239434853567142128354451[[#This Row],[VỐN CP]]+Table8414194101324273239434853567142128354451[[#This Row],[LỢI NHUẬN RÒNG]]</f>
        <v>12088805.325645331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1483901.1666666672</v>
      </c>
      <c r="F302" s="21">
        <v>789601.77521511016</v>
      </c>
      <c r="G302" s="21">
        <f>Table8414194101324273239434853567142128354451[[#This Row],[VỐN CP]]+Table8414194101324273239434853567142128354451[[#This Row],[LỢI NHUẬN RÒNG]]</f>
        <v>4029601.7752151103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1483901.1666666672</v>
      </c>
      <c r="F303" s="21">
        <v>789601.77521511016</v>
      </c>
      <c r="G303" s="21">
        <f>Table8414194101324273239434853567142128354451[[#This Row],[VỐN CP]]+Table8414194101324273239434853567142128354451[[#This Row],[LỢI NHUẬN RÒNG]]</f>
        <v>4029601.7752151103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4451703.5000000009</v>
      </c>
      <c r="F304" s="21">
        <v>2368805.3256453304</v>
      </c>
      <c r="G304" s="21">
        <f>Table8414194101324273239434853567142128354451[[#This Row],[VỐN CP]]+Table8414194101324273239434853567142128354451[[#This Row],[LỢI NHUẬN RÒNG]]</f>
        <v>12088805.325645331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2967802.3333333344</v>
      </c>
      <c r="F305" s="21">
        <v>1579203.5504302203</v>
      </c>
      <c r="G305" s="21">
        <f>Table8414194101324273239434853567142128354451[[#This Row],[VỐN CP]]+Table8414194101324273239434853567142128354451[[#This Row],[LỢI NHUẬN RÒNG]]</f>
        <v>8059203.5504302206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4371620.3500000006</v>
      </c>
      <c r="F306" s="21">
        <v>2027196.3648787916</v>
      </c>
      <c r="G306" s="21">
        <f>Table8414194101324273239434853567142128354451[[#This Row],[VỐN CP]]+Table8414194101324273239434853567142128354451[[#This Row],[LỢI NHUẬN RÒNG]]</f>
        <v>14027196.364878792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1457206.7833333337</v>
      </c>
      <c r="F307" s="21">
        <v>675732.12162626383</v>
      </c>
      <c r="G307" s="21">
        <f>Table8414194101324273239434853567142128354451[[#This Row],[VỐN CP]]+Table8414194101324273239434853567142128354451[[#This Row],[LỢI NHUẬN RÒNG]]</f>
        <v>4675732.1216262635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5828827.1333333347</v>
      </c>
      <c r="F308" s="21">
        <v>2702928.4865050553</v>
      </c>
      <c r="G308" s="21">
        <f>Table8414194101324273239434853567142128354451[[#This Row],[VỐN CP]]+Table8414194101324273239434853567142128354451[[#This Row],[LỢI NHUẬN RÒNG]]</f>
        <v>18702928.486505054</v>
      </c>
      <c r="H308" s="28"/>
      <c r="I308" s="11"/>
      <c r="J308" s="11"/>
    </row>
    <row r="309" spans="1:10" hidden="1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1457206.7833333337</v>
      </c>
      <c r="F309" s="21">
        <v>675732.12162626383</v>
      </c>
      <c r="G309" s="21">
        <f>Table8414194101324273239434853567142128354451[[#This Row],[VỐN CP]]+Table8414194101324273239434853567142128354451[[#This Row],[LỢI NHUẬN RÒNG]]</f>
        <v>4675732.1216262635</v>
      </c>
      <c r="H309" s="28"/>
      <c r="I309" s="11"/>
      <c r="J309" s="11"/>
    </row>
    <row r="310" spans="1:10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1457206.7833333337</v>
      </c>
      <c r="F310" s="21">
        <v>675732.12162626383</v>
      </c>
      <c r="G310" s="21">
        <f>Table8414194101324273239434853567142128354451[[#This Row],[VỐN CP]]+Table8414194101324273239434853567142128354451[[#This Row],[LỢI NHUẬN RÒNG]]</f>
        <v>4675732.1216262635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2914413.5666666673</v>
      </c>
      <c r="F311" s="21">
        <v>1351464.2432525277</v>
      </c>
      <c r="G311" s="21">
        <f>Table8414194101324273239434853567142128354451[[#This Row],[VỐN CP]]+Table8414194101324273239434853567142128354451[[#This Row],[LỢI NHUẬN RÒNG]]</f>
        <v>9351464.243252527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1457206.7833333337</v>
      </c>
      <c r="F312" s="21">
        <v>675732.12162626383</v>
      </c>
      <c r="G312" s="21">
        <f>Table8414194101324273239434853567142128354451[[#This Row],[VỐN CP]]+Table8414194101324273239434853567142128354451[[#This Row],[LỢI NHUẬN RÒNG]]</f>
        <v>4675732.1216262635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2914413.5666666673</v>
      </c>
      <c r="F313" s="21">
        <v>1351464.2432525277</v>
      </c>
      <c r="G313" s="21">
        <f>Table8414194101324273239434853567142128354451[[#This Row],[VỐN CP]]+Table8414194101324273239434853567142128354451[[#This Row],[LỢI NHUẬN RÒNG]]</f>
        <v>9351464.243252527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1457206.7833333337</v>
      </c>
      <c r="F314" s="21">
        <v>675732.12162626383</v>
      </c>
      <c r="G314" s="21">
        <f>Table8414194101324273239434853567142128354451[[#This Row],[VỐN CP]]+Table8414194101324273239434853567142128354451[[#This Row],[LỢI NHUẬN RÒNG]]</f>
        <v>4675732.1216262635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5828827.1333333347</v>
      </c>
      <c r="F315" s="21">
        <v>2702928.4865050553</v>
      </c>
      <c r="G315" s="21">
        <f>Table8414194101324273239434853567142128354451[[#This Row],[VỐN CP]]+Table8414194101324273239434853567142128354451[[#This Row],[LỢI NHUẬN RÒNG]]</f>
        <v>18702928.486505054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3310259.55</v>
      </c>
      <c r="F316" s="21">
        <v>2184545.1380161019</v>
      </c>
      <c r="G316" s="21">
        <f>Table8414194101324273239434853567142128354451[[#This Row],[VỐN CP]]+Table8414194101324273239434853567142128354451[[#This Row],[LỢI NHUẬN RÒNG]]</f>
        <v>10179545.138016101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1103419.8500000001</v>
      </c>
      <c r="F317" s="21">
        <v>728181.71267203393</v>
      </c>
      <c r="G317" s="21">
        <f>Table8414194101324273239434853567142128354451[[#This Row],[VỐN CP]]+Table8414194101324273239434853567142128354451[[#This Row],[LỢI NHUẬN RÒNG]]</f>
        <v>3393181.7126720338</v>
      </c>
      <c r="H317" s="28"/>
      <c r="I317" s="11"/>
      <c r="J317" s="11"/>
    </row>
    <row r="318" spans="1:10" hidden="1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2206839.7000000002</v>
      </c>
      <c r="F318" s="21">
        <v>1456363.4253440679</v>
      </c>
      <c r="G318" s="21">
        <f>Table8414194101324273239434853567142128354451[[#This Row],[VỐN CP]]+Table8414194101324273239434853567142128354451[[#This Row],[LỢI NHUẬN RÒNG]]</f>
        <v>6786363.4253440676</v>
      </c>
      <c r="H318" s="28"/>
      <c r="I318" s="11"/>
      <c r="J318" s="11"/>
    </row>
    <row r="319" spans="1:10" x14ac:dyDescent="0.3">
      <c r="A319" s="23" t="s">
        <v>73</v>
      </c>
      <c r="B319" s="27" t="s">
        <v>31</v>
      </c>
      <c r="C319" s="21">
        <v>10</v>
      </c>
      <c r="D319" s="21">
        <v>5330000</v>
      </c>
      <c r="E319" s="21">
        <v>2206839.7000000002</v>
      </c>
      <c r="F319" s="21">
        <v>1456363.4253440679</v>
      </c>
      <c r="G319" s="21">
        <f>Table8414194101324273239434853567142128354451[[#This Row],[VỐN CP]]+Table8414194101324273239434853567142128354451[[#This Row],[LỢI NHUẬN RÒNG]]</f>
        <v>6786363.4253440676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/>
      <c r="D320" s="21"/>
      <c r="E320" s="21"/>
      <c r="F320" s="21"/>
      <c r="G320" s="21">
        <f>Table8414194101324273239434853567142128354451[[#This Row],[VỐN CP]]+Table8414194101324273239434853567142128354451[[#This Row],[LỢI NHUẬN RÒNG]]</f>
        <v>0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4413679.4000000004</v>
      </c>
      <c r="F321" s="21">
        <v>2912726.8506881357</v>
      </c>
      <c r="G321" s="21">
        <f>Table8414194101324273239434853567142128354451[[#This Row],[VỐN CP]]+Table8414194101324273239434853567142128354451[[#This Row],[LỢI NHUẬN RÒNG]]</f>
        <v>13572726.850688135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1103419.8500000001</v>
      </c>
      <c r="F322" s="21">
        <v>728181.71267203393</v>
      </c>
      <c r="G322" s="21">
        <f>Table8414194101324273239434853567142128354451[[#This Row],[VỐN CP]]+Table8414194101324273239434853567142128354451[[#This Row],[LỢI NHUẬN RÒNG]]</f>
        <v>3393181.7126720338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1103419.8500000001</v>
      </c>
      <c r="F323" s="21">
        <v>728181.71267203393</v>
      </c>
      <c r="G323" s="21">
        <f>Table8414194101324273239434853567142128354451[[#This Row],[VỐN CP]]+Table8414194101324273239434853567142128354451[[#This Row],[LỢI NHUẬN RÒNG]]</f>
        <v>3393181.7126720338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1103419.8500000001</v>
      </c>
      <c r="F324" s="21">
        <v>728181.71267203393</v>
      </c>
      <c r="G324" s="21">
        <f>Table8414194101324273239434853567142128354451[[#This Row],[VỐN CP]]+Table8414194101324273239434853567142128354451[[#This Row],[LỢI NHUẬN RÒNG]]</f>
        <v>3393181.7126720338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1103419.8500000001</v>
      </c>
      <c r="F325" s="21">
        <v>728181.71267203393</v>
      </c>
      <c r="G325" s="21">
        <f>Table8414194101324273239434853567142128354451[[#This Row],[VỐN CP]]+Table8414194101324273239434853567142128354451[[#This Row],[LỢI NHUẬN RÒNG]]</f>
        <v>3393181.7126720338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1103419.8500000001</v>
      </c>
      <c r="F326" s="21">
        <v>728181.71267203393</v>
      </c>
      <c r="G326" s="21">
        <f>Table8414194101324273239434853567142128354451[[#This Row],[VỐN CP]]+Table8414194101324273239434853567142128354451[[#This Row],[LỢI NHUẬN RÒNG]]</f>
        <v>3393181.7126720338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2206839.7000000002</v>
      </c>
      <c r="F327" s="21">
        <v>1456363.4253440679</v>
      </c>
      <c r="G327" s="21">
        <f>Table8414194101324273239434853567142128354451[[#This Row],[VỐN CP]]+Table8414194101324273239434853567142128354451[[#This Row],[LỢI NHUẬN RÒNG]]</f>
        <v>6786363.4253440676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1103419.8500000001</v>
      </c>
      <c r="F328" s="21">
        <v>728181.71267203393</v>
      </c>
      <c r="G328" s="21">
        <f>Table8414194101324273239434853567142128354451[[#This Row],[VỐN CP]]+Table8414194101324273239434853567142128354451[[#This Row],[LỢI NHUẬN RÒNG]]</f>
        <v>3393181.7126720338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4545858.0999999996</v>
      </c>
      <c r="F329" s="21">
        <v>3224519.1834156127</v>
      </c>
      <c r="G329" s="21">
        <f>Table8414194101324273239434853567142128354451[[#This Row],[VỐN CP]]+Table8414194101324273239434853567142128354451[[#This Row],[LỢI NHUẬN RÒNG]]</f>
        <v>13724519.183415612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4545858.0999999996</v>
      </c>
      <c r="F330" s="21">
        <v>3224519.1834156127</v>
      </c>
      <c r="G330" s="21">
        <f>Table8414194101324273239434853567142128354451[[#This Row],[VỐN CP]]+Table8414194101324273239434853567142128354451[[#This Row],[LỢI NHUẬN RÒNG]]</f>
        <v>13724519.183415612</v>
      </c>
      <c r="H330" s="28"/>
      <c r="I330" s="11"/>
      <c r="J330" s="11"/>
    </row>
    <row r="331" spans="1:10" hidden="1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6818787.1500000004</v>
      </c>
      <c r="F331" s="21">
        <v>4836778.7751234183</v>
      </c>
      <c r="G331" s="21">
        <f>Table8414194101324273239434853567142128354451[[#This Row],[VỐN CP]]+Table8414194101324273239434853567142128354451[[#This Row],[LỢI NHUẬN RÒNG]]</f>
        <v>20586778.775123417</v>
      </c>
      <c r="H331" s="28"/>
      <c r="I331" s="11"/>
      <c r="J331" s="11"/>
    </row>
    <row r="332" spans="1:10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2272929.0499999998</v>
      </c>
      <c r="F332" s="21">
        <v>1612259.5917078063</v>
      </c>
      <c r="G332" s="21">
        <f>Table8414194101324273239434853567142128354451[[#This Row],[VỐN CP]]+Table8414194101324273239434853567142128354451[[#This Row],[LỢI NHUẬN RÒNG]]</f>
        <v>6862259.5917078061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2272929.0499999998</v>
      </c>
      <c r="F333" s="21">
        <v>1612259.5917078063</v>
      </c>
      <c r="G333" s="21">
        <f>Table8414194101324273239434853567142128354451[[#This Row],[VỐN CP]]+Table8414194101324273239434853567142128354451[[#This Row],[LỢI NHUẬN RÒNG]]</f>
        <v>6862259.5917078061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4545858.0999999996</v>
      </c>
      <c r="F334" s="21">
        <v>3224519.1834156127</v>
      </c>
      <c r="G334" s="21">
        <f>Table8414194101324273239434853567142128354451[[#This Row],[VỐN CP]]+Table8414194101324273239434853567142128354451[[#This Row],[LỢI NHUẬN RÒNG]]</f>
        <v>13724519.183415612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2272929.0499999998</v>
      </c>
      <c r="F335" s="21">
        <v>1612259.5917078063</v>
      </c>
      <c r="G335" s="21">
        <f>Table8414194101324273239434853567142128354451[[#This Row],[VỐN CP]]+Table8414194101324273239434853567142128354451[[#This Row],[LỢI NHUẬN RÒNG]]</f>
        <v>6862259.5917078061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9091716.1999999993</v>
      </c>
      <c r="F336" s="21">
        <v>6449038.3668312253</v>
      </c>
      <c r="G336" s="21">
        <f>Table8414194101324273239434853567142128354451[[#This Row],[VỐN CP]]+Table8414194101324273239434853567142128354451[[#This Row],[LỢI NHUẬN RÒNG]]</f>
        <v>27449038.366831224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9091716.1999999993</v>
      </c>
      <c r="F337" s="21">
        <v>6449038.3668312253</v>
      </c>
      <c r="G337" s="21">
        <f>Table8414194101324273239434853567142128354451[[#This Row],[VỐN CP]]+Table8414194101324273239434853567142128354451[[#This Row],[LỢI NHUẬN RÒNG]]</f>
        <v>27449038.366831224</v>
      </c>
      <c r="H337" s="28"/>
      <c r="I337" s="11"/>
      <c r="J337" s="11"/>
    </row>
    <row r="338" spans="1:10" hidden="1" x14ac:dyDescent="0.3">
      <c r="A338" s="23" t="s">
        <v>76</v>
      </c>
      <c r="B338" s="27" t="s">
        <v>9</v>
      </c>
      <c r="C338" s="21">
        <v>20</v>
      </c>
      <c r="D338" s="21">
        <v>5333333.333333334</v>
      </c>
      <c r="E338" s="21">
        <v>3968118.2666666661</v>
      </c>
      <c r="F338" s="21">
        <v>2778843.7531815111</v>
      </c>
      <c r="G338" s="21">
        <f>Table8414194101324273239434853567142128354451[[#This Row],[VỐN CP]]+Table8414194101324273239434853567142128354451[[#This Row],[LỢI NHUẬN RÒNG]]</f>
        <v>8112177.0865148455</v>
      </c>
      <c r="H338" s="28"/>
      <c r="I338" s="11"/>
      <c r="J338" s="11"/>
    </row>
    <row r="339" spans="1:10" hidden="1" x14ac:dyDescent="0.3">
      <c r="A339" s="23" t="s">
        <v>76</v>
      </c>
      <c r="B339" s="27" t="s">
        <v>19</v>
      </c>
      <c r="C339" s="21">
        <v>10</v>
      </c>
      <c r="D339" s="21">
        <v>2666666.666666667</v>
      </c>
      <c r="E339" s="21">
        <v>1984059.1333333331</v>
      </c>
      <c r="F339" s="21">
        <v>1389421.8765907555</v>
      </c>
      <c r="G339" s="21">
        <f>Table8414194101324273239434853567142128354451[[#This Row],[VỐN CP]]+Table8414194101324273239434853567142128354451[[#This Row],[LỢI NHUẬN RÒNG]]</f>
        <v>4056088.5432574227</v>
      </c>
      <c r="H339" s="28"/>
      <c r="I339" s="11"/>
      <c r="J339" s="11"/>
    </row>
    <row r="340" spans="1:10" hidden="1" x14ac:dyDescent="0.3">
      <c r="A340" s="23" t="s">
        <v>76</v>
      </c>
      <c r="B340" s="27" t="s">
        <v>37</v>
      </c>
      <c r="C340" s="21">
        <v>10</v>
      </c>
      <c r="D340" s="21">
        <v>2666666.666666667</v>
      </c>
      <c r="E340" s="21">
        <v>1984059.1333333331</v>
      </c>
      <c r="F340" s="21">
        <v>1389421.8765907555</v>
      </c>
      <c r="G340" s="21">
        <f>Table8414194101324273239434853567142128354451[[#This Row],[VỐN CP]]+Table8414194101324273239434853567142128354451[[#This Row],[LỢI NHUẬN RÒNG]]</f>
        <v>4056088.5432574227</v>
      </c>
      <c r="H340" s="28"/>
      <c r="I340" s="11"/>
      <c r="J340" s="11"/>
    </row>
    <row r="341" spans="1:10" x14ac:dyDescent="0.3">
      <c r="A341" s="23" t="s">
        <v>76</v>
      </c>
      <c r="B341" s="27" t="s">
        <v>31</v>
      </c>
      <c r="C341" s="21">
        <v>5</v>
      </c>
      <c r="D341" s="21">
        <v>1333333.3333333335</v>
      </c>
      <c r="E341" s="21">
        <v>992029.56666666653</v>
      </c>
      <c r="F341" s="21">
        <v>694710.93829537777</v>
      </c>
      <c r="G341" s="21">
        <f>Table8414194101324273239434853567142128354451[[#This Row],[VỐN CP]]+Table8414194101324273239434853567142128354451[[#This Row],[LỢI NHUẬN RÒNG]]</f>
        <v>2028044.2716287114</v>
      </c>
      <c r="H341" s="28"/>
      <c r="I341" s="11"/>
      <c r="J341" s="11"/>
    </row>
    <row r="342" spans="1:10" hidden="1" x14ac:dyDescent="0.3">
      <c r="A342" s="23" t="s">
        <v>76</v>
      </c>
      <c r="B342" s="27" t="s">
        <v>21</v>
      </c>
      <c r="C342" s="21">
        <v>15</v>
      </c>
      <c r="D342" s="21">
        <v>4000000.0000000005</v>
      </c>
      <c r="E342" s="21">
        <v>2976088.7</v>
      </c>
      <c r="F342" s="21">
        <v>2084132.8148861334</v>
      </c>
      <c r="G342" s="21">
        <f>Table8414194101324273239434853567142128354451[[#This Row],[VỐN CP]]+Table8414194101324273239434853567142128354451[[#This Row],[LỢI NHUẬN RÒNG]]</f>
        <v>6084132.8148861341</v>
      </c>
      <c r="H342" s="28"/>
      <c r="I342" s="11"/>
      <c r="J342" s="11"/>
    </row>
    <row r="343" spans="1:10" hidden="1" x14ac:dyDescent="0.3">
      <c r="A343" s="23" t="s">
        <v>76</v>
      </c>
      <c r="B343" s="27" t="s">
        <v>10</v>
      </c>
      <c r="C343" s="21">
        <v>5</v>
      </c>
      <c r="D343" s="21">
        <v>1333333.3333333335</v>
      </c>
      <c r="E343" s="21">
        <v>992029.56666666653</v>
      </c>
      <c r="F343" s="21">
        <v>694710.93829537777</v>
      </c>
      <c r="G343" s="21">
        <f>Table8414194101324273239434853567142128354451[[#This Row],[VỐN CP]]+Table8414194101324273239434853567142128354451[[#This Row],[LỢI NHUẬN RÒNG]]</f>
        <v>2028044.2716287114</v>
      </c>
      <c r="H343" s="28"/>
      <c r="I343" s="11"/>
      <c r="J343" s="11"/>
    </row>
    <row r="344" spans="1:10" hidden="1" x14ac:dyDescent="0.3">
      <c r="A344" s="23" t="s">
        <v>76</v>
      </c>
      <c r="B344" s="27" t="s">
        <v>13</v>
      </c>
      <c r="C344" s="21">
        <v>5</v>
      </c>
      <c r="D344" s="21">
        <v>1333333.3333333335</v>
      </c>
      <c r="E344" s="21">
        <v>992029.56666666653</v>
      </c>
      <c r="F344" s="21">
        <v>694710.93829537777</v>
      </c>
      <c r="G344" s="21">
        <f>Table8414194101324273239434853567142128354451[[#This Row],[VỐN CP]]+Table8414194101324273239434853567142128354451[[#This Row],[LỢI NHUẬN RÒNG]]</f>
        <v>2028044.2716287114</v>
      </c>
      <c r="H344" s="28"/>
      <c r="I344" s="11"/>
      <c r="J344" s="11"/>
    </row>
    <row r="345" spans="1:10" hidden="1" x14ac:dyDescent="0.3">
      <c r="A345" s="23" t="s">
        <v>76</v>
      </c>
      <c r="B345" s="27" t="s">
        <v>29</v>
      </c>
      <c r="C345" s="21">
        <v>5</v>
      </c>
      <c r="D345" s="21">
        <v>1333333.3333333335</v>
      </c>
      <c r="E345" s="21">
        <v>992029.56666666653</v>
      </c>
      <c r="F345" s="21">
        <v>694710.93829537777</v>
      </c>
      <c r="G345" s="21">
        <f>Table8414194101324273239434853567142128354451[[#This Row],[VỐN CP]]+Table8414194101324273239434853567142128354451[[#This Row],[LỢI NHUẬN RÒNG]]</f>
        <v>2028044.2716287114</v>
      </c>
      <c r="H345" s="28"/>
      <c r="I345" s="11"/>
      <c r="J345" s="11"/>
    </row>
    <row r="346" spans="1:10" hidden="1" x14ac:dyDescent="0.3">
      <c r="A346" s="23" t="s">
        <v>76</v>
      </c>
      <c r="B346" s="27" t="s">
        <v>35</v>
      </c>
      <c r="C346" s="21">
        <v>5</v>
      </c>
      <c r="D346" s="21">
        <v>1333333.3333333335</v>
      </c>
      <c r="E346" s="21">
        <v>992029.56666666653</v>
      </c>
      <c r="F346" s="21">
        <v>694710.93829537777</v>
      </c>
      <c r="G346" s="21">
        <f>Table8414194101324273239434853567142128354451[[#This Row],[VỐN CP]]+Table8414194101324273239434853567142128354451[[#This Row],[LỢI NHUẬN RÒNG]]</f>
        <v>2028044.2716287114</v>
      </c>
      <c r="H346" s="28"/>
      <c r="I346" s="11"/>
      <c r="J346" s="11"/>
    </row>
    <row r="347" spans="1:10" hidden="1" x14ac:dyDescent="0.3">
      <c r="A347" s="23" t="s">
        <v>76</v>
      </c>
      <c r="B347" s="27" t="s">
        <v>43</v>
      </c>
      <c r="C347" s="21">
        <v>10</v>
      </c>
      <c r="D347" s="21">
        <v>2666666.666666667</v>
      </c>
      <c r="E347" s="21">
        <v>1984059.1333333331</v>
      </c>
      <c r="F347" s="21">
        <v>1389421.8765907555</v>
      </c>
      <c r="G347" s="21">
        <f>Table8414194101324273239434853567142128354451[[#This Row],[VỐN CP]]+Table8414194101324273239434853567142128354451[[#This Row],[LỢI NHUẬN RÒNG]]</f>
        <v>4056088.5432574227</v>
      </c>
      <c r="H347" s="28"/>
      <c r="I347" s="11"/>
      <c r="J347" s="11"/>
    </row>
    <row r="348" spans="1:10" hidden="1" x14ac:dyDescent="0.3">
      <c r="A348" s="23" t="s">
        <v>76</v>
      </c>
      <c r="B348" s="27" t="s">
        <v>25</v>
      </c>
      <c r="C348" s="21">
        <v>10</v>
      </c>
      <c r="D348" s="21">
        <v>2666666.666666667</v>
      </c>
      <c r="E348" s="21">
        <v>1984059.1333333331</v>
      </c>
      <c r="F348" s="21">
        <v>1389421.8765907555</v>
      </c>
      <c r="G348" s="21">
        <f>Table8414194101324273239434853567142128354451[[#This Row],[VỐN CP]]+Table8414194101324273239434853567142128354451[[#This Row],[LỢI NHUẬN RÒNG]]</f>
        <v>4056088.5432574227</v>
      </c>
      <c r="H348" s="28"/>
      <c r="I348" s="11"/>
      <c r="J348" s="11"/>
    </row>
    <row r="349" spans="1:10" hidden="1" x14ac:dyDescent="0.3">
      <c r="A349" s="23" t="s">
        <v>77</v>
      </c>
      <c r="B349" s="27" t="s">
        <v>9</v>
      </c>
      <c r="C349" s="21">
        <v>15</v>
      </c>
      <c r="D349" s="21">
        <v>2925000</v>
      </c>
      <c r="E349" s="21">
        <v>1411190.55</v>
      </c>
      <c r="F349" s="21">
        <v>973701.16750633891</v>
      </c>
      <c r="G349" s="21">
        <f>Table8414194101324273239434853567142128354451[[#This Row],[VỐN CP]]+Table8414194101324273239434853567142128354451[[#This Row],[LỢI NHUẬN RÒNG]]</f>
        <v>3898701.167506339</v>
      </c>
      <c r="H349" s="28"/>
      <c r="I349" s="11"/>
      <c r="J349" s="11"/>
    </row>
    <row r="350" spans="1:10" hidden="1" x14ac:dyDescent="0.3">
      <c r="A350" s="23" t="s">
        <v>77</v>
      </c>
      <c r="B350" s="27" t="s">
        <v>19</v>
      </c>
      <c r="C350" s="21">
        <v>10</v>
      </c>
      <c r="D350" s="21">
        <v>1950000</v>
      </c>
      <c r="E350" s="21">
        <v>940793.7</v>
      </c>
      <c r="F350" s="21">
        <v>649134.11167089269</v>
      </c>
      <c r="G350" s="21">
        <f>Table8414194101324273239434853567142128354451[[#This Row],[VỐN CP]]+Table8414194101324273239434853567142128354451[[#This Row],[LỢI NHUẬN RÒNG]]</f>
        <v>2599134.1116708927</v>
      </c>
      <c r="H350" s="28"/>
      <c r="I350" s="11"/>
      <c r="J350" s="11"/>
    </row>
    <row r="351" spans="1:10" hidden="1" x14ac:dyDescent="0.3">
      <c r="A351" s="23" t="s">
        <v>77</v>
      </c>
      <c r="B351" s="27" t="s">
        <v>37</v>
      </c>
      <c r="C351" s="21">
        <v>15</v>
      </c>
      <c r="D351" s="21">
        <v>2925000</v>
      </c>
      <c r="E351" s="21">
        <v>1411190.55</v>
      </c>
      <c r="F351" s="21">
        <v>973701.16750633891</v>
      </c>
      <c r="G351" s="21">
        <f>Table8414194101324273239434853567142128354451[[#This Row],[VỐN CP]]+Table8414194101324273239434853567142128354451[[#This Row],[LỢI NHUẬN RÒNG]]</f>
        <v>3898701.167506339</v>
      </c>
      <c r="H351" s="28"/>
      <c r="I351" s="11"/>
      <c r="J351" s="11"/>
    </row>
    <row r="352" spans="1:10" hidden="1" x14ac:dyDescent="0.3">
      <c r="A352" s="23" t="s">
        <v>77</v>
      </c>
      <c r="B352" s="27" t="s">
        <v>33</v>
      </c>
      <c r="C352" s="21">
        <v>5</v>
      </c>
      <c r="D352" s="21">
        <v>975000</v>
      </c>
      <c r="E352" s="21">
        <v>470396.85</v>
      </c>
      <c r="F352" s="21">
        <v>324567.05583544634</v>
      </c>
      <c r="G352" s="21">
        <f>Table8414194101324273239434853567142128354451[[#This Row],[VỐN CP]]+Table8414194101324273239434853567142128354451[[#This Row],[LỢI NHUẬN RÒNG]]</f>
        <v>1299567.0558354463</v>
      </c>
      <c r="H352" s="28"/>
      <c r="I352" s="11"/>
      <c r="J352" s="11"/>
    </row>
    <row r="353" spans="1:10" x14ac:dyDescent="0.3">
      <c r="A353" s="23" t="s">
        <v>77</v>
      </c>
      <c r="B353" s="27" t="s">
        <v>31</v>
      </c>
      <c r="C353" s="21">
        <v>10</v>
      </c>
      <c r="D353" s="21">
        <v>1950000</v>
      </c>
      <c r="E353" s="21">
        <v>940793.7</v>
      </c>
      <c r="F353" s="21">
        <v>649134.11167089269</v>
      </c>
      <c r="G353" s="21">
        <f>Table8414194101324273239434853567142128354451[[#This Row],[VỐN CP]]+Table8414194101324273239434853567142128354451[[#This Row],[LỢI NHUẬN RÒNG]]</f>
        <v>2599134.1116708927</v>
      </c>
      <c r="H353" s="28"/>
      <c r="I353" s="11"/>
      <c r="J353" s="11"/>
    </row>
    <row r="354" spans="1:10" hidden="1" x14ac:dyDescent="0.3">
      <c r="A354" s="23" t="s">
        <v>77</v>
      </c>
      <c r="B354" s="27" t="s">
        <v>15</v>
      </c>
      <c r="C354" s="21"/>
      <c r="D354" s="21"/>
      <c r="E354" s="21"/>
      <c r="F354" s="21"/>
      <c r="G354" s="21">
        <f>Table8414194101324273239434853567142128354451[[#This Row],[VỐN CP]]+Table8414194101324273239434853567142128354451[[#This Row],[LỢI NHUẬN RÒNG]]</f>
        <v>0</v>
      </c>
      <c r="H354" s="28"/>
      <c r="I354" s="11"/>
      <c r="J354" s="11"/>
    </row>
    <row r="355" spans="1:10" hidden="1" x14ac:dyDescent="0.3">
      <c r="A355" s="23" t="s">
        <v>77</v>
      </c>
      <c r="B355" s="27" t="s">
        <v>21</v>
      </c>
      <c r="C355" s="21">
        <v>20</v>
      </c>
      <c r="D355" s="21">
        <v>3900000</v>
      </c>
      <c r="E355" s="21">
        <v>1881587.4</v>
      </c>
      <c r="F355" s="21">
        <v>1298268.2233417854</v>
      </c>
      <c r="G355" s="21">
        <f>Table8414194101324273239434853567142128354451[[#This Row],[VỐN CP]]+Table8414194101324273239434853567142128354451[[#This Row],[LỢI NHUẬN RÒNG]]</f>
        <v>5198268.2233417854</v>
      </c>
      <c r="H355" s="28"/>
      <c r="I355" s="11"/>
      <c r="J355" s="11"/>
    </row>
    <row r="356" spans="1:10" hidden="1" x14ac:dyDescent="0.3">
      <c r="A356" s="23" t="s">
        <v>77</v>
      </c>
      <c r="B356" s="27" t="s">
        <v>43</v>
      </c>
      <c r="C356" s="21">
        <v>10</v>
      </c>
      <c r="D356" s="21">
        <v>1950000</v>
      </c>
      <c r="E356" s="21">
        <v>940793.7</v>
      </c>
      <c r="F356" s="21">
        <v>649134.11167089269</v>
      </c>
      <c r="G356" s="21">
        <f>Table8414194101324273239434853567142128354451[[#This Row],[VỐN CP]]+Table8414194101324273239434853567142128354451[[#This Row],[LỢI NHUẬN RÒNG]]</f>
        <v>2599134.1116708927</v>
      </c>
      <c r="H356" s="28"/>
      <c r="I356" s="11"/>
      <c r="J356" s="11"/>
    </row>
    <row r="357" spans="1:10" hidden="1" x14ac:dyDescent="0.3">
      <c r="A357" s="23" t="s">
        <v>77</v>
      </c>
      <c r="B357" s="27" t="s">
        <v>45</v>
      </c>
      <c r="C357" s="21">
        <v>5</v>
      </c>
      <c r="D357" s="21">
        <v>975000</v>
      </c>
      <c r="E357" s="21">
        <v>470396.85</v>
      </c>
      <c r="F357" s="21">
        <v>324567.05583544634</v>
      </c>
      <c r="G357" s="21">
        <f>Table8414194101324273239434853567142128354451[[#This Row],[VỐN CP]]+Table8414194101324273239434853567142128354451[[#This Row],[LỢI NHUẬN RÒNG]]</f>
        <v>1299567.0558354463</v>
      </c>
      <c r="H357" s="28"/>
      <c r="I357" s="11"/>
      <c r="J357" s="11"/>
    </row>
    <row r="358" spans="1:10" hidden="1" x14ac:dyDescent="0.3">
      <c r="A358" s="23" t="s">
        <v>77</v>
      </c>
      <c r="B358" s="27" t="s">
        <v>25</v>
      </c>
      <c r="C358" s="21">
        <v>10</v>
      </c>
      <c r="D358" s="21">
        <v>1950000</v>
      </c>
      <c r="E358" s="21">
        <v>940793.7</v>
      </c>
      <c r="F358" s="21">
        <v>649134.11167089269</v>
      </c>
      <c r="G358" s="21">
        <f>Table8414194101324273239434853567142128354451[[#This Row],[VỐN CP]]+Table8414194101324273239434853567142128354451[[#This Row],[LỢI NHUẬN RÒNG]]</f>
        <v>2599134.1116708927</v>
      </c>
      <c r="H358" s="28"/>
      <c r="I358" s="11"/>
      <c r="J358" s="11"/>
    </row>
    <row r="359" spans="1:10" hidden="1" x14ac:dyDescent="0.3">
      <c r="A359" s="23" t="s">
        <v>78</v>
      </c>
      <c r="B359" s="27" t="s">
        <v>9</v>
      </c>
      <c r="C359" s="21">
        <v>15</v>
      </c>
      <c r="D359" s="21">
        <v>3900000</v>
      </c>
      <c r="E359" s="21">
        <v>1154899.95</v>
      </c>
      <c r="F359" s="21">
        <v>467805.06876697316</v>
      </c>
      <c r="G359" s="21">
        <f>Table8414194101324273239434853567142128354451[[#This Row],[VỐN CP]]+Table8414194101324273239434853567142128354451[[#This Row],[LỢI NHUẬN RÒNG]]</f>
        <v>4367805.068766973</v>
      </c>
      <c r="H359" s="28"/>
      <c r="I359" s="11"/>
      <c r="J359" s="11"/>
    </row>
    <row r="360" spans="1:10" hidden="1" x14ac:dyDescent="0.3">
      <c r="A360" s="23" t="s">
        <v>78</v>
      </c>
      <c r="B360" s="27" t="s">
        <v>19</v>
      </c>
      <c r="C360" s="21">
        <v>5</v>
      </c>
      <c r="D360" s="21">
        <v>1300000</v>
      </c>
      <c r="E360" s="21">
        <v>384966.65</v>
      </c>
      <c r="F360" s="21">
        <v>155935.0229223244</v>
      </c>
      <c r="G360" s="21">
        <f>Table8414194101324273239434853567142128354451[[#This Row],[VỐN CP]]+Table8414194101324273239434853567142128354451[[#This Row],[LỢI NHUẬN RÒNG]]</f>
        <v>1455935.0229223245</v>
      </c>
      <c r="H360" s="28"/>
      <c r="I360" s="11"/>
      <c r="J360" s="11"/>
    </row>
    <row r="361" spans="1:10" hidden="1" x14ac:dyDescent="0.3">
      <c r="A361" s="23" t="s">
        <v>78</v>
      </c>
      <c r="B361" s="27" t="s">
        <v>37</v>
      </c>
      <c r="C361" s="21">
        <v>15</v>
      </c>
      <c r="D361" s="21">
        <v>3900000</v>
      </c>
      <c r="E361" s="21">
        <v>1154899.95</v>
      </c>
      <c r="F361" s="21">
        <v>467805.06876697316</v>
      </c>
      <c r="G361" s="21">
        <f>Table8414194101324273239434853567142128354451[[#This Row],[VỐN CP]]+Table8414194101324273239434853567142128354451[[#This Row],[LỢI NHUẬN RÒNG]]</f>
        <v>4367805.068766973</v>
      </c>
      <c r="H361" s="28"/>
      <c r="I361" s="11"/>
      <c r="J361" s="11"/>
    </row>
    <row r="362" spans="1:10" x14ac:dyDescent="0.3">
      <c r="A362" s="23" t="s">
        <v>78</v>
      </c>
      <c r="B362" s="27" t="s">
        <v>31</v>
      </c>
      <c r="C362" s="21">
        <v>15</v>
      </c>
      <c r="D362" s="21">
        <v>3900000</v>
      </c>
      <c r="E362" s="21">
        <v>1154899.95</v>
      </c>
      <c r="F362" s="21">
        <v>467805.06876697316</v>
      </c>
      <c r="G362" s="21">
        <f>Table8414194101324273239434853567142128354451[[#This Row],[VỐN CP]]+Table8414194101324273239434853567142128354451[[#This Row],[LỢI NHUẬN RÒNG]]</f>
        <v>4367805.068766973</v>
      </c>
      <c r="H362" s="28"/>
      <c r="I362" s="11"/>
      <c r="J362" s="11"/>
    </row>
    <row r="363" spans="1:10" hidden="1" x14ac:dyDescent="0.3">
      <c r="A363" s="23" t="s">
        <v>78</v>
      </c>
      <c r="B363" s="27" t="s">
        <v>15</v>
      </c>
      <c r="C363" s="21"/>
      <c r="D363" s="21"/>
      <c r="E363" s="21"/>
      <c r="F363" s="21"/>
      <c r="G363" s="21">
        <f>Table8414194101324273239434853567142128354451[[#This Row],[VỐN CP]]+Table8414194101324273239434853567142128354451[[#This Row],[LỢI NHUẬN RÒNG]]</f>
        <v>0</v>
      </c>
      <c r="H363" s="28"/>
      <c r="I363" s="11"/>
      <c r="J363" s="11"/>
    </row>
    <row r="364" spans="1:10" hidden="1" x14ac:dyDescent="0.3">
      <c r="A364" s="23" t="s">
        <v>78</v>
      </c>
      <c r="B364" s="27" t="s">
        <v>21</v>
      </c>
      <c r="C364" s="21">
        <v>20</v>
      </c>
      <c r="D364" s="21">
        <v>5200000</v>
      </c>
      <c r="E364" s="21">
        <v>1539866.6</v>
      </c>
      <c r="F364" s="21">
        <v>623740.09168929758</v>
      </c>
      <c r="G364" s="21">
        <f>Table8414194101324273239434853567142128354451[[#This Row],[VỐN CP]]+Table8414194101324273239434853567142128354451[[#This Row],[LỢI NHUẬN RÒNG]]</f>
        <v>5823740.0916892979</v>
      </c>
      <c r="H364" s="28"/>
      <c r="I364" s="11"/>
      <c r="J364" s="11"/>
    </row>
    <row r="365" spans="1:10" hidden="1" x14ac:dyDescent="0.3">
      <c r="A365" s="23" t="s">
        <v>78</v>
      </c>
      <c r="B365" s="27" t="s">
        <v>13</v>
      </c>
      <c r="C365" s="21">
        <v>5</v>
      </c>
      <c r="D365" s="21">
        <v>1300000</v>
      </c>
      <c r="E365" s="21">
        <v>384966.65</v>
      </c>
      <c r="F365" s="21">
        <v>155935.0229223244</v>
      </c>
      <c r="G365" s="21">
        <f>Table8414194101324273239434853567142128354451[[#This Row],[VỐN CP]]+Table8414194101324273239434853567142128354451[[#This Row],[LỢI NHUẬN RÒNG]]</f>
        <v>1455935.0229223245</v>
      </c>
      <c r="H365" s="28"/>
      <c r="I365" s="11"/>
      <c r="J365" s="11"/>
    </row>
    <row r="366" spans="1:10" hidden="1" x14ac:dyDescent="0.3">
      <c r="A366" s="23" t="s">
        <v>78</v>
      </c>
      <c r="B366" s="27" t="s">
        <v>29</v>
      </c>
      <c r="C366" s="21">
        <v>5</v>
      </c>
      <c r="D366" s="21">
        <v>1300000</v>
      </c>
      <c r="E366" s="21">
        <v>384966.65</v>
      </c>
      <c r="F366" s="21">
        <v>155935.0229223244</v>
      </c>
      <c r="G366" s="21">
        <f>Table8414194101324273239434853567142128354451[[#This Row],[VỐN CP]]+Table8414194101324273239434853567142128354451[[#This Row],[LỢI NHUẬN RÒNG]]</f>
        <v>1455935.0229223245</v>
      </c>
      <c r="H366" s="28"/>
      <c r="I366" s="11"/>
      <c r="J366" s="11"/>
    </row>
    <row r="367" spans="1:10" hidden="1" x14ac:dyDescent="0.3">
      <c r="A367" s="23" t="s">
        <v>78</v>
      </c>
      <c r="B367" s="27" t="s">
        <v>43</v>
      </c>
      <c r="C367" s="21">
        <v>5</v>
      </c>
      <c r="D367" s="21">
        <v>1300000</v>
      </c>
      <c r="E367" s="21">
        <v>384966.65</v>
      </c>
      <c r="F367" s="21">
        <v>155935.0229223244</v>
      </c>
      <c r="G367" s="21">
        <f>Table8414194101324273239434853567142128354451[[#This Row],[VỐN CP]]+Table8414194101324273239434853567142128354451[[#This Row],[LỢI NHUẬN RÒNG]]</f>
        <v>1455935.0229223245</v>
      </c>
      <c r="H367" s="28"/>
      <c r="I367" s="11"/>
      <c r="J367" s="11"/>
    </row>
    <row r="368" spans="1:10" hidden="1" x14ac:dyDescent="0.3">
      <c r="A368" s="23" t="s">
        <v>78</v>
      </c>
      <c r="B368" s="27" t="s">
        <v>44</v>
      </c>
      <c r="C368" s="21">
        <v>5</v>
      </c>
      <c r="D368" s="21">
        <v>1300000</v>
      </c>
      <c r="E368" s="21">
        <v>384966.65</v>
      </c>
      <c r="F368" s="21">
        <v>155935.0229223244</v>
      </c>
      <c r="G368" s="21">
        <f>Table8414194101324273239434853567142128354451[[#This Row],[VỐN CP]]+Table8414194101324273239434853567142128354451[[#This Row],[LỢI NHUẬN RÒNG]]</f>
        <v>1455935.0229223245</v>
      </c>
      <c r="H368" s="28"/>
      <c r="I368" s="11"/>
      <c r="J368" s="11"/>
    </row>
    <row r="369" spans="1:10" hidden="1" x14ac:dyDescent="0.3">
      <c r="A369" s="23" t="s">
        <v>78</v>
      </c>
      <c r="B369" s="27" t="s">
        <v>25</v>
      </c>
      <c r="C369" s="21">
        <v>10</v>
      </c>
      <c r="D369" s="21">
        <v>2600000</v>
      </c>
      <c r="E369" s="21">
        <v>769933.3</v>
      </c>
      <c r="F369" s="21">
        <v>311870.04584464879</v>
      </c>
      <c r="G369" s="21">
        <f>Table8414194101324273239434853567142128354451[[#This Row],[VỐN CP]]+Table8414194101324273239434853567142128354451[[#This Row],[LỢI NHUẬN RÒNG]]</f>
        <v>2911870.045844649</v>
      </c>
      <c r="H369" s="28"/>
      <c r="I369" s="11"/>
      <c r="J369" s="11"/>
    </row>
    <row r="370" spans="1:10" hidden="1" x14ac:dyDescent="0.3">
      <c r="A370" s="23" t="s">
        <v>79</v>
      </c>
      <c r="B370" s="27" t="s">
        <v>9</v>
      </c>
      <c r="C370" s="21">
        <v>30</v>
      </c>
      <c r="D370" s="21">
        <v>18000000</v>
      </c>
      <c r="E370" s="21">
        <v>6544000.7999999998</v>
      </c>
      <c r="F370" s="21">
        <v>3728343.278933282</v>
      </c>
      <c r="G370" s="21">
        <f>Table8414194101324273239434853567142128354451[[#This Row],[VỐN CP]]+Table8414194101324273239434853567142128354451[[#This Row],[LỢI NHUẬN RÒNG]]</f>
        <v>21728343.278933283</v>
      </c>
      <c r="H370" s="28"/>
      <c r="I370" s="11"/>
      <c r="J370" s="11"/>
    </row>
    <row r="371" spans="1:10" hidden="1" x14ac:dyDescent="0.3">
      <c r="A371" s="23" t="s">
        <v>79</v>
      </c>
      <c r="B371" s="27" t="s">
        <v>37</v>
      </c>
      <c r="C371" s="21">
        <v>30</v>
      </c>
      <c r="D371" s="21">
        <v>18000000</v>
      </c>
      <c r="E371" s="21">
        <v>6544000.7999999998</v>
      </c>
      <c r="F371" s="21">
        <v>3728343.278933282</v>
      </c>
      <c r="G371" s="21">
        <f>Table8414194101324273239434853567142128354451[[#This Row],[VỐN CP]]+Table8414194101324273239434853567142128354451[[#This Row],[LỢI NHUẬN RÒNG]]</f>
        <v>21728343.278933283</v>
      </c>
      <c r="H371" s="28"/>
      <c r="I371" s="11"/>
      <c r="J371" s="11"/>
    </row>
    <row r="372" spans="1:10" hidden="1" x14ac:dyDescent="0.3">
      <c r="A372" s="23" t="s">
        <v>79</v>
      </c>
      <c r="B372" s="27" t="s">
        <v>21</v>
      </c>
      <c r="C372" s="21">
        <v>30</v>
      </c>
      <c r="D372" s="21">
        <v>18000000</v>
      </c>
      <c r="E372" s="21">
        <v>6544000.7999999998</v>
      </c>
      <c r="F372" s="21">
        <v>3728343.278933282</v>
      </c>
      <c r="G372" s="21">
        <f>Table8414194101324273239434853567142128354451[[#This Row],[VỐN CP]]+Table8414194101324273239434853567142128354451[[#This Row],[LỢI NHUẬN RÒNG]]</f>
        <v>21728343.278933283</v>
      </c>
      <c r="H372" s="28"/>
      <c r="I372" s="11"/>
      <c r="J372" s="11"/>
    </row>
    <row r="373" spans="1:10" hidden="1" x14ac:dyDescent="0.3">
      <c r="A373" s="23" t="s">
        <v>79</v>
      </c>
      <c r="B373" s="27" t="s">
        <v>10</v>
      </c>
      <c r="C373" s="21">
        <v>10</v>
      </c>
      <c r="D373" s="21">
        <v>6000000</v>
      </c>
      <c r="E373" s="21">
        <v>2181333.6</v>
      </c>
      <c r="F373" s="21">
        <v>1242781.0929777608</v>
      </c>
      <c r="G373" s="21">
        <f>Table8414194101324273239434853567142128354451[[#This Row],[VỐN CP]]+Table8414194101324273239434853567142128354451[[#This Row],[LỢI NHUẬN RÒNG]]</f>
        <v>7242781.0929777604</v>
      </c>
      <c r="H373" s="28"/>
      <c r="I373" s="11"/>
      <c r="J373" s="11"/>
    </row>
    <row r="374" spans="1:10" hidden="1" x14ac:dyDescent="0.3">
      <c r="A374" s="23" t="s">
        <v>80</v>
      </c>
      <c r="B374" s="27" t="s">
        <v>9</v>
      </c>
      <c r="C374" s="21">
        <v>30</v>
      </c>
      <c r="D374" s="21">
        <v>15000000</v>
      </c>
      <c r="E374" s="21">
        <v>6886934.4000000004</v>
      </c>
      <c r="F374" s="21">
        <v>5387106.0048743347</v>
      </c>
      <c r="G374" s="21">
        <f>Table8414194101324273239434853567142128354451[[#This Row],[VỐN CP]]+Table8414194101324273239434853567142128354451[[#This Row],[LỢI NHUẬN RÒNG]]</f>
        <v>20387106.004874334</v>
      </c>
      <c r="H374" s="28"/>
      <c r="I374" s="11"/>
      <c r="J374" s="11"/>
    </row>
    <row r="375" spans="1:10" hidden="1" x14ac:dyDescent="0.3">
      <c r="A375" s="23" t="s">
        <v>80</v>
      </c>
      <c r="B375" s="27" t="s">
        <v>37</v>
      </c>
      <c r="C375" s="21">
        <v>40</v>
      </c>
      <c r="D375" s="21">
        <v>20000000</v>
      </c>
      <c r="E375" s="21">
        <v>9182579.1999999993</v>
      </c>
      <c r="F375" s="21">
        <v>7182808.0064991117</v>
      </c>
      <c r="G375" s="21">
        <f>Table8414194101324273239434853567142128354451[[#This Row],[VỐN CP]]+Table8414194101324273239434853567142128354451[[#This Row],[LỢI NHUẬN RÒNG]]</f>
        <v>27182808.006499112</v>
      </c>
      <c r="H375" s="28"/>
      <c r="I375" s="11"/>
      <c r="J375" s="11"/>
    </row>
    <row r="376" spans="1:10" hidden="1" x14ac:dyDescent="0.3">
      <c r="A376" s="23" t="s">
        <v>80</v>
      </c>
      <c r="B376" s="27" t="s">
        <v>21</v>
      </c>
      <c r="C376" s="21">
        <v>20</v>
      </c>
      <c r="D376" s="21">
        <v>10000000</v>
      </c>
      <c r="E376" s="21">
        <v>4591289.5999999996</v>
      </c>
      <c r="F376" s="21">
        <v>3591404.0032495558</v>
      </c>
      <c r="G376" s="21">
        <f>Table8414194101324273239434853567142128354451[[#This Row],[VỐN CP]]+Table8414194101324273239434853567142128354451[[#This Row],[LỢI NHUẬN RÒNG]]</f>
        <v>13591404.003249556</v>
      </c>
      <c r="H376" s="28"/>
      <c r="I376" s="11"/>
      <c r="J376" s="11"/>
    </row>
    <row r="377" spans="1:10" hidden="1" x14ac:dyDescent="0.3">
      <c r="A377" s="23" t="s">
        <v>80</v>
      </c>
      <c r="B377" s="27" t="s">
        <v>10</v>
      </c>
      <c r="C377" s="21">
        <v>10</v>
      </c>
      <c r="D377" s="21">
        <v>5000000</v>
      </c>
      <c r="E377" s="21">
        <v>2295644.7999999998</v>
      </c>
      <c r="F377" s="21">
        <v>1795702.0016247779</v>
      </c>
      <c r="G377" s="21">
        <f>Table8414194101324273239434853567142128354451[[#This Row],[VỐN CP]]+Table8414194101324273239434853567142128354451[[#This Row],[LỢI NHUẬN RÒNG]]</f>
        <v>6795702.0016247779</v>
      </c>
      <c r="H377" s="28"/>
      <c r="I377" s="11"/>
      <c r="J377" s="11"/>
    </row>
    <row r="378" spans="1:10" hidden="1" x14ac:dyDescent="0.3">
      <c r="A378" s="23" t="s">
        <v>81</v>
      </c>
      <c r="B378" s="27" t="s">
        <v>9</v>
      </c>
      <c r="C378" s="21">
        <v>15</v>
      </c>
      <c r="D378" s="21">
        <v>4500000</v>
      </c>
      <c r="E378" s="21">
        <v>2174653.5</v>
      </c>
      <c r="F378" s="21">
        <v>1359432.480389589</v>
      </c>
      <c r="G378" s="21">
        <f>Table8414194101324273239434853567142128354451[[#This Row],[VỐN CP]]+Table8414194101324273239434853567142128354451[[#This Row],[LỢI NHUẬN RÒNG]]</f>
        <v>5859432.4803895894</v>
      </c>
      <c r="H378" s="28"/>
      <c r="I378" s="11"/>
      <c r="J378" s="11"/>
    </row>
    <row r="379" spans="1:10" hidden="1" x14ac:dyDescent="0.3">
      <c r="A379" s="23" t="s">
        <v>81</v>
      </c>
      <c r="B379" s="27" t="s">
        <v>19</v>
      </c>
      <c r="C379" s="21">
        <v>5</v>
      </c>
      <c r="D379" s="21">
        <v>1500000</v>
      </c>
      <c r="E379" s="21">
        <v>724884.5</v>
      </c>
      <c r="F379" s="21">
        <v>453144.16012986301</v>
      </c>
      <c r="G379" s="21">
        <f>Table8414194101324273239434853567142128354451[[#This Row],[VỐN CP]]+Table8414194101324273239434853567142128354451[[#This Row],[LỢI NHUẬN RÒNG]]</f>
        <v>1953144.1601298631</v>
      </c>
      <c r="H379" s="28"/>
      <c r="I379" s="11"/>
      <c r="J379" s="11"/>
    </row>
    <row r="380" spans="1:10" hidden="1" x14ac:dyDescent="0.3">
      <c r="A380" s="23" t="s">
        <v>81</v>
      </c>
      <c r="B380" s="27" t="s">
        <v>37</v>
      </c>
      <c r="C380" s="21">
        <v>15</v>
      </c>
      <c r="D380" s="21">
        <v>4500000</v>
      </c>
      <c r="E380" s="21">
        <v>2174653.5</v>
      </c>
      <c r="F380" s="21">
        <v>1359432.480389589</v>
      </c>
      <c r="G380" s="21">
        <f>Table8414194101324273239434853567142128354451[[#This Row],[VỐN CP]]+Table8414194101324273239434853567142128354451[[#This Row],[LỢI NHUẬN RÒNG]]</f>
        <v>5859432.4803895894</v>
      </c>
      <c r="H380" s="28"/>
      <c r="I380" s="11"/>
      <c r="J380" s="11"/>
    </row>
    <row r="381" spans="1:10" x14ac:dyDescent="0.3">
      <c r="A381" s="23" t="s">
        <v>81</v>
      </c>
      <c r="B381" s="27" t="s">
        <v>31</v>
      </c>
      <c r="C381" s="21">
        <v>10</v>
      </c>
      <c r="D381" s="21">
        <v>3000000</v>
      </c>
      <c r="E381" s="21">
        <v>1449769</v>
      </c>
      <c r="F381" s="21">
        <v>906288.32025972602</v>
      </c>
      <c r="G381" s="21">
        <f>Table8414194101324273239434853567142128354451[[#This Row],[VỐN CP]]+Table8414194101324273239434853567142128354451[[#This Row],[LỢI NHUẬN RÒNG]]</f>
        <v>3906288.3202597261</v>
      </c>
      <c r="H381" s="28"/>
      <c r="I381" s="11"/>
      <c r="J381" s="11"/>
    </row>
    <row r="382" spans="1:10" hidden="1" x14ac:dyDescent="0.3">
      <c r="A382" s="23" t="s">
        <v>81</v>
      </c>
      <c r="B382" s="27" t="s">
        <v>15</v>
      </c>
      <c r="C382" s="21"/>
      <c r="D382" s="21"/>
      <c r="E382" s="21"/>
      <c r="F382" s="21"/>
      <c r="G382" s="21">
        <f>Table8414194101324273239434853567142128354451[[#This Row],[VỐN CP]]+Table8414194101324273239434853567142128354451[[#This Row],[LỢI NHUẬN RÒNG]]</f>
        <v>0</v>
      </c>
      <c r="H382" s="28"/>
      <c r="I382" s="11"/>
      <c r="J382" s="11"/>
    </row>
    <row r="383" spans="1:10" hidden="1" x14ac:dyDescent="0.3">
      <c r="A383" s="23" t="s">
        <v>81</v>
      </c>
      <c r="B383" s="27" t="s">
        <v>21</v>
      </c>
      <c r="C383" s="21">
        <v>15</v>
      </c>
      <c r="D383" s="21">
        <v>4500000</v>
      </c>
      <c r="E383" s="21">
        <v>2174653.5</v>
      </c>
      <c r="F383" s="21">
        <v>1359432.480389589</v>
      </c>
      <c r="G383" s="21">
        <f>Table8414194101324273239434853567142128354451[[#This Row],[VỐN CP]]+Table8414194101324273239434853567142128354451[[#This Row],[LỢI NHUẬN RÒNG]]</f>
        <v>5859432.4803895894</v>
      </c>
      <c r="H383" s="28"/>
      <c r="I383" s="11"/>
      <c r="J383" s="11"/>
    </row>
    <row r="384" spans="1:10" hidden="1" x14ac:dyDescent="0.3">
      <c r="A384" s="23" t="s">
        <v>81</v>
      </c>
      <c r="B384" s="27" t="s">
        <v>10</v>
      </c>
      <c r="C384" s="21">
        <v>5</v>
      </c>
      <c r="D384" s="21">
        <v>1500000</v>
      </c>
      <c r="E384" s="21">
        <v>724884.5</v>
      </c>
      <c r="F384" s="21">
        <v>453144.16012986301</v>
      </c>
      <c r="G384" s="21">
        <f>Table8414194101324273239434853567142128354451[[#This Row],[VỐN CP]]+Table8414194101324273239434853567142128354451[[#This Row],[LỢI NHUẬN RÒNG]]</f>
        <v>1953144.1601298631</v>
      </c>
      <c r="H384" s="28"/>
      <c r="I384" s="11"/>
      <c r="J384" s="11"/>
    </row>
    <row r="385" spans="1:10" hidden="1" x14ac:dyDescent="0.3">
      <c r="A385" s="23" t="s">
        <v>81</v>
      </c>
      <c r="B385" s="27" t="s">
        <v>13</v>
      </c>
      <c r="C385" s="21">
        <v>10</v>
      </c>
      <c r="D385" s="21">
        <v>3000000</v>
      </c>
      <c r="E385" s="21">
        <v>1449769</v>
      </c>
      <c r="F385" s="21">
        <v>906288.32025972602</v>
      </c>
      <c r="G385" s="21">
        <f>Table8414194101324273239434853567142128354451[[#This Row],[VỐN CP]]+Table8414194101324273239434853567142128354451[[#This Row],[LỢI NHUẬN RÒNG]]</f>
        <v>3906288.3202597261</v>
      </c>
      <c r="H385" s="28"/>
      <c r="I385" s="11"/>
      <c r="J385" s="11"/>
    </row>
    <row r="386" spans="1:10" hidden="1" x14ac:dyDescent="0.3">
      <c r="A386" s="23" t="s">
        <v>81</v>
      </c>
      <c r="B386" s="27" t="s">
        <v>35</v>
      </c>
      <c r="C386" s="21">
        <v>5</v>
      </c>
      <c r="D386" s="21">
        <v>1500000</v>
      </c>
      <c r="E386" s="21">
        <v>724884.5</v>
      </c>
      <c r="F386" s="21">
        <v>453144.16012986301</v>
      </c>
      <c r="G386" s="21">
        <f>Table8414194101324273239434853567142128354451[[#This Row],[VỐN CP]]+Table8414194101324273239434853567142128354451[[#This Row],[LỢI NHUẬN RÒNG]]</f>
        <v>1953144.1601298631</v>
      </c>
      <c r="H386" s="28"/>
      <c r="I386" s="11"/>
      <c r="J386" s="11"/>
    </row>
    <row r="387" spans="1:10" hidden="1" x14ac:dyDescent="0.3">
      <c r="A387" s="23" t="s">
        <v>81</v>
      </c>
      <c r="B387" s="27" t="s">
        <v>43</v>
      </c>
      <c r="C387" s="21">
        <v>10</v>
      </c>
      <c r="D387" s="21">
        <v>3000000</v>
      </c>
      <c r="E387" s="21">
        <v>1449769</v>
      </c>
      <c r="F387" s="21">
        <v>906288.32025972602</v>
      </c>
      <c r="G387" s="21">
        <f>Table8414194101324273239434853567142128354451[[#This Row],[VỐN CP]]+Table8414194101324273239434853567142128354451[[#This Row],[LỢI NHUẬN RÒNG]]</f>
        <v>3906288.3202597261</v>
      </c>
      <c r="H387" s="28"/>
      <c r="I387" s="11"/>
      <c r="J387" s="11"/>
    </row>
    <row r="388" spans="1:10" hidden="1" x14ac:dyDescent="0.3">
      <c r="A388" s="23" t="s">
        <v>81</v>
      </c>
      <c r="B388" s="27" t="s">
        <v>25</v>
      </c>
      <c r="C388" s="21">
        <v>10</v>
      </c>
      <c r="D388" s="21">
        <v>3000000</v>
      </c>
      <c r="E388" s="21">
        <v>1449769</v>
      </c>
      <c r="F388" s="21">
        <v>906288.32025972602</v>
      </c>
      <c r="G388" s="21">
        <f>Table8414194101324273239434853567142128354451[[#This Row],[VỐN CP]]+Table8414194101324273239434853567142128354451[[#This Row],[LỢI NHUẬN RÒNG]]</f>
        <v>3906288.3202597261</v>
      </c>
      <c r="H388" s="28"/>
      <c r="I388" s="11"/>
      <c r="J388" s="11"/>
    </row>
    <row r="389" spans="1:10" hidden="1" x14ac:dyDescent="0.3">
      <c r="A389" s="23" t="s">
        <v>82</v>
      </c>
      <c r="B389" s="27" t="s">
        <v>9</v>
      </c>
      <c r="C389" s="21">
        <v>25</v>
      </c>
      <c r="D389" s="21">
        <v>4000000</v>
      </c>
      <c r="E389" s="21">
        <v>4492394.25</v>
      </c>
      <c r="F389" s="21">
        <v>3720992.789713094</v>
      </c>
      <c r="G389" s="21">
        <f>Table8414194101324273239434853567142128354451[[#This Row],[VỐN CP]]+Table8414194101324273239434853567142128354451[[#This Row],[LỢI NHUẬN RÒNG]]</f>
        <v>7720992.789713094</v>
      </c>
      <c r="H389" s="28"/>
      <c r="I389" s="11"/>
      <c r="J389" s="11"/>
    </row>
    <row r="390" spans="1:10" hidden="1" x14ac:dyDescent="0.3">
      <c r="A390" s="23" t="s">
        <v>82</v>
      </c>
      <c r="B390" s="27" t="s">
        <v>19</v>
      </c>
      <c r="C390" s="21">
        <v>20</v>
      </c>
      <c r="D390" s="21">
        <v>3200000</v>
      </c>
      <c r="E390" s="21">
        <v>3593915.4</v>
      </c>
      <c r="F390" s="21">
        <v>2976794.2317704749</v>
      </c>
      <c r="G390" s="21">
        <f>Table8414194101324273239434853567142128354451[[#This Row],[VỐN CP]]+Table8414194101324273239434853567142128354451[[#This Row],[LỢI NHUẬN RÒNG]]</f>
        <v>6176794.2317704745</v>
      </c>
      <c r="H390" s="28"/>
      <c r="I390" s="11"/>
      <c r="J390" s="11"/>
    </row>
    <row r="391" spans="1:10" hidden="1" x14ac:dyDescent="0.3">
      <c r="A391" s="23" t="s">
        <v>82</v>
      </c>
      <c r="B391" s="27" t="s">
        <v>37</v>
      </c>
      <c r="C391" s="21">
        <v>25</v>
      </c>
      <c r="D391" s="21">
        <v>4000000</v>
      </c>
      <c r="E391" s="21">
        <v>4492394.25</v>
      </c>
      <c r="F391" s="21">
        <v>3720992.789713094</v>
      </c>
      <c r="G391" s="21">
        <f>Table8414194101324273239434853567142128354451[[#This Row],[VỐN CP]]+Table8414194101324273239434853567142128354451[[#This Row],[LỢI NHUẬN RÒNG]]</f>
        <v>7720992.789713094</v>
      </c>
      <c r="H391" s="28"/>
      <c r="I391" s="11"/>
      <c r="J391" s="11"/>
    </row>
    <row r="392" spans="1:10" hidden="1" x14ac:dyDescent="0.3">
      <c r="A392" s="23" t="s">
        <v>82</v>
      </c>
      <c r="B392" s="27" t="s">
        <v>21</v>
      </c>
      <c r="C392" s="21">
        <v>25</v>
      </c>
      <c r="D392" s="21">
        <v>4000000</v>
      </c>
      <c r="E392" s="21">
        <v>4492394.25</v>
      </c>
      <c r="F392" s="21">
        <v>3720992.789713094</v>
      </c>
      <c r="G392" s="21">
        <f>Table8414194101324273239434853567142128354451[[#This Row],[VỐN CP]]+Table8414194101324273239434853567142128354451[[#This Row],[LỢI NHUẬN RÒNG]]</f>
        <v>7720992.789713094</v>
      </c>
      <c r="H392" s="28"/>
      <c r="I392" s="11"/>
      <c r="J392" s="11"/>
    </row>
    <row r="393" spans="1:10" hidden="1" x14ac:dyDescent="0.3">
      <c r="A393" s="23" t="s">
        <v>82</v>
      </c>
      <c r="B393" s="27" t="s">
        <v>10</v>
      </c>
      <c r="C393" s="21">
        <v>5</v>
      </c>
      <c r="D393" s="21">
        <v>800000</v>
      </c>
      <c r="E393" s="21">
        <v>898478.85</v>
      </c>
      <c r="F393" s="21">
        <v>744198.55794261873</v>
      </c>
      <c r="G393" s="21">
        <f>Table8414194101324273239434853567142128354451[[#This Row],[VỐN CP]]+Table8414194101324273239434853567142128354451[[#This Row],[LỢI NHUẬN RÒNG]]</f>
        <v>1544198.5579426186</v>
      </c>
      <c r="H393" s="28"/>
      <c r="I393" s="11"/>
      <c r="J393" s="11"/>
    </row>
    <row r="394" spans="1:10" hidden="1" x14ac:dyDescent="0.3">
      <c r="A394" s="23" t="s">
        <v>83</v>
      </c>
      <c r="B394" s="27" t="s">
        <v>9</v>
      </c>
      <c r="C394" s="21">
        <v>20</v>
      </c>
      <c r="D394" s="21">
        <v>8200000</v>
      </c>
      <c r="E394" s="21">
        <v>1983006.2</v>
      </c>
      <c r="F394" s="21">
        <v>488554.93063014594</v>
      </c>
      <c r="G394" s="21">
        <f>Table8414194101324273239434853567142128354451[[#This Row],[VỐN CP]]+Table8414194101324273239434853567142128354451[[#This Row],[LỢI NHUẬN RÒNG]]</f>
        <v>8688554.9306301456</v>
      </c>
      <c r="H394" s="28"/>
      <c r="I394" s="11"/>
      <c r="J394" s="11"/>
    </row>
    <row r="395" spans="1:10" hidden="1" x14ac:dyDescent="0.3">
      <c r="A395" s="23" t="s">
        <v>83</v>
      </c>
      <c r="B395" s="27" t="s">
        <v>19</v>
      </c>
      <c r="C395" s="21">
        <v>5</v>
      </c>
      <c r="D395" s="21">
        <v>2050000</v>
      </c>
      <c r="E395" s="21">
        <v>495751.55</v>
      </c>
      <c r="F395" s="21">
        <v>122138.73265753649</v>
      </c>
      <c r="G395" s="21">
        <f>Table8414194101324273239434853567142128354451[[#This Row],[VỐN CP]]+Table8414194101324273239434853567142128354451[[#This Row],[LỢI NHUẬN RÒNG]]</f>
        <v>2172138.7326575364</v>
      </c>
      <c r="H395" s="28"/>
      <c r="I395" s="11"/>
      <c r="J395" s="11"/>
    </row>
    <row r="396" spans="1:10" hidden="1" x14ac:dyDescent="0.3">
      <c r="A396" s="23" t="s">
        <v>83</v>
      </c>
      <c r="B396" s="27" t="s">
        <v>37</v>
      </c>
      <c r="C396" s="21">
        <v>10</v>
      </c>
      <c r="D396" s="21">
        <v>4100000</v>
      </c>
      <c r="E396" s="21">
        <v>991503.1</v>
      </c>
      <c r="F396" s="21">
        <v>244277.46531507297</v>
      </c>
      <c r="G396" s="21">
        <f>Table8414194101324273239434853567142128354451[[#This Row],[VỐN CP]]+Table8414194101324273239434853567142128354451[[#This Row],[LỢI NHUẬN RÒNG]]</f>
        <v>4344277.4653150728</v>
      </c>
      <c r="H396" s="28"/>
      <c r="I396" s="11"/>
      <c r="J396" s="11"/>
    </row>
    <row r="397" spans="1:10" x14ac:dyDescent="0.3">
      <c r="A397" s="23" t="s">
        <v>83</v>
      </c>
      <c r="B397" s="27" t="s">
        <v>31</v>
      </c>
      <c r="C397" s="21">
        <v>20</v>
      </c>
      <c r="D397" s="21">
        <v>8200000</v>
      </c>
      <c r="E397" s="21">
        <v>1983006.2</v>
      </c>
      <c r="F397" s="21">
        <v>488554.93063014594</v>
      </c>
      <c r="G397" s="21">
        <f>Table8414194101324273239434853567142128354451[[#This Row],[VỐN CP]]+Table8414194101324273239434853567142128354451[[#This Row],[LỢI NHUẬN RÒNG]]</f>
        <v>8688554.9306301456</v>
      </c>
      <c r="H397" s="28"/>
      <c r="I397" s="11"/>
      <c r="J397" s="11"/>
    </row>
    <row r="398" spans="1:10" hidden="1" x14ac:dyDescent="0.3">
      <c r="A398" s="23" t="s">
        <v>83</v>
      </c>
      <c r="B398" s="27" t="s">
        <v>21</v>
      </c>
      <c r="C398" s="21">
        <v>20</v>
      </c>
      <c r="D398" s="21">
        <v>8200000</v>
      </c>
      <c r="E398" s="21">
        <v>1983006.2</v>
      </c>
      <c r="F398" s="21">
        <v>488554.93063014594</v>
      </c>
      <c r="G398" s="21">
        <f>Table8414194101324273239434853567142128354451[[#This Row],[VỐN CP]]+Table8414194101324273239434853567142128354451[[#This Row],[LỢI NHUẬN RÒNG]]</f>
        <v>8688554.9306301456</v>
      </c>
      <c r="H398" s="28"/>
      <c r="I398" s="11"/>
      <c r="J398" s="11"/>
    </row>
    <row r="399" spans="1:10" hidden="1" x14ac:dyDescent="0.3">
      <c r="A399" s="23" t="s">
        <v>83</v>
      </c>
      <c r="B399" s="27" t="s">
        <v>35</v>
      </c>
      <c r="C399" s="21">
        <v>5</v>
      </c>
      <c r="D399" s="21">
        <v>2050000</v>
      </c>
      <c r="E399" s="21">
        <v>495751.55</v>
      </c>
      <c r="F399" s="21">
        <v>122138.73265753649</v>
      </c>
      <c r="G399" s="21">
        <f>Table8414194101324273239434853567142128354451[[#This Row],[VỐN CP]]+Table8414194101324273239434853567142128354451[[#This Row],[LỢI NHUẬN RÒNG]]</f>
        <v>2172138.7326575364</v>
      </c>
      <c r="H399" s="28"/>
      <c r="I399" s="11"/>
      <c r="J399" s="11"/>
    </row>
    <row r="400" spans="1:10" hidden="1" x14ac:dyDescent="0.3">
      <c r="A400" s="23" t="s">
        <v>83</v>
      </c>
      <c r="B400" s="27" t="s">
        <v>43</v>
      </c>
      <c r="C400" s="21">
        <v>10</v>
      </c>
      <c r="D400" s="21">
        <v>4100000</v>
      </c>
      <c r="E400" s="21">
        <v>991503.1</v>
      </c>
      <c r="F400" s="21">
        <v>244277.46531507297</v>
      </c>
      <c r="G400" s="21">
        <f>Table8414194101324273239434853567142128354451[[#This Row],[VỐN CP]]+Table8414194101324273239434853567142128354451[[#This Row],[LỢI NHUẬN RÒNG]]</f>
        <v>4344277.4653150728</v>
      </c>
      <c r="H400" s="28"/>
      <c r="I400" s="11"/>
      <c r="J400" s="11"/>
    </row>
    <row r="401" spans="1:11" hidden="1" x14ac:dyDescent="0.3">
      <c r="A401" s="23" t="s">
        <v>83</v>
      </c>
      <c r="B401" s="27" t="s">
        <v>25</v>
      </c>
      <c r="C401" s="21">
        <v>10</v>
      </c>
      <c r="D401" s="21">
        <v>4100000</v>
      </c>
      <c r="E401" s="21">
        <v>991503.1</v>
      </c>
      <c r="F401" s="21">
        <v>244277.46531507297</v>
      </c>
      <c r="G401" s="21">
        <f>Table8414194101324273239434853567142128354451[[#This Row],[VỐN CP]]+Table8414194101324273239434853567142128354451[[#This Row],[LỢI NHUẬN RÒNG]]</f>
        <v>4344277.4653150728</v>
      </c>
      <c r="H401" s="28"/>
      <c r="I401" s="11"/>
      <c r="J401" s="11"/>
    </row>
    <row r="402" spans="1:11" hidden="1" x14ac:dyDescent="0.3">
      <c r="A402" s="23" t="s">
        <v>84</v>
      </c>
      <c r="B402" s="27" t="s">
        <v>9</v>
      </c>
      <c r="C402" s="21">
        <v>20</v>
      </c>
      <c r="D402" s="21">
        <v>19000000</v>
      </c>
      <c r="E402" s="21">
        <v>5771682.7999999998</v>
      </c>
      <c r="F402" s="21">
        <v>2824892.7318471549</v>
      </c>
      <c r="G402" s="21">
        <f>Table8414194101324273239434853567142128354451[[#This Row],[VỐN CP]]+Table8414194101324273239434853567142128354451[[#This Row],[LỢI NHUẬN RÒNG]]</f>
        <v>21824892.731847156</v>
      </c>
      <c r="H402" s="28"/>
      <c r="I402" s="11"/>
      <c r="J402" s="11"/>
    </row>
    <row r="403" spans="1:11" hidden="1" x14ac:dyDescent="0.3">
      <c r="A403" s="23" t="s">
        <v>84</v>
      </c>
      <c r="B403" s="27" t="s">
        <v>19</v>
      </c>
      <c r="C403" s="21">
        <v>10</v>
      </c>
      <c r="D403" s="21">
        <v>9500000</v>
      </c>
      <c r="E403" s="21">
        <v>2885841.4</v>
      </c>
      <c r="F403" s="21">
        <v>1412446.3659235775</v>
      </c>
      <c r="G403" s="21">
        <f>Table8414194101324273239434853567142128354451[[#This Row],[VỐN CP]]+Table8414194101324273239434853567142128354451[[#This Row],[LỢI NHUẬN RÒNG]]</f>
        <v>10912446.365923578</v>
      </c>
      <c r="H403" s="28"/>
      <c r="I403" s="11"/>
      <c r="J403" s="11"/>
    </row>
    <row r="404" spans="1:11" hidden="1" x14ac:dyDescent="0.3">
      <c r="A404" s="23" t="s">
        <v>84</v>
      </c>
      <c r="B404" s="27" t="s">
        <v>37</v>
      </c>
      <c r="C404" s="21">
        <v>10</v>
      </c>
      <c r="D404" s="21">
        <v>9500000</v>
      </c>
      <c r="E404" s="21">
        <v>2885841.4</v>
      </c>
      <c r="F404" s="21">
        <v>1412446.3659235775</v>
      </c>
      <c r="G404" s="21">
        <f>Table8414194101324273239434853567142128354451[[#This Row],[VỐN CP]]+Table8414194101324273239434853567142128354451[[#This Row],[LỢI NHUẬN RÒNG]]</f>
        <v>10912446.365923578</v>
      </c>
      <c r="H404" s="28"/>
      <c r="I404" s="11"/>
      <c r="J404" s="11"/>
    </row>
    <row r="405" spans="1:11" x14ac:dyDescent="0.3">
      <c r="A405" s="23" t="s">
        <v>84</v>
      </c>
      <c r="B405" s="27" t="s">
        <v>31</v>
      </c>
      <c r="C405" s="21">
        <v>20</v>
      </c>
      <c r="D405" s="21">
        <v>19000000</v>
      </c>
      <c r="E405" s="21">
        <v>5771682.7999999998</v>
      </c>
      <c r="F405" s="21">
        <v>2824892.7318471549</v>
      </c>
      <c r="G405" s="21">
        <f>Table8414194101324273239434853567142128354451[[#This Row],[VỐN CP]]+Table8414194101324273239434853567142128354451[[#This Row],[LỢI NHUẬN RÒNG]]</f>
        <v>21824892.731847156</v>
      </c>
      <c r="H405" s="28"/>
      <c r="I405" s="11"/>
      <c r="J405" s="11"/>
    </row>
    <row r="406" spans="1:11" hidden="1" x14ac:dyDescent="0.3">
      <c r="A406" s="23" t="s">
        <v>84</v>
      </c>
      <c r="B406" s="27" t="s">
        <v>21</v>
      </c>
      <c r="C406" s="21">
        <v>20</v>
      </c>
      <c r="D406" s="21">
        <v>19000000</v>
      </c>
      <c r="E406" s="21">
        <v>5771682.7999999998</v>
      </c>
      <c r="F406" s="21">
        <v>2824892.7318471549</v>
      </c>
      <c r="G406" s="21">
        <f>Table8414194101324273239434853567142128354451[[#This Row],[VỐN CP]]+Table8414194101324273239434853567142128354451[[#This Row],[LỢI NHUẬN RÒNG]]</f>
        <v>21824892.731847156</v>
      </c>
      <c r="H406" s="28"/>
      <c r="I406" s="11"/>
      <c r="J406" s="11"/>
    </row>
    <row r="407" spans="1:11" hidden="1" x14ac:dyDescent="0.3">
      <c r="A407" s="23" t="s">
        <v>84</v>
      </c>
      <c r="B407" s="27" t="s">
        <v>29</v>
      </c>
      <c r="C407" s="21">
        <v>5</v>
      </c>
      <c r="D407" s="21">
        <v>4750000</v>
      </c>
      <c r="E407" s="21">
        <v>1442920.7</v>
      </c>
      <c r="F407" s="21">
        <v>706223.18296178873</v>
      </c>
      <c r="G407" s="21">
        <f>Table8414194101324273239434853567142128354451[[#This Row],[VỐN CP]]+Table8414194101324273239434853567142128354451[[#This Row],[LỢI NHUẬN RÒNG]]</f>
        <v>5456223.182961789</v>
      </c>
      <c r="H407" s="28"/>
      <c r="I407" s="11"/>
      <c r="J407" s="11"/>
    </row>
    <row r="408" spans="1:11" hidden="1" x14ac:dyDescent="0.3">
      <c r="A408" s="23" t="s">
        <v>84</v>
      </c>
      <c r="B408" s="27" t="s">
        <v>43</v>
      </c>
      <c r="C408" s="21">
        <v>10</v>
      </c>
      <c r="D408" s="21">
        <v>9500000</v>
      </c>
      <c r="E408" s="21">
        <v>2885841.4</v>
      </c>
      <c r="F408" s="21">
        <v>1412446.3659235775</v>
      </c>
      <c r="G408" s="21">
        <f>Table8414194101324273239434853567142128354451[[#This Row],[VỐN CP]]+Table8414194101324273239434853567142128354451[[#This Row],[LỢI NHUẬN RÒNG]]</f>
        <v>10912446.365923578</v>
      </c>
      <c r="H408" s="28"/>
      <c r="I408" s="11"/>
      <c r="J408" s="11"/>
    </row>
    <row r="409" spans="1:11" hidden="1" x14ac:dyDescent="0.3">
      <c r="A409" s="23" t="s">
        <v>84</v>
      </c>
      <c r="B409" s="27" t="s">
        <v>25</v>
      </c>
      <c r="C409" s="21">
        <v>5</v>
      </c>
      <c r="D409" s="21">
        <v>4750000</v>
      </c>
      <c r="E409" s="21">
        <v>1442920.7</v>
      </c>
      <c r="F409" s="21">
        <v>706223.18296178873</v>
      </c>
      <c r="G409" s="21">
        <f>Table8414194101324273239434853567142128354451[[#This Row],[VỐN CP]]+Table8414194101324273239434853567142128354451[[#This Row],[LỢI NHUẬN RÒNG]]</f>
        <v>5456223.182961789</v>
      </c>
      <c r="H409" s="28"/>
      <c r="I409" s="11"/>
      <c r="J409" s="11"/>
    </row>
    <row r="410" spans="1:11" x14ac:dyDescent="0.3">
      <c r="A410" s="23"/>
      <c r="B410" s="21"/>
      <c r="C410" s="21"/>
      <c r="D410" s="21">
        <f>SUBTOTAL(109,Table8414194101324273239434853567142128354451[VỐN CP])</f>
        <v>172040000.00000003</v>
      </c>
      <c r="E410" s="21">
        <f>SUBTOTAL(109,Table8414194101324273239434853567142128354451[LỢI NHUẬN GỘP])</f>
        <v>75508055.266666681</v>
      </c>
      <c r="F410" s="21">
        <f>SUBTOTAL(109,Table8414194101324273239434853567142128354451[LỢI NHUẬN RÒNG])</f>
        <v>44158075.585632622</v>
      </c>
      <c r="G410" s="21">
        <f>SUBTOTAL(109,Table8414194101324273239434853567142128354451[TỔNG NHẬN])</f>
        <v>216198075.58563259</v>
      </c>
      <c r="H410" s="28"/>
    </row>
    <row r="412" spans="1:11" x14ac:dyDescent="0.3">
      <c r="H412" s="11"/>
    </row>
    <row r="414" spans="1:11" x14ac:dyDescent="0.3">
      <c r="G414" s="11" t="s">
        <v>85</v>
      </c>
    </row>
    <row r="416" spans="1:11" x14ac:dyDescent="0.3">
      <c r="G416" s="11">
        <v>8</v>
      </c>
      <c r="K416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11F8-1E93-455F-A9B6-6E15338ABDBD}">
  <sheetPr codeName="Sheet28"/>
  <dimension ref="A1:O427"/>
  <sheetViews>
    <sheetView topLeftCell="A15" workbookViewId="0">
      <selection activeCell="G109" sqref="G109:G117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167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136</v>
      </c>
      <c r="B3" s="11" t="s">
        <v>9</v>
      </c>
      <c r="C3" s="11">
        <v>10</v>
      </c>
      <c r="D3" s="18">
        <v>4800000</v>
      </c>
      <c r="E3" s="18">
        <v>2299093.2000000002</v>
      </c>
      <c r="F3" s="18">
        <v>1466496.9248776555</v>
      </c>
      <c r="G3" s="12">
        <f>D3+Table841419410132427323943485356711182530394649[[#This Row],[LỢI NHUẬN RÒNG]]</f>
        <v>6266496.9248776557</v>
      </c>
      <c r="K3" s="13" t="s">
        <v>10</v>
      </c>
      <c r="L3" s="14">
        <f>SUMIF(Table841419410132427323943485356711182530394649[CỔ ĐÔNG],K3,Table841419410132427323943485356711182530394649[VỐN CP])</f>
        <v>15300000</v>
      </c>
      <c r="M3" s="14">
        <f>SUMIF(Table841419410132427323943485356711182530394649[CỔ ĐÔNG],K3,Table841419410132427323943485356711182530394649[LỢI NHUẬN GỘP])</f>
        <v>6256710.7000000002</v>
      </c>
      <c r="N3" s="14">
        <f>SUMIF(Table841419410132427323943485356711182530394649[CỔ ĐÔNG],K3,Table841419410132427323943485356711182530394649[LỢI NHUẬN RÒNG])</f>
        <v>4651309.2375634303</v>
      </c>
      <c r="O3" s="15">
        <f>SUMIF(Table841419410132427323943485356711182530394649[CỔ ĐÔNG],K3,Table841419410132427323943485356711182530394649[TỔNG NHẬN])</f>
        <v>26758539.504423056</v>
      </c>
    </row>
    <row r="4" spans="1:15" ht="20" hidden="1" customHeight="1" x14ac:dyDescent="0.3">
      <c r="A4" s="10" t="s">
        <v>136</v>
      </c>
      <c r="B4" s="11" t="s">
        <v>19</v>
      </c>
      <c r="C4" s="11">
        <v>20</v>
      </c>
      <c r="D4" s="18">
        <v>9600000</v>
      </c>
      <c r="E4" s="18">
        <v>4598186.4000000004</v>
      </c>
      <c r="F4" s="18">
        <v>2932993.8497553109</v>
      </c>
      <c r="G4" s="12">
        <f>D4+Table841419410132427323943485356711182530394649[[#This Row],[LỢI NHUẬN RÒNG]]</f>
        <v>12532993.849755311</v>
      </c>
      <c r="K4" s="13" t="s">
        <v>9</v>
      </c>
      <c r="L4" s="14">
        <f>SUMIF(Table841419410132427323943485356711182530394649[CỔ ĐÔNG],K4,Table841419410132427323943485356711182530394649[VỐN CP])</f>
        <v>76450000</v>
      </c>
      <c r="M4" s="14">
        <f>SUMIF(Table841419410132427323943485356711182530394649[CỔ ĐÔNG],K4,Table841419410132427323943485356711182530394649[LỢI NHUẬN GỘP])</f>
        <v>29088629.649999999</v>
      </c>
      <c r="N4" s="14">
        <f>SUMIF(Table841419410132427323943485356711182530394649[CỔ ĐÔNG],K4,Table841419410132427323943485356711182530394649[LỢI NHUẬN RÒNG])</f>
        <v>18445237.531244524</v>
      </c>
      <c r="O4" s="15">
        <f>SUMIF(Table841419410132427323943485356711182530394649[CỔ ĐÔNG],Table951520511142528334044495457812192631404750[[#This Row],[CỔ ĐÔNG]],Table841419410132427323943485356711182530394649[TỔNG NHẬN])</f>
        <v>133655656.62606971</v>
      </c>
    </row>
    <row r="5" spans="1:15" ht="20" hidden="1" customHeight="1" x14ac:dyDescent="0.3">
      <c r="A5" s="10" t="s">
        <v>136</v>
      </c>
      <c r="B5" s="11" t="s">
        <v>37</v>
      </c>
      <c r="C5" s="11">
        <v>15</v>
      </c>
      <c r="D5" s="18">
        <v>7200000</v>
      </c>
      <c r="E5" s="18">
        <v>3448639.8</v>
      </c>
      <c r="F5" s="18">
        <v>2199745.3873164831</v>
      </c>
      <c r="G5" s="12">
        <f>D5+Table841419410132427323943485356711182530394649[[#This Row],[LỢI NHUẬN RÒNG]]</f>
        <v>9399745.387316484</v>
      </c>
      <c r="K5" s="13" t="s">
        <v>13</v>
      </c>
      <c r="L5" s="14">
        <f>SUMIF(Table841419410132427323943485356711182530394649[CỔ ĐÔNG],K5,Table841419410132427323943485356711182530394649[VỐN CP])</f>
        <v>6300000</v>
      </c>
      <c r="M5" s="14">
        <f>SUMIF(Table841419410132427323943485356711182530394649[CỔ ĐÔNG],K5,Table841419410132427323943485356711182530394649[LỢI NHUẬN GỘP])</f>
        <v>2109803.25</v>
      </c>
      <c r="N5" s="14">
        <f>SUMIF(Table841419410132427323943485356711182530394649[CỔ ĐÔNG],K5,Table841419410132427323943485356711182530394649[LỢI NHUẬN RÒNG])</f>
        <v>777561.70484486292</v>
      </c>
      <c r="O5" s="15">
        <f>SUMIF(Table841419410132427323943485356711182530394649[CỔ ĐÔNG],Table951520511142528334044495457812192631404750[[#This Row],[CỔ ĐÔNG]],Table841419410132427323943485356711182530394649[TỔNG NHẬN])</f>
        <v>22013573.074031644</v>
      </c>
    </row>
    <row r="6" spans="1:15" ht="15" hidden="1" customHeight="1" x14ac:dyDescent="0.3">
      <c r="A6" s="10" t="s">
        <v>136</v>
      </c>
      <c r="B6" s="11" t="s">
        <v>33</v>
      </c>
      <c r="C6" s="11">
        <v>5</v>
      </c>
      <c r="D6" s="18">
        <v>2400000</v>
      </c>
      <c r="E6" s="18">
        <v>1149546.6000000001</v>
      </c>
      <c r="F6" s="18">
        <v>733248.46243882773</v>
      </c>
      <c r="G6" s="12">
        <f>D6+Table841419410132427323943485356711182530394649[[#This Row],[LỢI NHUẬN RÒNG]]</f>
        <v>3133248.4624388278</v>
      </c>
      <c r="K6" s="13" t="s">
        <v>161</v>
      </c>
      <c r="L6" s="14">
        <f>SUMIF(Table841419410132427323943485356711182530394649[CỔ ĐÔNG],K6,Table841419410132427323943485356711182530394649[VỐN CP])</f>
        <v>10200000</v>
      </c>
      <c r="M6" s="14">
        <f>SUMIF(Table841419410132427323943485356711182530394649[CỔ ĐÔNG],K6,Table841419410132427323943485356711182530394649[LỢI NHUẬN GỘP])</f>
        <v>3467059.3</v>
      </c>
      <c r="N6" s="14">
        <f>SUMIF(Table841419410132427323943485356711182530394649[CỔ ĐÔNG],K6,Table841419410132427323943485356711182530394649[LỢI NHUẬN RÒNG])</f>
        <v>1227460.1514017833</v>
      </c>
      <c r="O6" s="15">
        <f>SUMIF(Table841419410132427323943485356711182530394649[CỔ ĐÔNG],K6,Table841419410132427323943485356711182530394649[TỔNG NHẬN])</f>
        <v>26165791.847807176</v>
      </c>
    </row>
    <row r="7" spans="1:15" ht="15" customHeight="1" x14ac:dyDescent="0.3">
      <c r="A7" s="10" t="s">
        <v>136</v>
      </c>
      <c r="B7" s="11" t="s">
        <v>31</v>
      </c>
      <c r="C7" s="11">
        <v>15</v>
      </c>
      <c r="D7" s="18">
        <v>7200000</v>
      </c>
      <c r="E7" s="18">
        <v>3448639.8</v>
      </c>
      <c r="F7" s="18">
        <v>2199745.3873164831</v>
      </c>
      <c r="G7" s="12">
        <f>D7+Table841419410132427323943485356711182530394649[[#This Row],[LỢI NHUẬN RÒNG]]</f>
        <v>9399745.387316484</v>
      </c>
      <c r="I7" s="11"/>
      <c r="K7" s="13" t="s">
        <v>17</v>
      </c>
      <c r="L7" s="14">
        <f>SUMIF(Table841419410132427323943485356711182530394649[CỔ ĐÔNG],K7,Table841419410132427323943485356711182530394649[VỐN CP])</f>
        <v>0</v>
      </c>
      <c r="M7" s="14">
        <f>SUMIF(Table841419410132427323943485356711182530394649[CỔ ĐÔNG],K7,Table841419410132427323943485356711182530394649[LỢI NHUẬN GỘP])</f>
        <v>0</v>
      </c>
      <c r="N7" s="14">
        <f>SUMIF(Table841419410132427323943485356711182530394649[CỔ ĐÔNG],K7,Table841419410132427323943485356711182530394649[LỢI NHUẬN RÒNG])</f>
        <v>0</v>
      </c>
      <c r="O7" s="15">
        <f>SUMIF(Table841419410132427323943485356711182530394649[CỔ ĐÔNG],Table951520511142528334044495457812192631404750[[#This Row],[CỔ ĐÔNG]],Table841419410132427323943485356711182530394649[TỔNG NHẬN])</f>
        <v>0</v>
      </c>
    </row>
    <row r="8" spans="1:15" ht="15" hidden="1" customHeight="1" x14ac:dyDescent="0.3">
      <c r="A8" s="10" t="s">
        <v>136</v>
      </c>
      <c r="B8" s="11" t="s">
        <v>21</v>
      </c>
      <c r="C8" s="11">
        <v>10</v>
      </c>
      <c r="D8" s="18">
        <v>4800000</v>
      </c>
      <c r="E8" s="18">
        <v>2299093.2000000002</v>
      </c>
      <c r="F8" s="18">
        <v>1466496.9248776555</v>
      </c>
      <c r="G8" s="12">
        <f>D8+Table841419410132427323943485356711182530394649[[#This Row],[LỢI NHUẬN RÒNG]]</f>
        <v>6266496.9248776557</v>
      </c>
      <c r="K8" s="13" t="s">
        <v>19</v>
      </c>
      <c r="L8" s="14">
        <f>SUMIF(Table841419410132427323943485356711182530394649[CỔ ĐÔNG],K8,Table841419410132427323943485356711182530394649[VỐN CP])</f>
        <v>88450000</v>
      </c>
      <c r="M8" s="14">
        <f>SUMIF(Table841419410132427323943485356711182530394649[CỔ ĐÔNG],K8,Table841419410132427323943485356711182530394649[LỢI NHUẬN GỘP])</f>
        <v>34668590</v>
      </c>
      <c r="N8" s="14">
        <f>SUMIF(Table841419410132427323943485356711182530394649[CỔ ĐÔNG],K8,Table841419410132427323943485356711182530394649[LỢI NHUẬN RÒNG])</f>
        <v>23224631.72788398</v>
      </c>
      <c r="O8" s="15">
        <f>SUMIF(Table841419410132427323943485356711182530394649[CỔ ĐÔNG],Table951520511142528334044495457812192631404750[[#This Row],[CỔ ĐÔNG]],Table841419410132427323943485356711182530394649[TỔNG NHẬN])</f>
        <v>144950269.59968734</v>
      </c>
    </row>
    <row r="9" spans="1:15" ht="15" hidden="1" customHeight="1" x14ac:dyDescent="0.3">
      <c r="A9" s="10" t="s">
        <v>136</v>
      </c>
      <c r="B9" s="11" t="s">
        <v>10</v>
      </c>
      <c r="C9" s="11">
        <v>5</v>
      </c>
      <c r="D9" s="18">
        <v>2400000</v>
      </c>
      <c r="E9" s="18">
        <v>1149546.6000000001</v>
      </c>
      <c r="F9" s="18">
        <v>733248.46243882773</v>
      </c>
      <c r="G9" s="12">
        <f>D9+Table841419410132427323943485356711182530394649[[#This Row],[LỢI NHUẬN RÒNG]]</f>
        <v>3133248.4624388278</v>
      </c>
      <c r="K9" s="13" t="s">
        <v>21</v>
      </c>
      <c r="L9" s="14">
        <f>SUMIF(Table841419410132427323943485356711182530394649[CỔ ĐÔNG],K9,Table841419410132427323943485356711182530394649[VỐN CP])</f>
        <v>60400000</v>
      </c>
      <c r="M9" s="14">
        <f>SUMIF(Table841419410132427323943485356711182530394649[CỔ ĐÔNG],K9,Table841419410132427323943485356711182530394649[LỢI NHUẬN GỘP])</f>
        <v>23894664.350000001</v>
      </c>
      <c r="N9" s="14">
        <f>SUMIF(Table841419410132427323943485356711182530394649[CỔ ĐÔNG],K9,Table841419410132427323943485356711182530394649[LỢI NHUẬN RÒNG])</f>
        <v>15807670.251562528</v>
      </c>
      <c r="O9" s="15">
        <f>SUMIF(Table841419410132427323943485356711182530394649[CỔ ĐÔNG],Table951520511142528334044495457812192631404750[[#This Row],[CỔ ĐÔNG]],Table841419410132427323943485356711182530394649[TỔNG NHẬN])</f>
        <v>106641628.57127918</v>
      </c>
    </row>
    <row r="10" spans="1:15" ht="15" hidden="1" customHeight="1" x14ac:dyDescent="0.3">
      <c r="A10" s="10" t="s">
        <v>136</v>
      </c>
      <c r="B10" s="11" t="s">
        <v>43</v>
      </c>
      <c r="C10" s="11">
        <v>10</v>
      </c>
      <c r="D10" s="18">
        <v>4800000</v>
      </c>
      <c r="E10" s="18">
        <v>2299093.2000000002</v>
      </c>
      <c r="F10" s="18">
        <v>1466496.9248776555</v>
      </c>
      <c r="G10" s="12">
        <f>D10+Table841419410132427323943485356711182530394649[[#This Row],[LỢI NHUẬN RÒNG]]</f>
        <v>6266496.9248776557</v>
      </c>
      <c r="I10" s="11"/>
      <c r="K10" s="13" t="s">
        <v>23</v>
      </c>
      <c r="L10" s="14">
        <f>SUMIF(Table841419410132427323943485356711182530394649[CỔ ĐÔNG],K10,Table841419410132427323943485356711182530394649[VỐN CP])</f>
        <v>0</v>
      </c>
      <c r="M10" s="14">
        <f>SUMIF(Table841419410132427323943485356711182530394649[CỔ ĐÔNG],K10,Table841419410132427323943485356711182530394649[LỢI NHUẬN GỘP])</f>
        <v>0</v>
      </c>
      <c r="N10" s="14">
        <f>SUMIF(Table841419410132427323943485356711182530394649[CỔ ĐÔNG],K10,Table841419410132427323943485356711182530394649[LỢI NHUẬN RÒNG])</f>
        <v>0</v>
      </c>
      <c r="O10" s="15">
        <f>SUMIF(Table841419410132427323943485356711182530394649[CỔ ĐÔNG],Table951520511142528334044495457812192631404750[[#This Row],[CỔ ĐÔNG]],Table841419410132427323943485356711182530394649[TỔNG NHẬN])</f>
        <v>0</v>
      </c>
    </row>
    <row r="11" spans="1:15" ht="15" hidden="1" customHeight="1" x14ac:dyDescent="0.3">
      <c r="A11" s="10" t="s">
        <v>136</v>
      </c>
      <c r="B11" s="11" t="s">
        <v>25</v>
      </c>
      <c r="C11" s="11">
        <v>10</v>
      </c>
      <c r="D11" s="18">
        <v>4800000</v>
      </c>
      <c r="E11" s="18">
        <v>2299093.2000000002</v>
      </c>
      <c r="F11" s="18">
        <v>1466496.9248776555</v>
      </c>
      <c r="G11" s="12">
        <f>D11+Table841419410132427323943485356711182530394649[[#This Row],[LỢI NHUẬN RÒNG]]</f>
        <v>6266496.9248776557</v>
      </c>
      <c r="K11" s="13" t="s">
        <v>25</v>
      </c>
      <c r="L11" s="14">
        <f>SUMIF(Table841419410132427323943485356711182530394649[CỔ ĐÔNG],K11,Table841419410132427323943485356711182530394649[VỐN CP])</f>
        <v>35100000</v>
      </c>
      <c r="M11" s="14">
        <f>SUMIF(Table841419410132427323943485356711182530394649[CỔ ĐÔNG],K11,Table841419410132427323943485356711182530394649[LỢI NHUẬN GỘP])</f>
        <v>15280032.100000001</v>
      </c>
      <c r="N11" s="14">
        <f>SUMIF(Table841419410132427323943485356711182530394649[CỔ ĐÔNG],K11,Table841419410132427323943485356711182530394649[LỢI NHUẬN RÒNG])</f>
        <v>10845629.309523866</v>
      </c>
      <c r="O11" s="15">
        <f>SUMIF(Table841419410132427323943485356711182530394649[CỔ ĐÔNG],Table951520511142528334044495457812192631404750[[#This Row],[CỔ ĐÔNG]],Table841419410132427323943485356711182530394649[TỔNG NHẬN])</f>
        <v>50108859.697078139</v>
      </c>
    </row>
    <row r="12" spans="1:15" ht="15" hidden="1" customHeight="1" x14ac:dyDescent="0.3">
      <c r="A12" s="10" t="s">
        <v>138</v>
      </c>
      <c r="B12" s="11" t="s">
        <v>19</v>
      </c>
      <c r="C12" s="11">
        <v>15</v>
      </c>
      <c r="D12" s="11">
        <v>2550000</v>
      </c>
      <c r="E12" s="11">
        <v>1532567.4</v>
      </c>
      <c r="F12" s="11">
        <v>1256311.5751297162</v>
      </c>
      <c r="G12" s="12">
        <f>D12+Table841419410132427323943485356711182530394649[[#This Row],[LỢI NHUẬN RÒNG]]</f>
        <v>3806311.5751297162</v>
      </c>
      <c r="K12" s="13" t="s">
        <v>27</v>
      </c>
      <c r="L12" s="14">
        <f>SUMIF(Table841419410132427323943485356711182530394649[CỔ ĐÔNG],K12,Table841419410132427323943485356711182530394649[VỐN CP])</f>
        <v>10800000</v>
      </c>
      <c r="M12" s="14">
        <f>SUMIF(Table841419410132427323943485356711182530394649[CỔ ĐÔNG],K12,Table841419410132427323943485356711182530394649[LỢI NHUẬN GỘP])</f>
        <v>4012020.6</v>
      </c>
      <c r="N12" s="14">
        <f>SUMIF(Table841419410132427323943485356711182530394649[CỔ ĐÔNG],K12,Table841419410132427323943485356711182530394649[LỢI NHUẬN RÒNG])</f>
        <v>2994081.9616978681</v>
      </c>
      <c r="O12" s="15">
        <f>SUMIF(Table841419410132427323943485356711182530394649[CỔ ĐÔNG],Table951520511142528334044495457812192631404750[[#This Row],[CỔ ĐÔNG]],Table841419410132427323943485356711182530394649[TỔNG NHẬN])</f>
        <v>28532413.658103265</v>
      </c>
    </row>
    <row r="13" spans="1:15" ht="15" hidden="1" customHeight="1" x14ac:dyDescent="0.3">
      <c r="A13" s="10" t="s">
        <v>138</v>
      </c>
      <c r="B13" s="11" t="s">
        <v>37</v>
      </c>
      <c r="C13" s="11">
        <v>15</v>
      </c>
      <c r="D13" s="11">
        <v>2550000</v>
      </c>
      <c r="E13" s="11">
        <v>1532567.4</v>
      </c>
      <c r="F13" s="11">
        <v>1256311.5751297162</v>
      </c>
      <c r="G13" s="12">
        <f>D13+Table841419410132427323943485356711182530394649[[#This Row],[LỢI NHUẬN RÒNG]]</f>
        <v>3806311.5751297162</v>
      </c>
      <c r="K13" s="13" t="s">
        <v>29</v>
      </c>
      <c r="L13" s="14">
        <f>SUMIF(Table841419410132427323943485356711182530394649[CỔ ĐÔNG],K13,Table841419410132427323943485356711182530394649[VỐN CP])</f>
        <v>35725000</v>
      </c>
      <c r="M13" s="14">
        <f>SUMIF(Table841419410132427323943485356711182530394649[CỔ ĐÔNG],K13,Table841419410132427323943485356711182530394649[LỢI NHUẬN GỘP])</f>
        <v>13471709.050000001</v>
      </c>
      <c r="N13" s="14">
        <f>SUMIF(Table841419410132427323943485356711182530394649[CỔ ĐÔNG],K13,Table841419410132427323943485356711182530394649[LỢI NHUẬN RÒNG])</f>
        <v>8391513.3405276667</v>
      </c>
      <c r="O13" s="15">
        <f>SUMIF(Table841419410132427323943485356711182530394649[CỔ ĐÔNG],Table951520511142528334044495457812192631404750[[#This Row],[CỔ ĐÔNG]],Table841419410132427323943485356711182530394649[TỔNG NHẬN])</f>
        <v>66421690.557917148</v>
      </c>
    </row>
    <row r="14" spans="1:15" ht="15" hidden="1" customHeight="1" x14ac:dyDescent="0.3">
      <c r="A14" s="10" t="s">
        <v>138</v>
      </c>
      <c r="B14" s="11" t="s">
        <v>33</v>
      </c>
      <c r="C14" s="11">
        <v>5</v>
      </c>
      <c r="D14" s="11">
        <v>850000</v>
      </c>
      <c r="E14" s="11">
        <v>510855.8</v>
      </c>
      <c r="F14" s="11">
        <v>418770.52504323871</v>
      </c>
      <c r="G14" s="12">
        <f>D14+Table841419410132427323943485356711182530394649[[#This Row],[LỢI NHUẬN RÒNG]]</f>
        <v>1268770.5250432387</v>
      </c>
      <c r="K14" s="13" t="s">
        <v>31</v>
      </c>
      <c r="L14" s="14">
        <f>SUMIF(Table841419410132427323943485356711182530394649[CỔ ĐÔNG],K14,Table841419410132427323943485356711182530394649[VỐN CP])</f>
        <v>72425000</v>
      </c>
      <c r="M14" s="14">
        <f>SUMIF(Table841419410132427323943485356711182530394649[CỔ ĐÔNG],K14,Table841419410132427323943485356711182530394649[LỢI NHUẬN GỘP])</f>
        <v>27176680.050000001</v>
      </c>
      <c r="N14" s="14">
        <f>SUMIF(Table841419410132427323943485356711182530394649[CỔ ĐÔNG],K14,Table841419410132427323943485356711182530394649[LỢI NHUẬN RÒNG])</f>
        <v>18061554.523237064</v>
      </c>
      <c r="O14" s="15">
        <f>SUMIF(Table841419410132427323943485356711182530394649[CỔ ĐÔNG],Table951520511142528334044495457812192631404750[[#This Row],[CỔ ĐÔNG]],Table841419410132427323943485356711182530394649[TỔNG NHẬN])</f>
        <v>113187091.0861893</v>
      </c>
    </row>
    <row r="15" spans="1:15" ht="15" customHeight="1" x14ac:dyDescent="0.3">
      <c r="A15" s="10" t="s">
        <v>138</v>
      </c>
      <c r="B15" s="11" t="s">
        <v>31</v>
      </c>
      <c r="C15" s="11">
        <v>15</v>
      </c>
      <c r="D15" s="11">
        <v>2550000</v>
      </c>
      <c r="E15" s="11">
        <v>1532567.4</v>
      </c>
      <c r="F15" s="11">
        <v>1256311.5751297162</v>
      </c>
      <c r="G15" s="12">
        <f>D15+Table841419410132427323943485356711182530394649[[#This Row],[LỢI NHUẬN RÒNG]]</f>
        <v>3806311.5751297162</v>
      </c>
      <c r="K15" s="13" t="s">
        <v>33</v>
      </c>
      <c r="L15" s="14">
        <f>SUMIF(Table841419410132427323943485356711182530394649[CỔ ĐÔNG],K15,Table841419410132427323943485356711182530394649[VỐN CP])</f>
        <v>34175000</v>
      </c>
      <c r="M15" s="14">
        <f>SUMIF(Table841419410132427323943485356711182530394649[CỔ ĐÔNG],K15,Table841419410132427323943485356711182530394649[LỢI NHUẬN GỘP])</f>
        <v>13048726.9</v>
      </c>
      <c r="N15" s="14">
        <f>SUMIF(Table841419410132427323943485356711182530394649[CỔ ĐÔNG],K15,Table841419410132427323943485356711182530394649[LỢI NHUẬN RÒNG])</f>
        <v>8020943.5449256701</v>
      </c>
      <c r="O15" s="15">
        <f>SUMIF(Table841419410132427323943485356711182530394649[CỔ ĐÔNG],Table951520511142528334044495457812192631404750[[#This Row],[CỔ ĐÔNG]],Table841419410132427323943485356711182530394649[TỔNG NHẬN])</f>
        <v>63939185.180972084</v>
      </c>
    </row>
    <row r="16" spans="1:15" ht="15" hidden="1" customHeight="1" x14ac:dyDescent="0.3">
      <c r="A16" s="10" t="s">
        <v>138</v>
      </c>
      <c r="B16" s="11" t="s">
        <v>21</v>
      </c>
      <c r="C16" s="11">
        <v>15</v>
      </c>
      <c r="D16" s="11">
        <v>2550000</v>
      </c>
      <c r="E16" s="11">
        <v>1532567.4</v>
      </c>
      <c r="F16" s="11">
        <v>1256311.5751297162</v>
      </c>
      <c r="G16" s="12">
        <f>D16+Table841419410132427323943485356711182530394649[[#This Row],[LỢI NHUẬN RÒNG]]</f>
        <v>3806311.5751297162</v>
      </c>
      <c r="K16" s="13" t="s">
        <v>35</v>
      </c>
      <c r="L16" s="14">
        <f>SUMIF(Table841419410132427323943485356711182530394649[CỔ ĐÔNG],K16,Table841419410132427323943485356711182530394649[VỐN CP])</f>
        <v>0</v>
      </c>
      <c r="M16" s="14">
        <f>SUMIF(Table841419410132427323943485356711182530394649[CỔ ĐÔNG],K16,Table841419410132427323943485356711182530394649[LỢI NHUẬN GỘP])</f>
        <v>0</v>
      </c>
      <c r="N16" s="14">
        <f>SUMIF(Table841419410132427323943485356711182530394649[CỔ ĐÔNG],K16,Table841419410132427323943485356711182530394649[LỢI NHUẬN RÒNG])</f>
        <v>0</v>
      </c>
      <c r="O16" s="15">
        <f>SUMIF(Table841419410132427323943485356711182530394649[CỔ ĐÔNG],Table951520511142528334044495457812192631404750[[#This Row],[CỔ ĐÔNG]],Table841419410132427323943485356711182530394649[TỔNG NHẬN])</f>
        <v>0</v>
      </c>
    </row>
    <row r="17" spans="1:15" ht="15" hidden="1" customHeight="1" x14ac:dyDescent="0.3">
      <c r="A17" s="10" t="s">
        <v>138</v>
      </c>
      <c r="B17" s="11" t="s">
        <v>29</v>
      </c>
      <c r="C17" s="11">
        <v>10</v>
      </c>
      <c r="D17" s="11">
        <v>1700000</v>
      </c>
      <c r="E17" s="11">
        <v>1021711.6</v>
      </c>
      <c r="F17" s="11">
        <v>837541.05008647742</v>
      </c>
      <c r="G17" s="12">
        <f>D17+Table841419410132427323943485356711182530394649[[#This Row],[LỢI NHUẬN RÒNG]]</f>
        <v>2537541.0500864773</v>
      </c>
      <c r="K17" s="16" t="s">
        <v>37</v>
      </c>
      <c r="L17" s="17">
        <f>SUMIF(Table841419410132427323943485356711182530394649[CỔ ĐÔNG],K17,Table841419410132427323943485356711182530394649[VỐN CP])</f>
        <v>77000000</v>
      </c>
      <c r="M17" s="17">
        <f>SUMIF(Table841419410132427323943485356711182530394649[CỔ ĐÔNG],K17,Table841419410132427323943485356711182530394649[LỢI NHUẬN GỘP])</f>
        <v>29989418.899999999</v>
      </c>
      <c r="N17" s="17">
        <f>SUMIF(Table841419410132427323943485356711182530394649[CỔ ĐÔNG],K17,Table841419410132427323943485356711182530394649[LỢI NHUẬN RÒNG])</f>
        <v>19105193.249480944</v>
      </c>
      <c r="O17" s="15">
        <f>SUMIF(Table841419410132427323943485356711182530394649[CỔ ĐÔNG],Table951520511142528334044495457812192631404750[[#This Row],[CỔ ĐÔNG]],Table841419410132427323943485356711182530394649[TỔNG NHẬN])</f>
        <v>142234778.19250882</v>
      </c>
    </row>
    <row r="18" spans="1:15" ht="15" hidden="1" customHeight="1" x14ac:dyDescent="0.3">
      <c r="A18" s="10" t="s">
        <v>138</v>
      </c>
      <c r="B18" s="11" t="s">
        <v>43</v>
      </c>
      <c r="C18" s="11">
        <v>10</v>
      </c>
      <c r="D18" s="11">
        <v>1700000</v>
      </c>
      <c r="E18" s="11">
        <v>1021711.6</v>
      </c>
      <c r="F18" s="11">
        <v>837541.05008647742</v>
      </c>
      <c r="G18" s="12">
        <f>D18+Table841419410132427323943485356711182530394649[[#This Row],[LỢI NHUẬN RÒNG]]</f>
        <v>2537541.0500864773</v>
      </c>
      <c r="K18" s="13" t="s">
        <v>166</v>
      </c>
      <c r="L18" s="17">
        <f>SUMIF(Table841419410132427323943485356711182530394649[CỔ ĐÔNG],K18,Table841419410132427323943485356711182530394649[VỐN CP])</f>
        <v>2800000</v>
      </c>
      <c r="M18" s="17">
        <f>SUMIF(Table841419410132427323943485356711182530394649[CỔ ĐÔNG],K18,Table841419410132427323943485356711182530394649[LỢI NHUẬN GỘP])</f>
        <v>1506828.1</v>
      </c>
      <c r="N18" s="17">
        <f>SUMIF(Table841419410132427323943485356711182530394649[CỔ ĐÔNG],K18,Table841419410132427323943485356711182530394649[LỢI NHUẬN RÒNG])</f>
        <v>1148945.5761394664</v>
      </c>
      <c r="O18" s="15">
        <f>SUMIF(Table841419410132427323943485356711182530394649[CỔ ĐÔNG],Table951520511142528334044495457812192631404750[[#This Row],[CỔ ĐÔNG]],Table841419410132427323943485356711182530394649[TỔNG NHẬN])</f>
        <v>3948945.5761394664</v>
      </c>
    </row>
    <row r="19" spans="1:15" ht="15" hidden="1" customHeight="1" x14ac:dyDescent="0.3">
      <c r="A19" s="10" t="s">
        <v>138</v>
      </c>
      <c r="B19" s="11" t="s">
        <v>25</v>
      </c>
      <c r="C19" s="11">
        <v>15</v>
      </c>
      <c r="D19" s="11">
        <v>2550000</v>
      </c>
      <c r="E19" s="11">
        <v>1532567.4</v>
      </c>
      <c r="F19" s="11">
        <v>1256311.5751297162</v>
      </c>
      <c r="G19" s="12">
        <f>D19+Table841419410132427323943485356711182530394649[[#This Row],[LỢI NHUẬN RÒNG]]</f>
        <v>3806311.5751297162</v>
      </c>
      <c r="I19" s="11"/>
      <c r="K19" s="13" t="s">
        <v>41</v>
      </c>
      <c r="L19" s="17">
        <f>SUMIF(Table841419410132427323943485356711182530394649[CỔ ĐÔNG],K19,Table841419410132427323943485356711182530394649[VỐN CP])</f>
        <v>0</v>
      </c>
      <c r="M19" s="17">
        <f>SUMIF(Table841419410132427323943485356711182530394649[CỔ ĐÔNG],K19,Table841419410132427323943485356711182530394649[LỢI NHUẬN GỘP])</f>
        <v>0</v>
      </c>
      <c r="N19" s="17">
        <f>SUMIF(Table841419410132427323943485356711182530394649[CỔ ĐÔNG],K19,Table841419410132427323943485356711182530394649[LỢI NHUẬN RÒNG])</f>
        <v>0</v>
      </c>
      <c r="O19" s="15">
        <f>SUMIF(Table841419410132427323943485356711182530394649[CỔ ĐÔNG],Table951520511142528334044495457812192631404750[[#This Row],[CỔ ĐÔNG]],Table841419410132427323943485356711182530394649[TỔNG NHẬN])</f>
        <v>0</v>
      </c>
    </row>
    <row r="20" spans="1:15" ht="15" hidden="1" customHeight="1" x14ac:dyDescent="0.3">
      <c r="A20" s="10" t="s">
        <v>140</v>
      </c>
      <c r="B20" s="11" t="s">
        <v>9</v>
      </c>
      <c r="C20" s="11">
        <v>10</v>
      </c>
      <c r="D20" s="11">
        <v>6200000</v>
      </c>
      <c r="E20" s="11">
        <v>2123345.9</v>
      </c>
      <c r="F20" s="11">
        <v>1370095.4659951732</v>
      </c>
      <c r="G20" s="12">
        <f>D20+Table841419410132427323943485356711182530394649[[#This Row],[LỢI NHUẬN RÒNG]]</f>
        <v>7570095.465995173</v>
      </c>
      <c r="K20" s="13" t="s">
        <v>42</v>
      </c>
      <c r="L20" s="17">
        <f>SUMIF(Table841419410132427323943485356711182530394649[CỔ ĐÔNG],K20,Table841419410132427323943485356711182530394649[VỐN CP])</f>
        <v>0</v>
      </c>
      <c r="M20" s="17">
        <f>SUMIF(Table841419410132427323943485356711182530394649[CỔ ĐÔNG],K20,Table841419410132427323943485356711182530394649[LỢI NHUẬN GỘP])</f>
        <v>0</v>
      </c>
      <c r="N20" s="17">
        <f>SUMIF(Table841419410132427323943485356711182530394649[CỔ ĐÔNG],K20,Table841419410132427323943485356711182530394649[LỢI NHUẬN RÒNG])</f>
        <v>0</v>
      </c>
      <c r="O20" s="15">
        <f>SUMIF(Table841419410132427323943485356711182530394649[CỔ ĐÔNG],Table951520511142528334044495457812192631404750[[#This Row],[CỔ ĐÔNG]],Table841419410132427323943485356711182530394649[TỔNG NHẬN])</f>
        <v>0</v>
      </c>
    </row>
    <row r="21" spans="1:15" ht="15" hidden="1" customHeight="1" x14ac:dyDescent="0.3">
      <c r="A21" s="10" t="s">
        <v>140</v>
      </c>
      <c r="B21" s="11" t="s">
        <v>19</v>
      </c>
      <c r="C21" s="11">
        <v>10</v>
      </c>
      <c r="D21" s="11">
        <v>6200000</v>
      </c>
      <c r="E21" s="11">
        <v>2123345.9</v>
      </c>
      <c r="F21" s="11">
        <v>1370095.4659951732</v>
      </c>
      <c r="G21" s="12">
        <f>D21+Table841419410132427323943485356711182530394649[[#This Row],[LỢI NHUẬN RÒNG]]</f>
        <v>7570095.465995173</v>
      </c>
      <c r="K21" s="13" t="s">
        <v>43</v>
      </c>
      <c r="L21" s="17">
        <f>SUMIF(Table841419410132427323943485356711182530394649[CỔ ĐÔNG],K21,Table841419410132427323943485356711182530394649[VỐN CP])</f>
        <v>53575000</v>
      </c>
      <c r="M21" s="17">
        <f>SUMIF(Table841419410132427323943485356711182530394649[CỔ ĐÔNG],K21,Table841419410132427323943485356711182530394649[LỢI NHUẬN GỘP])</f>
        <v>20826243.949999999</v>
      </c>
      <c r="N21" s="17">
        <f>SUMIF(Table841419410132427323943485356711182530394649[CỔ ĐÔNG],K21,Table841419410132427323943485356711182530394649[LỢI NHUẬN RÒNG])</f>
        <v>14293591.698322464</v>
      </c>
      <c r="O21" s="15">
        <f>SUMIF(Table841419410132427323943485356711182530394649[CỔ ĐÔNG],Table951520511142528334044495457812192631404750[[#This Row],[CỔ ĐÔNG]],Table841419410132427323943485356711182530394649[TỔNG NHẬN])</f>
        <v>89049897.7530258</v>
      </c>
    </row>
    <row r="22" spans="1:15" ht="15" hidden="1" customHeight="1" x14ac:dyDescent="0.3">
      <c r="A22" s="10" t="s">
        <v>140</v>
      </c>
      <c r="B22" s="11" t="s">
        <v>37</v>
      </c>
      <c r="C22" s="18">
        <v>10</v>
      </c>
      <c r="D22" s="18">
        <v>6200000</v>
      </c>
      <c r="E22" s="18">
        <v>2123345.9</v>
      </c>
      <c r="F22" s="18">
        <v>1370095.4659951732</v>
      </c>
      <c r="G22" s="12">
        <f>D22+Table841419410132427323943485356711182530394649[[#This Row],[LỢI NHUẬN RÒNG]]</f>
        <v>7570095.465995173</v>
      </c>
      <c r="K22" s="13" t="s">
        <v>44</v>
      </c>
      <c r="L22" s="17">
        <f>SUMIF(Table841419410132427323943485356711182530394649[CỔ ĐÔNG],K22,Table841419410132427323943485356711182530394649[VỐN CP])</f>
        <v>0</v>
      </c>
      <c r="M22" s="17">
        <f>SUMIF(Table841419410132427323943485356711182530394649[CỔ ĐÔNG],K22,Table841419410132427323943485356711182530394649[LỢI NHUẬN GỘP])</f>
        <v>0</v>
      </c>
      <c r="N22" s="17">
        <f>SUMIF(Table841419410132427323943485356711182530394649[CỔ ĐÔNG],K22,Table841419410132427323943485356711182530394649[LỢI NHUẬN RÒNG])</f>
        <v>0</v>
      </c>
      <c r="O22" s="15">
        <f>SUMIF(Table841419410132427323943485356711182530394649[CỔ ĐÔNG],Table951520511142528334044495457812192631404750[[#This Row],[CỔ ĐÔNG]],Table841419410132427323943485356711182530394649[TỔNG NHẬN])</f>
        <v>6807230.2668596245</v>
      </c>
    </row>
    <row r="23" spans="1:15" ht="15" hidden="1" customHeight="1" x14ac:dyDescent="0.3">
      <c r="A23" s="10" t="s">
        <v>140</v>
      </c>
      <c r="B23" s="11" t="s">
        <v>33</v>
      </c>
      <c r="C23" s="11">
        <v>5</v>
      </c>
      <c r="D23" s="11">
        <v>3100000</v>
      </c>
      <c r="E23" s="11">
        <v>1061672.95</v>
      </c>
      <c r="F23" s="11">
        <v>685047.7329975866</v>
      </c>
      <c r="G23" s="12">
        <f>D23+Table841419410132427323943485356711182530394649[[#This Row],[LỢI NHUẬN RÒNG]]</f>
        <v>3785047.7329975865</v>
      </c>
      <c r="K23" s="13" t="s">
        <v>45</v>
      </c>
      <c r="L23" s="17">
        <f>SUMIF(Table841419410132427323943485356711182530394649[CỔ ĐÔNG],K23,Table841419410132427323943485356711182530394649[VỐN CP])</f>
        <v>0</v>
      </c>
      <c r="M23" s="17">
        <f>SUMIF(Table841419410132427323943485356711182530394649[CỔ ĐÔNG],K23,Table841419410132427323943485356711182530394649[LỢI NHUẬN GỘP])</f>
        <v>0</v>
      </c>
      <c r="N23" s="17">
        <f>SUMIF(Table841419410132427323943485356711182530394649[CỔ ĐÔNG],K23,Table841419410132427323943485356711182530394649[LỢI NHUẬN RÒNG])</f>
        <v>0</v>
      </c>
      <c r="O23" s="15">
        <f>SUMIF(Table841419410132427323943485356711182530394649[CỔ ĐÔNG],Table951520511142528334044495457812192631404750[[#This Row],[CỔ ĐÔNG]],Table841419410132427323943485356711182530394649[TỔNG NHẬN])</f>
        <v>0</v>
      </c>
    </row>
    <row r="24" spans="1:15" ht="15" customHeight="1" x14ac:dyDescent="0.3">
      <c r="A24" s="10" t="s">
        <v>140</v>
      </c>
      <c r="B24" s="11" t="s">
        <v>31</v>
      </c>
      <c r="C24" s="11">
        <v>20</v>
      </c>
      <c r="D24" s="11">
        <v>12400000</v>
      </c>
      <c r="E24" s="11">
        <v>4246691.8</v>
      </c>
      <c r="F24" s="11">
        <v>2740190.9319903464</v>
      </c>
      <c r="G24" s="12">
        <f>D24+Table841419410132427323943485356711182530394649[[#This Row],[LỢI NHUẬN RÒNG]]</f>
        <v>15140190.931990346</v>
      </c>
      <c r="K24" s="13" t="s">
        <v>46</v>
      </c>
      <c r="L24" s="17">
        <f>SUMIF(Table841419410132427323943485356711182530394649[CỔ ĐÔNG],K24,Table841419410132427323943485356711182530394649[VỐN CP])</f>
        <v>2800000</v>
      </c>
      <c r="M24" s="17">
        <f>SUMIF(Table841419410132427323943485356711182530394649[CỔ ĐÔNG],K24,Table841419410132427323943485356711182530394649[LỢI NHUẬN GỘP])</f>
        <v>1506828.1</v>
      </c>
      <c r="N24" s="17">
        <f>SUMIF(Table841419410132427323943485356711182530394649[CỔ ĐÔNG],K24,Table841419410132427323943485356711182530394649[LỢI NHUẬN RÒNG])</f>
        <v>1148945.5761394664</v>
      </c>
      <c r="O24" s="15">
        <f>SUMIF(Table841419410132427323943485356711182530394649[CỔ ĐÔNG],Table951520511142528334044495457812192631404750[[#This Row],[CỔ ĐÔNG]],Table841419410132427323943485356711182530394649[TỔNG NHẬN])</f>
        <v>3948945.5761394664</v>
      </c>
    </row>
    <row r="25" spans="1:15" ht="15" hidden="1" customHeight="1" x14ac:dyDescent="0.3">
      <c r="A25" s="10" t="s">
        <v>140</v>
      </c>
      <c r="B25" s="11" t="s">
        <v>21</v>
      </c>
      <c r="C25" s="11">
        <v>10</v>
      </c>
      <c r="D25" s="11">
        <v>6200000</v>
      </c>
      <c r="E25" s="11">
        <v>2123345.9</v>
      </c>
      <c r="F25" s="11">
        <v>1370095.4659951732</v>
      </c>
      <c r="G25" s="12">
        <f>D25+Table841419410132427323943485356711182530394649[[#This Row],[LỢI NHUẬN RÒNG]]</f>
        <v>7570095.465995173</v>
      </c>
      <c r="K25" s="13" t="s">
        <v>47</v>
      </c>
      <c r="L25" s="14">
        <f>SUM(L2:L24)</f>
        <v>581500000</v>
      </c>
      <c r="M25" s="14">
        <f>SUM(M2:M24)</f>
        <v>226303944.99999997</v>
      </c>
      <c r="N25" s="14">
        <f>SUM(N2:N24)</f>
        <v>148144269.38449562</v>
      </c>
      <c r="O25" s="14">
        <f>SUM(O2:O24)</f>
        <v>1028364496.768231</v>
      </c>
    </row>
    <row r="26" spans="1:15" ht="15" hidden="1" customHeight="1" x14ac:dyDescent="0.3">
      <c r="A26" s="10" t="s">
        <v>140</v>
      </c>
      <c r="B26" s="11" t="s">
        <v>29</v>
      </c>
      <c r="C26" s="11">
        <v>10</v>
      </c>
      <c r="D26" s="11">
        <v>6200000</v>
      </c>
      <c r="E26" s="11">
        <v>2123345.9</v>
      </c>
      <c r="F26" s="11">
        <v>1370095.4659951732</v>
      </c>
      <c r="G26" s="12">
        <f>D26+Table841419410132427323943485356711182530394649[[#This Row],[LỢI NHUẬN RÒNG]]</f>
        <v>7570095.465995173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140</v>
      </c>
      <c r="B27" s="11" t="s">
        <v>43</v>
      </c>
      <c r="C27" s="11">
        <v>15</v>
      </c>
      <c r="D27" s="11">
        <v>9300000</v>
      </c>
      <c r="E27" s="11">
        <v>3185018.85</v>
      </c>
      <c r="F27" s="11">
        <v>2055143.1989927597</v>
      </c>
      <c r="G27" s="12">
        <f>D27+Table841419410132427323943485356711182530394649[[#This Row],[LỢI NHUẬN RÒNG]]</f>
        <v>11355143.198992759</v>
      </c>
    </row>
    <row r="28" spans="1:15" ht="15" hidden="1" customHeight="1" x14ac:dyDescent="0.3">
      <c r="A28" s="10" t="s">
        <v>140</v>
      </c>
      <c r="B28" s="11" t="s">
        <v>25</v>
      </c>
      <c r="C28" s="11">
        <v>10</v>
      </c>
      <c r="D28" s="11">
        <v>6200000</v>
      </c>
      <c r="E28" s="11">
        <v>2123345.9</v>
      </c>
      <c r="F28" s="11">
        <v>1370095.4659951732</v>
      </c>
      <c r="G28" s="12">
        <f>D28+Table841419410132427323943485356711182530394649[[#This Row],[LỢI NHUẬN RÒNG]]</f>
        <v>7570095.465995173</v>
      </c>
      <c r="K28" s="11"/>
    </row>
    <row r="29" spans="1:15" ht="15" hidden="1" customHeight="1" x14ac:dyDescent="0.3">
      <c r="A29" s="10" t="s">
        <v>141</v>
      </c>
      <c r="B29" s="11" t="s">
        <v>9</v>
      </c>
      <c r="C29" s="11">
        <v>10</v>
      </c>
      <c r="D29" s="11">
        <v>5850000</v>
      </c>
      <c r="E29" s="11">
        <v>2711033.4</v>
      </c>
      <c r="F29" s="11">
        <v>1685718.9922572523</v>
      </c>
      <c r="G29" s="12">
        <f>D29+Table841419410132427323943485356711182530394649[[#This Row],[LỢI NHUẬN RÒNG]]</f>
        <v>7535718.9922572523</v>
      </c>
    </row>
    <row r="30" spans="1:15" ht="15" hidden="1" customHeight="1" x14ac:dyDescent="0.3">
      <c r="A30" s="10" t="s">
        <v>141</v>
      </c>
      <c r="B30" s="11" t="s">
        <v>19</v>
      </c>
      <c r="C30" s="11">
        <v>20</v>
      </c>
      <c r="D30" s="11">
        <v>11700000</v>
      </c>
      <c r="E30" s="11">
        <v>5422066.7999999998</v>
      </c>
      <c r="F30" s="11">
        <v>3371437.9845145047</v>
      </c>
      <c r="G30" s="12">
        <f>D30+Table841419410132427323943485356711182530394649[[#This Row],[LỢI NHUẬN RÒNG]]</f>
        <v>15071437.984514505</v>
      </c>
      <c r="M30" s="11"/>
    </row>
    <row r="31" spans="1:15" ht="15" hidden="1" customHeight="1" x14ac:dyDescent="0.3">
      <c r="A31" s="10" t="s">
        <v>141</v>
      </c>
      <c r="B31" s="11" t="s">
        <v>37</v>
      </c>
      <c r="C31" s="11">
        <v>10</v>
      </c>
      <c r="D31" s="11">
        <v>5850000</v>
      </c>
      <c r="E31" s="11">
        <v>2711033.4</v>
      </c>
      <c r="F31" s="11">
        <v>1685718.9922572523</v>
      </c>
      <c r="G31" s="12">
        <f>D31+Table841419410132427323943485356711182530394649[[#This Row],[LỢI NHUẬN RÒNG]]</f>
        <v>7535718.9922572523</v>
      </c>
    </row>
    <row r="32" spans="1:15" ht="15" hidden="1" customHeight="1" x14ac:dyDescent="0.3">
      <c r="A32" s="10" t="s">
        <v>141</v>
      </c>
      <c r="B32" s="11" t="s">
        <v>33</v>
      </c>
      <c r="C32" s="11">
        <v>5</v>
      </c>
      <c r="D32" s="11">
        <v>2925000</v>
      </c>
      <c r="E32" s="11">
        <v>1355516.7</v>
      </c>
      <c r="F32" s="11">
        <v>842859.49612862617</v>
      </c>
      <c r="G32" s="12">
        <f>D32+Table841419410132427323943485356711182530394649[[#This Row],[LỢI NHUẬN RÒNG]]</f>
        <v>3767859.4961286262</v>
      </c>
    </row>
    <row r="33" spans="1:12" ht="15" customHeight="1" x14ac:dyDescent="0.3">
      <c r="A33" s="10" t="s">
        <v>141</v>
      </c>
      <c r="B33" s="11" t="s">
        <v>31</v>
      </c>
      <c r="C33" s="11">
        <v>15</v>
      </c>
      <c r="D33" s="11">
        <v>8775000</v>
      </c>
      <c r="E33" s="11">
        <v>4066550.1</v>
      </c>
      <c r="F33" s="11">
        <v>2528578.4883858785</v>
      </c>
      <c r="G33" s="12">
        <f>D33+Table841419410132427323943485356711182530394649[[#This Row],[LỢI NHUẬN RÒNG]]</f>
        <v>11303578.488385879</v>
      </c>
    </row>
    <row r="34" spans="1:12" ht="15" hidden="1" customHeight="1" x14ac:dyDescent="0.3">
      <c r="A34" s="10" t="s">
        <v>141</v>
      </c>
      <c r="B34" s="11" t="s">
        <v>21</v>
      </c>
      <c r="C34" s="11">
        <v>10</v>
      </c>
      <c r="D34" s="11">
        <v>5850000</v>
      </c>
      <c r="E34" s="11">
        <v>2711033.4</v>
      </c>
      <c r="F34" s="11">
        <v>1685718.9922572523</v>
      </c>
      <c r="G34" s="12">
        <f>D34+Table841419410132427323943485356711182530394649[[#This Row],[LỢI NHUẬN RÒNG]]</f>
        <v>7535718.9922572523</v>
      </c>
    </row>
    <row r="35" spans="1:12" ht="15" hidden="1" customHeight="1" x14ac:dyDescent="0.3">
      <c r="A35" s="10" t="s">
        <v>141</v>
      </c>
      <c r="B35" s="11" t="s">
        <v>29</v>
      </c>
      <c r="C35" s="11">
        <v>5</v>
      </c>
      <c r="D35" s="11">
        <v>2925000</v>
      </c>
      <c r="E35" s="11">
        <v>1355516.7</v>
      </c>
      <c r="F35" s="11">
        <v>842859.49612862617</v>
      </c>
      <c r="G35" s="12">
        <f>D35+Table841419410132427323943485356711182530394649[[#This Row],[LỢI NHUẬN RÒNG]]</f>
        <v>3767859.4961286262</v>
      </c>
    </row>
    <row r="36" spans="1:12" ht="15" hidden="1" customHeight="1" x14ac:dyDescent="0.3">
      <c r="A36" s="10" t="s">
        <v>141</v>
      </c>
      <c r="B36" s="11" t="s">
        <v>43</v>
      </c>
      <c r="C36" s="11">
        <v>15</v>
      </c>
      <c r="D36" s="11">
        <v>8775000</v>
      </c>
      <c r="E36" s="11">
        <v>4066550.1</v>
      </c>
      <c r="F36" s="11">
        <v>2528578.4883858785</v>
      </c>
      <c r="G36" s="12">
        <f>D36+Table841419410132427323943485356711182530394649[[#This Row],[LỢI NHUẬN RÒNG]]</f>
        <v>11303578.488385879</v>
      </c>
    </row>
    <row r="37" spans="1:12" ht="15" hidden="1" customHeight="1" x14ac:dyDescent="0.3">
      <c r="A37" s="10" t="s">
        <v>141</v>
      </c>
      <c r="B37" s="11" t="s">
        <v>25</v>
      </c>
      <c r="C37" s="11">
        <v>10</v>
      </c>
      <c r="D37" s="11">
        <v>5850000</v>
      </c>
      <c r="E37" s="11">
        <v>2711033.4</v>
      </c>
      <c r="F37" s="11">
        <v>1685718.9922572523</v>
      </c>
      <c r="G37" s="12">
        <f>D37+Table841419410132427323943485356711182530394649[[#This Row],[LỢI NHUẬN RÒNG]]</f>
        <v>7535718.9922572523</v>
      </c>
      <c r="L37" s="11"/>
    </row>
    <row r="38" spans="1:12" ht="15" hidden="1" customHeight="1" x14ac:dyDescent="0.3">
      <c r="A38" s="10" t="s">
        <v>146</v>
      </c>
      <c r="B38" s="11" t="s">
        <v>9</v>
      </c>
      <c r="C38" s="11">
        <v>15</v>
      </c>
      <c r="D38" s="11">
        <v>19500000</v>
      </c>
      <c r="E38" s="11">
        <v>8629404.75</v>
      </c>
      <c r="F38" s="11">
        <v>6760749.3982765675</v>
      </c>
      <c r="G38" s="12">
        <f>D38+Table841419410132427323943485356711182530394649[[#This Row],[LỢI NHUẬN RÒNG]]</f>
        <v>26260749.398276567</v>
      </c>
    </row>
    <row r="39" spans="1:12" ht="15" hidden="1" customHeight="1" x14ac:dyDescent="0.3">
      <c r="A39" s="10" t="s">
        <v>146</v>
      </c>
      <c r="B39" s="11" t="s">
        <v>19</v>
      </c>
      <c r="C39" s="11">
        <v>20</v>
      </c>
      <c r="D39" s="11">
        <v>26000000</v>
      </c>
      <c r="E39" s="11">
        <v>11505873</v>
      </c>
      <c r="F39" s="11">
        <v>9014332.5310354233</v>
      </c>
      <c r="G39" s="12">
        <f>D39+Table841419410132427323943485356711182530394649[[#This Row],[LỢI NHUẬN RÒNG]]</f>
        <v>35014332.531035423</v>
      </c>
    </row>
    <row r="40" spans="1:12" ht="15" hidden="1" customHeight="1" x14ac:dyDescent="0.3">
      <c r="A40" s="10" t="s">
        <v>146</v>
      </c>
      <c r="B40" s="11" t="s">
        <v>27</v>
      </c>
      <c r="C40" s="11">
        <v>5</v>
      </c>
      <c r="D40" s="11">
        <v>6500000</v>
      </c>
      <c r="E40" s="11">
        <v>2876468.25</v>
      </c>
      <c r="F40" s="11">
        <v>2253583.1327588558</v>
      </c>
      <c r="G40" s="12">
        <f>D40+Table841419410132427323943485356711182530394649[[#This Row],[LỢI NHUẬN RÒNG]]</f>
        <v>8753583.1327588558</v>
      </c>
    </row>
    <row r="41" spans="1:12" ht="15" hidden="1" customHeight="1" x14ac:dyDescent="0.3">
      <c r="A41" s="10" t="s">
        <v>146</v>
      </c>
      <c r="B41" s="11" t="s">
        <v>37</v>
      </c>
      <c r="C41" s="11">
        <v>10</v>
      </c>
      <c r="D41" s="11">
        <v>13000000</v>
      </c>
      <c r="E41" s="11">
        <v>5752936.5</v>
      </c>
      <c r="F41" s="11">
        <v>4507166.2655177116</v>
      </c>
      <c r="G41" s="12">
        <f>D41+Table841419410132427323943485356711182530394649[[#This Row],[LỢI NHUẬN RÒNG]]</f>
        <v>17507166.265517712</v>
      </c>
    </row>
    <row r="42" spans="1:12" ht="15" hidden="1" customHeight="1" x14ac:dyDescent="0.3">
      <c r="A42" s="10" t="s">
        <v>146</v>
      </c>
      <c r="B42" s="11" t="s">
        <v>33</v>
      </c>
      <c r="C42" s="11">
        <v>5</v>
      </c>
      <c r="D42" s="11">
        <v>6500000</v>
      </c>
      <c r="E42" s="11">
        <v>2876468.25</v>
      </c>
      <c r="F42" s="11">
        <v>2253583.1327588558</v>
      </c>
      <c r="G42" s="12">
        <f>D42+Table841419410132427323943485356711182530394649[[#This Row],[LỢI NHUẬN RÒNG]]</f>
        <v>8753583.1327588558</v>
      </c>
    </row>
    <row r="43" spans="1:12" ht="15" customHeight="1" x14ac:dyDescent="0.3">
      <c r="A43" s="10" t="s">
        <v>146</v>
      </c>
      <c r="B43" s="11" t="s">
        <v>31</v>
      </c>
      <c r="C43" s="11">
        <v>10</v>
      </c>
      <c r="D43" s="11">
        <v>13000000</v>
      </c>
      <c r="E43" s="11">
        <v>5752936.5</v>
      </c>
      <c r="F43" s="11">
        <v>4507166.2655177116</v>
      </c>
      <c r="G43" s="12">
        <f>D43+Table841419410132427323943485356711182530394649[[#This Row],[LỢI NHUẬN RÒNG]]</f>
        <v>17507166.265517712</v>
      </c>
    </row>
    <row r="44" spans="1:12" ht="15" hidden="1" customHeight="1" x14ac:dyDescent="0.3">
      <c r="A44" s="10" t="s">
        <v>146</v>
      </c>
      <c r="B44" s="11" t="s">
        <v>21</v>
      </c>
      <c r="C44" s="11">
        <v>10</v>
      </c>
      <c r="D44" s="11">
        <v>13000000</v>
      </c>
      <c r="E44" s="11">
        <v>5752936.5</v>
      </c>
      <c r="F44" s="11">
        <v>4507166.2655177116</v>
      </c>
      <c r="G44" s="12">
        <f>D44+Table841419410132427323943485356711182530394649[[#This Row],[LỢI NHUẬN RÒNG]]</f>
        <v>17507166.265517712</v>
      </c>
    </row>
    <row r="45" spans="1:12" ht="15" hidden="1" customHeight="1" x14ac:dyDescent="0.3">
      <c r="A45" s="10" t="s">
        <v>146</v>
      </c>
      <c r="B45" s="11" t="s">
        <v>10</v>
      </c>
      <c r="C45" s="11">
        <v>5</v>
      </c>
      <c r="D45" s="11">
        <v>6500000</v>
      </c>
      <c r="E45" s="11">
        <v>2876468.25</v>
      </c>
      <c r="F45" s="11">
        <v>2253583.1327588558</v>
      </c>
      <c r="G45" s="12">
        <f>D45+Table841419410132427323943485356711182530394649[[#This Row],[LỢI NHUẬN RÒNG]]</f>
        <v>8753583.1327588558</v>
      </c>
    </row>
    <row r="46" spans="1:12" ht="15" hidden="1" customHeight="1" x14ac:dyDescent="0.3">
      <c r="A46" s="10" t="s">
        <v>146</v>
      </c>
      <c r="B46" s="11" t="s">
        <v>29</v>
      </c>
      <c r="C46" s="11">
        <v>5</v>
      </c>
      <c r="D46" s="11">
        <v>6500000</v>
      </c>
      <c r="E46" s="11">
        <v>2876468.25</v>
      </c>
      <c r="F46" s="11">
        <v>2253583.1327588558</v>
      </c>
      <c r="G46" s="12">
        <f>D46+Table841419410132427323943485356711182530394649[[#This Row],[LỢI NHUẬN RÒNG]]</f>
        <v>8753583.1327588558</v>
      </c>
    </row>
    <row r="47" spans="1:12" ht="15" hidden="1" customHeight="1" x14ac:dyDescent="0.3">
      <c r="A47" s="10" t="s">
        <v>146</v>
      </c>
      <c r="B47" s="11" t="s">
        <v>43</v>
      </c>
      <c r="C47" s="11">
        <v>10</v>
      </c>
      <c r="D47" s="11">
        <v>13000000</v>
      </c>
      <c r="E47" s="11">
        <v>5752936.5</v>
      </c>
      <c r="F47" s="11">
        <v>4507166.2655177116</v>
      </c>
      <c r="G47" s="12">
        <f>D47+Table841419410132427323943485356711182530394649[[#This Row],[LỢI NHUẬN RÒNG]]</f>
        <v>17507166.265517712</v>
      </c>
    </row>
    <row r="48" spans="1:12" ht="15" hidden="1" customHeight="1" x14ac:dyDescent="0.3">
      <c r="A48" s="10" t="s">
        <v>146</v>
      </c>
      <c r="B48" s="11" t="s">
        <v>25</v>
      </c>
      <c r="C48" s="11">
        <v>5</v>
      </c>
      <c r="D48" s="11">
        <v>6500000</v>
      </c>
      <c r="E48" s="11">
        <v>2876468.25</v>
      </c>
      <c r="F48" s="11">
        <v>2253583.1327588558</v>
      </c>
      <c r="G48" s="12">
        <f>D48+Table841419410132427323943485356711182530394649[[#This Row],[LỢI NHUẬN RÒNG]]</f>
        <v>8753583.1327588558</v>
      </c>
    </row>
    <row r="49" spans="1:7" ht="15" hidden="1" customHeight="1" x14ac:dyDescent="0.3">
      <c r="A49" s="10" t="s">
        <v>147</v>
      </c>
      <c r="B49" s="11" t="s">
        <v>9</v>
      </c>
      <c r="C49" s="11">
        <v>15</v>
      </c>
      <c r="D49" s="11">
        <v>12900000</v>
      </c>
      <c r="E49" s="11">
        <v>3406657.05</v>
      </c>
      <c r="F49" s="11">
        <v>2221496.4868170377</v>
      </c>
      <c r="G49" s="12">
        <f>D49+Table841419410132427323943485356711182530394649[[#This Row],[LỢI NHUẬN RÒNG]]</f>
        <v>15121496.486817038</v>
      </c>
    </row>
    <row r="50" spans="1:7" ht="15" hidden="1" customHeight="1" x14ac:dyDescent="0.3">
      <c r="A50" s="10" t="s">
        <v>147</v>
      </c>
      <c r="B50" s="11" t="s">
        <v>19</v>
      </c>
      <c r="C50" s="11">
        <v>20</v>
      </c>
      <c r="D50" s="11">
        <v>17200000</v>
      </c>
      <c r="E50" s="11">
        <v>4542209.4000000004</v>
      </c>
      <c r="F50" s="11">
        <v>2961995.3157560499</v>
      </c>
      <c r="G50" s="12">
        <f>D50+Table841419410132427323943485356711182530394649[[#This Row],[LỢI NHUẬN RÒNG]]</f>
        <v>20161995.315756049</v>
      </c>
    </row>
    <row r="51" spans="1:7" ht="15" hidden="1" customHeight="1" x14ac:dyDescent="0.3">
      <c r="A51" s="10" t="s">
        <v>147</v>
      </c>
      <c r="B51" s="11" t="s">
        <v>27</v>
      </c>
      <c r="C51" s="11">
        <v>5</v>
      </c>
      <c r="D51" s="11">
        <v>4300000</v>
      </c>
      <c r="E51" s="11">
        <v>1135552.3500000001</v>
      </c>
      <c r="F51" s="11">
        <v>740498.82893901248</v>
      </c>
      <c r="G51" s="12">
        <f>D51+Table841419410132427323943485356711182530394649[[#This Row],[LỢI NHUẬN RÒNG]]</f>
        <v>5040498.8289390123</v>
      </c>
    </row>
    <row r="52" spans="1:7" ht="15" hidden="1" customHeight="1" x14ac:dyDescent="0.3">
      <c r="A52" s="10" t="s">
        <v>147</v>
      </c>
      <c r="B52" s="11" t="s">
        <v>37</v>
      </c>
      <c r="C52" s="11">
        <v>10</v>
      </c>
      <c r="D52" s="11">
        <v>8600000</v>
      </c>
      <c r="E52" s="11">
        <v>2271104.7000000002</v>
      </c>
      <c r="F52" s="11">
        <v>1480997.657878025</v>
      </c>
      <c r="G52" s="12">
        <f>D52+Table841419410132427323943485356711182530394649[[#This Row],[LỢI NHUẬN RÒNG]]</f>
        <v>10080997.657878025</v>
      </c>
    </row>
    <row r="53" spans="1:7" ht="12" hidden="1" customHeight="1" x14ac:dyDescent="0.3">
      <c r="A53" s="10" t="s">
        <v>147</v>
      </c>
      <c r="B53" s="11" t="s">
        <v>33</v>
      </c>
      <c r="C53" s="11">
        <v>5</v>
      </c>
      <c r="D53" s="11">
        <v>4300000</v>
      </c>
      <c r="E53" s="11">
        <v>1135552.3500000001</v>
      </c>
      <c r="F53" s="11">
        <v>740498.82893901248</v>
      </c>
      <c r="G53" s="12">
        <f>D53+Table841419410132427323943485356711182530394649[[#This Row],[LỢI NHUẬN RÒNG]]</f>
        <v>5040498.8289390123</v>
      </c>
    </row>
    <row r="54" spans="1:7" ht="15" customHeight="1" x14ac:dyDescent="0.3">
      <c r="A54" s="10" t="s">
        <v>147</v>
      </c>
      <c r="B54" s="11" t="s">
        <v>31</v>
      </c>
      <c r="C54" s="11">
        <v>20</v>
      </c>
      <c r="D54" s="11">
        <v>17200000</v>
      </c>
      <c r="E54" s="11">
        <v>4542209.4000000004</v>
      </c>
      <c r="F54" s="11">
        <v>2961995.3157560499</v>
      </c>
      <c r="G54" s="12">
        <f>D54+Table841419410132427323943485356711182530394649[[#This Row],[LỢI NHUẬN RÒNG]]</f>
        <v>20161995.315756049</v>
      </c>
    </row>
    <row r="55" spans="1:7" ht="15" hidden="1" customHeight="1" x14ac:dyDescent="0.3">
      <c r="A55" s="10" t="s">
        <v>147</v>
      </c>
      <c r="B55" s="11" t="s">
        <v>21</v>
      </c>
      <c r="C55" s="11">
        <v>10</v>
      </c>
      <c r="D55" s="11">
        <v>8600000</v>
      </c>
      <c r="E55" s="11">
        <v>2271104.7000000002</v>
      </c>
      <c r="F55" s="11">
        <v>1480997.657878025</v>
      </c>
      <c r="G55" s="12">
        <f>D55+Table841419410132427323943485356711182530394649[[#This Row],[LỢI NHUẬN RÒNG]]</f>
        <v>10080997.657878025</v>
      </c>
    </row>
    <row r="56" spans="1:7" ht="15" hidden="1" customHeight="1" x14ac:dyDescent="0.3">
      <c r="A56" s="10" t="s">
        <v>147</v>
      </c>
      <c r="B56" s="11" t="s">
        <v>29</v>
      </c>
      <c r="C56" s="18">
        <v>5</v>
      </c>
      <c r="D56" s="18">
        <v>4300000</v>
      </c>
      <c r="E56" s="18">
        <v>1135552.3500000001</v>
      </c>
      <c r="F56" s="18">
        <v>740498.82893901248</v>
      </c>
      <c r="G56" s="12">
        <f>D56+Table841419410132427323943485356711182530394649[[#This Row],[LỢI NHUẬN RÒNG]]</f>
        <v>5040498.8289390123</v>
      </c>
    </row>
    <row r="57" spans="1:7" ht="15" hidden="1" customHeight="1" x14ac:dyDescent="0.3">
      <c r="A57" s="10" t="s">
        <v>147</v>
      </c>
      <c r="B57" s="11" t="s">
        <v>43</v>
      </c>
      <c r="C57" s="11">
        <v>10</v>
      </c>
      <c r="D57" s="11">
        <v>8600000</v>
      </c>
      <c r="E57" s="11">
        <v>2271104.7000000002</v>
      </c>
      <c r="F57" s="11">
        <v>1480997.657878025</v>
      </c>
      <c r="G57" s="12">
        <f>D57+Table841419410132427323943485356711182530394649[[#This Row],[LỢI NHUẬN RÒNG]]</f>
        <v>10080997.657878025</v>
      </c>
    </row>
    <row r="58" spans="1:7" ht="15" hidden="1" customHeight="1" x14ac:dyDescent="0.3">
      <c r="A58" s="10" t="s">
        <v>148</v>
      </c>
      <c r="B58" s="11" t="s">
        <v>9</v>
      </c>
      <c r="C58" s="11">
        <v>10</v>
      </c>
      <c r="D58" s="11">
        <v>5000000</v>
      </c>
      <c r="E58" s="11">
        <v>1477281.8</v>
      </c>
      <c r="F58" s="11">
        <v>1090004.8542960137</v>
      </c>
      <c r="G58" s="12">
        <f>D58+Table841419410132427323943485356711182530394649[[#This Row],[LỢI NHUẬN RÒNG]]</f>
        <v>6090004.8542960137</v>
      </c>
    </row>
    <row r="59" spans="1:7" ht="15" hidden="1" customHeight="1" x14ac:dyDescent="0.3">
      <c r="A59" s="10" t="s">
        <v>148</v>
      </c>
      <c r="B59" s="11" t="s">
        <v>19</v>
      </c>
      <c r="C59" s="11">
        <v>10</v>
      </c>
      <c r="D59" s="11">
        <v>5000000</v>
      </c>
      <c r="E59" s="11">
        <v>1477281.8</v>
      </c>
      <c r="F59" s="11">
        <v>1090004.8542960137</v>
      </c>
      <c r="G59" s="12">
        <f>D59+Table841419410132427323943485356711182530394649[[#This Row],[LỢI NHUẬN RÒNG]]</f>
        <v>6090004.8542960137</v>
      </c>
    </row>
    <row r="60" spans="1:7" ht="15" hidden="1" customHeight="1" x14ac:dyDescent="0.3">
      <c r="A60" s="10" t="s">
        <v>148</v>
      </c>
      <c r="B60" s="11" t="s">
        <v>37</v>
      </c>
      <c r="C60" s="11">
        <v>20</v>
      </c>
      <c r="D60" s="11">
        <v>10000000</v>
      </c>
      <c r="E60" s="11">
        <v>2954563.6</v>
      </c>
      <c r="F60" s="11">
        <v>2180009.7085920274</v>
      </c>
      <c r="G60" s="12">
        <f>D60+Table841419410132427323943485356711182530394649[[#This Row],[LỢI NHUẬN RÒNG]]</f>
        <v>12180009.708592027</v>
      </c>
    </row>
    <row r="61" spans="1:7" ht="15" hidden="1" customHeight="1" x14ac:dyDescent="0.3">
      <c r="A61" s="10" t="s">
        <v>148</v>
      </c>
      <c r="B61" s="11" t="s">
        <v>33</v>
      </c>
      <c r="C61" s="11">
        <v>5</v>
      </c>
      <c r="D61" s="11">
        <v>2500000</v>
      </c>
      <c r="E61" s="11">
        <v>738640.9</v>
      </c>
      <c r="F61" s="11">
        <v>545002.42714800686</v>
      </c>
      <c r="G61" s="12">
        <f>D61+Table841419410132427323943485356711182530394649[[#This Row],[LỢI NHUẬN RÒNG]]</f>
        <v>3045002.4271480069</v>
      </c>
    </row>
    <row r="62" spans="1:7" ht="15" customHeight="1" x14ac:dyDescent="0.3">
      <c r="A62" s="10" t="s">
        <v>148</v>
      </c>
      <c r="B62" s="11" t="s">
        <v>31</v>
      </c>
      <c r="C62" s="11">
        <v>10</v>
      </c>
      <c r="D62" s="11">
        <v>5000000</v>
      </c>
      <c r="E62" s="11">
        <v>1477281.8</v>
      </c>
      <c r="F62" s="11">
        <v>1090004.8542960137</v>
      </c>
      <c r="G62" s="12">
        <f>D62+Table841419410132427323943485356711182530394649[[#This Row],[LỢI NHUẬN RÒNG]]</f>
        <v>6090004.8542960137</v>
      </c>
    </row>
    <row r="63" spans="1:7" ht="15" hidden="1" customHeight="1" x14ac:dyDescent="0.3">
      <c r="A63" s="10" t="s">
        <v>148</v>
      </c>
      <c r="B63" s="11" t="s">
        <v>21</v>
      </c>
      <c r="C63" s="11">
        <v>10</v>
      </c>
      <c r="D63" s="11">
        <v>5000000</v>
      </c>
      <c r="E63" s="11">
        <v>1477281.8</v>
      </c>
      <c r="F63" s="11">
        <v>1090004.8542960137</v>
      </c>
      <c r="G63" s="12">
        <f>D63+Table841419410132427323943485356711182530394649[[#This Row],[LỢI NHUẬN RÒNG]]</f>
        <v>6090004.8542960137</v>
      </c>
    </row>
    <row r="64" spans="1:7" ht="15" hidden="1" customHeight="1" x14ac:dyDescent="0.3">
      <c r="A64" s="10" t="s">
        <v>148</v>
      </c>
      <c r="B64" s="11" t="s">
        <v>10</v>
      </c>
      <c r="C64" s="11">
        <v>10</v>
      </c>
      <c r="D64" s="11">
        <v>5000000</v>
      </c>
      <c r="E64" s="11">
        <v>1477281.8</v>
      </c>
      <c r="F64" s="11">
        <v>1090004.8542960137</v>
      </c>
      <c r="G64" s="12">
        <f>D64+Table841419410132427323943485356711182530394649[[#This Row],[LỢI NHUẬN RÒNG]]</f>
        <v>6090004.8542960137</v>
      </c>
    </row>
    <row r="65" spans="1:7" ht="15" hidden="1" customHeight="1" x14ac:dyDescent="0.3">
      <c r="A65" s="10" t="s">
        <v>148</v>
      </c>
      <c r="B65" s="11" t="s">
        <v>29</v>
      </c>
      <c r="C65" s="11">
        <v>5</v>
      </c>
      <c r="D65" s="11">
        <v>2500000</v>
      </c>
      <c r="E65" s="11">
        <v>738640.9</v>
      </c>
      <c r="F65" s="11">
        <v>545002.42714800686</v>
      </c>
      <c r="G65" s="12">
        <f>D65+Table841419410132427323943485356711182530394649[[#This Row],[LỢI NHUẬN RÒNG]]</f>
        <v>3045002.4271480069</v>
      </c>
    </row>
    <row r="66" spans="1:7" ht="15" hidden="1" customHeight="1" x14ac:dyDescent="0.3">
      <c r="A66" s="10" t="s">
        <v>148</v>
      </c>
      <c r="B66" s="11" t="s">
        <v>43</v>
      </c>
      <c r="C66" s="11">
        <v>10</v>
      </c>
      <c r="D66" s="11">
        <v>5000000</v>
      </c>
      <c r="E66" s="11">
        <v>1477281.8</v>
      </c>
      <c r="F66" s="11">
        <v>1090004.8542960137</v>
      </c>
      <c r="G66" s="12">
        <f>D66+Table841419410132427323943485356711182530394649[[#This Row],[LỢI NHUẬN RÒNG]]</f>
        <v>6090004.8542960137</v>
      </c>
    </row>
    <row r="67" spans="1:7" ht="15" hidden="1" customHeight="1" x14ac:dyDescent="0.3">
      <c r="A67" s="10" t="s">
        <v>148</v>
      </c>
      <c r="B67" s="11" t="s">
        <v>25</v>
      </c>
      <c r="C67" s="11">
        <v>10</v>
      </c>
      <c r="D67" s="18">
        <v>5000000</v>
      </c>
      <c r="E67" s="18">
        <v>1477281.8</v>
      </c>
      <c r="F67" s="18">
        <v>1090004.8542960137</v>
      </c>
      <c r="G67" s="12">
        <f>D67+Table841419410132427323943485356711182530394649[[#This Row],[LỢI NHUẬN RÒNG]]</f>
        <v>6090004.8542960137</v>
      </c>
    </row>
    <row r="68" spans="1:7" ht="15" hidden="1" customHeight="1" x14ac:dyDescent="0.3">
      <c r="A68" s="10" t="s">
        <v>162</v>
      </c>
      <c r="B68" s="11" t="s">
        <v>9</v>
      </c>
      <c r="C68" s="11">
        <v>20</v>
      </c>
      <c r="D68" s="11">
        <v>11200000</v>
      </c>
      <c r="E68" s="11">
        <v>3509660</v>
      </c>
      <c r="F68" s="11">
        <v>1227546.7205433368</v>
      </c>
      <c r="G68" s="12">
        <f>D68+Table841419410132427323943485356711182530394649[[#This Row],[LỢI NHUẬN RÒNG]]</f>
        <v>12427546.720543336</v>
      </c>
    </row>
    <row r="69" spans="1:7" ht="15" hidden="1" customHeight="1" x14ac:dyDescent="0.3">
      <c r="A69" s="10" t="s">
        <v>162</v>
      </c>
      <c r="B69" s="11" t="s">
        <v>19</v>
      </c>
      <c r="C69" s="11">
        <v>10</v>
      </c>
      <c r="D69" s="11">
        <v>5600000</v>
      </c>
      <c r="E69" s="11">
        <v>1754830</v>
      </c>
      <c r="F69" s="11">
        <v>613773.36027166841</v>
      </c>
      <c r="G69" s="12">
        <f>D69+Table841419410132427323943485356711182530394649[[#This Row],[LỢI NHUẬN RÒNG]]</f>
        <v>6213773.3602716681</v>
      </c>
    </row>
    <row r="70" spans="1:7" ht="15" hidden="1" customHeight="1" x14ac:dyDescent="0.3">
      <c r="A70" s="10" t="s">
        <v>162</v>
      </c>
      <c r="B70" s="11" t="s">
        <v>37</v>
      </c>
      <c r="C70" s="11">
        <v>20</v>
      </c>
      <c r="D70" s="11">
        <v>11200000</v>
      </c>
      <c r="E70" s="11">
        <v>3509660</v>
      </c>
      <c r="F70" s="11">
        <v>1227546.7205433368</v>
      </c>
      <c r="G70" s="12">
        <f>D70+Table841419410132427323943485356711182530394649[[#This Row],[LỢI NHUẬN RÒNG]]</f>
        <v>12427546.720543336</v>
      </c>
    </row>
    <row r="71" spans="1:7" ht="15" hidden="1" customHeight="1" x14ac:dyDescent="0.3">
      <c r="A71" s="10" t="s">
        <v>162</v>
      </c>
      <c r="B71" s="11" t="s">
        <v>33</v>
      </c>
      <c r="C71" s="11">
        <v>10</v>
      </c>
      <c r="D71" s="11">
        <v>5600000</v>
      </c>
      <c r="E71" s="11">
        <v>1754830</v>
      </c>
      <c r="F71" s="11">
        <v>613773.36027166841</v>
      </c>
      <c r="G71" s="12">
        <f>D71+Table841419410132427323943485356711182530394649[[#This Row],[LỢI NHUẬN RÒNG]]</f>
        <v>6213773.3602716681</v>
      </c>
    </row>
    <row r="72" spans="1:7" ht="15" customHeight="1" x14ac:dyDescent="0.3">
      <c r="A72" s="10" t="s">
        <v>162</v>
      </c>
      <c r="B72" s="11" t="s">
        <v>31</v>
      </c>
      <c r="C72" s="11">
        <v>5</v>
      </c>
      <c r="D72" s="11">
        <v>2800000</v>
      </c>
      <c r="E72" s="11">
        <v>877415</v>
      </c>
      <c r="F72" s="11">
        <v>306886.68013583421</v>
      </c>
      <c r="G72" s="12">
        <f>D72+Table841419410132427323943485356711182530394649[[#This Row],[LỢI NHUẬN RÒNG]]</f>
        <v>3106886.680135834</v>
      </c>
    </row>
    <row r="73" spans="1:7" ht="15" hidden="1" customHeight="1" x14ac:dyDescent="0.3">
      <c r="A73" s="10" t="s">
        <v>162</v>
      </c>
      <c r="B73" s="11" t="s">
        <v>21</v>
      </c>
      <c r="C73" s="11">
        <v>10</v>
      </c>
      <c r="D73" s="11">
        <v>5600000</v>
      </c>
      <c r="E73" s="11">
        <v>1754830</v>
      </c>
      <c r="F73" s="11">
        <v>613773.36027166841</v>
      </c>
      <c r="G73" s="12">
        <f>D73+Table841419410132427323943485356711182530394649[[#This Row],[LỢI NHUẬN RÒNG]]</f>
        <v>6213773.3602716681</v>
      </c>
    </row>
    <row r="74" spans="1:7" ht="15" hidden="1" customHeight="1" x14ac:dyDescent="0.3">
      <c r="A74" s="10" t="s">
        <v>162</v>
      </c>
      <c r="B74" s="11" t="s">
        <v>13</v>
      </c>
      <c r="C74" s="11">
        <v>5</v>
      </c>
      <c r="D74" s="11">
        <v>2800000</v>
      </c>
      <c r="E74" s="11">
        <v>877415</v>
      </c>
      <c r="F74" s="11">
        <v>306886.68013583421</v>
      </c>
      <c r="G74" s="12">
        <f>D74+Table841419410132427323943485356711182530394649[[#This Row],[LỢI NHUẬN RÒNG]]</f>
        <v>3106886.680135834</v>
      </c>
    </row>
    <row r="75" spans="1:7" ht="15" hidden="1" customHeight="1" x14ac:dyDescent="0.3">
      <c r="A75" s="10" t="s">
        <v>162</v>
      </c>
      <c r="B75" s="11" t="s">
        <v>29</v>
      </c>
      <c r="C75" s="11">
        <v>10</v>
      </c>
      <c r="D75" s="11">
        <v>5600000</v>
      </c>
      <c r="E75" s="11">
        <v>1754830</v>
      </c>
      <c r="F75" s="11">
        <v>613773.36027166841</v>
      </c>
      <c r="G75" s="12">
        <f>D75+Table841419410132427323943485356711182530394649[[#This Row],[LỢI NHUẬN RÒNG]]</f>
        <v>6213773.3602716681</v>
      </c>
    </row>
    <row r="76" spans="1:7" ht="15" hidden="1" customHeight="1" x14ac:dyDescent="0.3">
      <c r="A76" s="10" t="s">
        <v>162</v>
      </c>
      <c r="B76" s="11" t="s">
        <v>161</v>
      </c>
      <c r="C76" s="11">
        <v>10</v>
      </c>
      <c r="D76" s="11">
        <v>5600000</v>
      </c>
      <c r="E76" s="11">
        <v>1754830</v>
      </c>
      <c r="F76" s="11">
        <v>613773.36027166841</v>
      </c>
      <c r="G76" s="12">
        <f>D76+Table841419410132427323943485356711182530394649[[#This Row],[LỢI NHUẬN RÒNG]]</f>
        <v>6213773.3602716681</v>
      </c>
    </row>
    <row r="77" spans="1:7" ht="15" hidden="1" customHeight="1" x14ac:dyDescent="0.3">
      <c r="A77" s="10" t="s">
        <v>163</v>
      </c>
      <c r="B77" s="11" t="s">
        <v>9</v>
      </c>
      <c r="C77" s="11">
        <v>20</v>
      </c>
      <c r="D77" s="11">
        <v>4400000</v>
      </c>
      <c r="E77" s="11">
        <v>1919364.2</v>
      </c>
      <c r="F77" s="11">
        <v>572047.06568434532</v>
      </c>
      <c r="G77" s="12">
        <f>D77+Table841419410132427323943485356711182530394649[[#This Row],[LỢI NHUẬN RÒNG]]</f>
        <v>4972047.0656843456</v>
      </c>
    </row>
    <row r="78" spans="1:7" ht="15" hidden="1" customHeight="1" x14ac:dyDescent="0.3">
      <c r="A78" s="10" t="s">
        <v>163</v>
      </c>
      <c r="B78" s="11" t="s">
        <v>19</v>
      </c>
      <c r="C78" s="11">
        <v>10</v>
      </c>
      <c r="D78" s="11">
        <v>2200000</v>
      </c>
      <c r="E78" s="11">
        <v>959682.1</v>
      </c>
      <c r="F78" s="11">
        <v>286023.53284217266</v>
      </c>
      <c r="G78" s="12">
        <f>D78+Table841419410132427323943485356711182530394649[[#This Row],[LỢI NHUẬN RÒNG]]</f>
        <v>2486023.5328421728</v>
      </c>
    </row>
    <row r="79" spans="1:7" ht="15" hidden="1" customHeight="1" x14ac:dyDescent="0.3">
      <c r="A79" s="10" t="s">
        <v>163</v>
      </c>
      <c r="B79" s="11" t="s">
        <v>37</v>
      </c>
      <c r="C79" s="11">
        <v>20</v>
      </c>
      <c r="D79" s="11">
        <v>4400000</v>
      </c>
      <c r="E79" s="11">
        <v>1919364.2</v>
      </c>
      <c r="F79" s="11">
        <v>572047.06568434532</v>
      </c>
      <c r="G79" s="12">
        <f>D79+Table841419410132427323943485356711182530394649[[#This Row],[LỢI NHUẬN RÒNG]]</f>
        <v>4972047.0656843456</v>
      </c>
    </row>
    <row r="80" spans="1:7" ht="15" hidden="1" customHeight="1" x14ac:dyDescent="0.3">
      <c r="A80" s="10" t="s">
        <v>163</v>
      </c>
      <c r="B80" s="11" t="s">
        <v>33</v>
      </c>
      <c r="C80" s="11">
        <v>10</v>
      </c>
      <c r="D80" s="11">
        <v>2200000</v>
      </c>
      <c r="E80" s="11">
        <v>959682.1</v>
      </c>
      <c r="F80" s="11">
        <v>286023.53284217266</v>
      </c>
      <c r="G80" s="12">
        <f>D80+Table841419410132427323943485356711182530394649[[#This Row],[LỢI NHUẬN RÒNG]]</f>
        <v>2486023.5328421728</v>
      </c>
    </row>
    <row r="81" spans="1:7" ht="15" customHeight="1" x14ac:dyDescent="0.3">
      <c r="A81" s="10" t="s">
        <v>163</v>
      </c>
      <c r="B81" s="11" t="s">
        <v>31</v>
      </c>
      <c r="C81" s="11">
        <v>5</v>
      </c>
      <c r="D81" s="11">
        <v>1100000</v>
      </c>
      <c r="E81" s="11">
        <v>479841.05</v>
      </c>
      <c r="F81" s="11">
        <v>143011.76642108633</v>
      </c>
      <c r="G81" s="12">
        <f>D81+Table841419410132427323943485356711182530394649[[#This Row],[LỢI NHUẬN RÒNG]]</f>
        <v>1243011.7664210864</v>
      </c>
    </row>
    <row r="82" spans="1:7" ht="15" hidden="1" customHeight="1" x14ac:dyDescent="0.3">
      <c r="A82" s="10" t="s">
        <v>163</v>
      </c>
      <c r="B82" s="11" t="s">
        <v>21</v>
      </c>
      <c r="C82" s="11">
        <v>10</v>
      </c>
      <c r="D82" s="11">
        <v>2200000</v>
      </c>
      <c r="E82" s="11">
        <v>959682.1</v>
      </c>
      <c r="F82" s="11">
        <v>286023.53284217266</v>
      </c>
      <c r="G82" s="12">
        <f>D82+Table841419410132427323943485356711182530394649[[#This Row],[LỢI NHUẬN RÒNG]]</f>
        <v>2486023.5328421728</v>
      </c>
    </row>
    <row r="83" spans="1:7" ht="15" hidden="1" customHeight="1" x14ac:dyDescent="0.3">
      <c r="A83" s="10" t="s">
        <v>163</v>
      </c>
      <c r="B83" s="11" t="s">
        <v>13</v>
      </c>
      <c r="C83" s="11">
        <v>5</v>
      </c>
      <c r="D83" s="11">
        <v>1100000</v>
      </c>
      <c r="E83" s="11">
        <v>479841.05</v>
      </c>
      <c r="F83" s="11">
        <v>143011.76642108633</v>
      </c>
      <c r="G83" s="12">
        <f>D83+Table841419410132427323943485356711182530394649[[#This Row],[LỢI NHUẬN RÒNG]]</f>
        <v>1243011.7664210864</v>
      </c>
    </row>
    <row r="84" spans="1:7" ht="15" hidden="1" customHeight="1" x14ac:dyDescent="0.3">
      <c r="A84" s="10" t="s">
        <v>163</v>
      </c>
      <c r="B84" s="11" t="s">
        <v>29</v>
      </c>
      <c r="C84" s="11">
        <v>10</v>
      </c>
      <c r="D84" s="11">
        <v>2200000</v>
      </c>
      <c r="E84" s="11">
        <v>959682.1</v>
      </c>
      <c r="F84" s="11">
        <v>286023.53284217266</v>
      </c>
      <c r="G84" s="12">
        <f>D84+Table841419410132427323943485356711182530394649[[#This Row],[LỢI NHUẬN RÒNG]]</f>
        <v>2486023.5328421728</v>
      </c>
    </row>
    <row r="85" spans="1:7" ht="15" hidden="1" customHeight="1" x14ac:dyDescent="0.3">
      <c r="A85" s="10" t="s">
        <v>163</v>
      </c>
      <c r="B85" s="11" t="s">
        <v>161</v>
      </c>
      <c r="C85" s="11">
        <v>10</v>
      </c>
      <c r="D85" s="11">
        <v>2200000</v>
      </c>
      <c r="E85" s="11">
        <v>959682.1</v>
      </c>
      <c r="F85" s="11">
        <v>286023.53284217266</v>
      </c>
      <c r="G85" s="12">
        <f>D85+Table841419410132427323943485356711182530394649[[#This Row],[LỢI NHUẬN RÒNG]]</f>
        <v>2486023.5328421728</v>
      </c>
    </row>
    <row r="86" spans="1:7" ht="15" hidden="1" customHeight="1" x14ac:dyDescent="0.3">
      <c r="A86" s="20" t="s">
        <v>164</v>
      </c>
      <c r="B86" s="11" t="s">
        <v>9</v>
      </c>
      <c r="C86" s="21">
        <v>10</v>
      </c>
      <c r="D86" s="21">
        <v>2400000</v>
      </c>
      <c r="E86" s="21">
        <v>752547.2</v>
      </c>
      <c r="F86" s="21">
        <v>327663.25828794239</v>
      </c>
      <c r="G86" s="12">
        <f>D86+Table841419410132427323943485356711182530394649[[#This Row],[LỢI NHUẬN RÒNG]]</f>
        <v>2727663.2582879425</v>
      </c>
    </row>
    <row r="87" spans="1:7" ht="15" hidden="1" customHeight="1" x14ac:dyDescent="0.3">
      <c r="A87" s="22" t="s">
        <v>164</v>
      </c>
      <c r="B87" s="11" t="s">
        <v>19</v>
      </c>
      <c r="C87" s="21">
        <v>10</v>
      </c>
      <c r="D87" s="21">
        <v>2400000</v>
      </c>
      <c r="E87" s="21">
        <v>752547.2</v>
      </c>
      <c r="F87" s="21">
        <v>327663.25828794239</v>
      </c>
      <c r="G87" s="12">
        <f>D87+Table841419410132427323943485356711182530394649[[#This Row],[LỢI NHUẬN RÒNG]]</f>
        <v>2727663.2582879425</v>
      </c>
    </row>
    <row r="88" spans="1:7" hidden="1" x14ac:dyDescent="0.3">
      <c r="A88" s="20" t="s">
        <v>164</v>
      </c>
      <c r="B88" s="11" t="s">
        <v>37</v>
      </c>
      <c r="C88" s="21">
        <v>10</v>
      </c>
      <c r="D88" s="21">
        <v>2400000</v>
      </c>
      <c r="E88" s="21">
        <v>752547.2</v>
      </c>
      <c r="F88" s="21">
        <v>327663.25828794239</v>
      </c>
      <c r="G88" s="12">
        <f>D88+Table841419410132427323943485356711182530394649[[#This Row],[LỢI NHUẬN RÒNG]]</f>
        <v>2727663.2582879425</v>
      </c>
    </row>
    <row r="89" spans="1:7" hidden="1" x14ac:dyDescent="0.3">
      <c r="A89" s="22" t="s">
        <v>164</v>
      </c>
      <c r="B89" s="11" t="s">
        <v>33</v>
      </c>
      <c r="C89" s="21">
        <v>10</v>
      </c>
      <c r="D89" s="21">
        <v>2400000</v>
      </c>
      <c r="E89" s="21">
        <v>752547.2</v>
      </c>
      <c r="F89" s="21">
        <v>327663.25828794239</v>
      </c>
      <c r="G89" s="12">
        <f>D89+Table841419410132427323943485356711182530394649[[#This Row],[LỢI NHUẬN RÒNG]]</f>
        <v>2727663.2582879425</v>
      </c>
    </row>
    <row r="90" spans="1:7" x14ac:dyDescent="0.3">
      <c r="A90" s="20" t="s">
        <v>164</v>
      </c>
      <c r="B90" s="11" t="s">
        <v>31</v>
      </c>
      <c r="C90" s="21">
        <v>10</v>
      </c>
      <c r="D90" s="21">
        <v>2400000</v>
      </c>
      <c r="E90" s="21">
        <v>752547.2</v>
      </c>
      <c r="F90" s="21">
        <v>327663.25828794239</v>
      </c>
      <c r="G90" s="12">
        <f>D90+Table841419410132427323943485356711182530394649[[#This Row],[LỢI NHUẬN RÒNG]]</f>
        <v>2727663.2582879425</v>
      </c>
    </row>
    <row r="91" spans="1:7" hidden="1" x14ac:dyDescent="0.3">
      <c r="A91" s="22" t="s">
        <v>164</v>
      </c>
      <c r="B91" s="11" t="s">
        <v>21</v>
      </c>
      <c r="C91" s="21">
        <v>10</v>
      </c>
      <c r="D91" s="21">
        <v>2400000</v>
      </c>
      <c r="E91" s="21">
        <v>752547.2</v>
      </c>
      <c r="F91" s="21">
        <v>327663.25828794239</v>
      </c>
      <c r="G91" s="12">
        <f>D91+Table841419410132427323943485356711182530394649[[#This Row],[LỢI NHUẬN RÒNG]]</f>
        <v>2727663.2582879425</v>
      </c>
    </row>
    <row r="92" spans="1:7" hidden="1" x14ac:dyDescent="0.3">
      <c r="A92" s="20" t="s">
        <v>164</v>
      </c>
      <c r="B92" s="11" t="s">
        <v>13</v>
      </c>
      <c r="C92" s="21">
        <v>10</v>
      </c>
      <c r="D92" s="21">
        <v>2400000</v>
      </c>
      <c r="E92" s="21">
        <v>752547.2</v>
      </c>
      <c r="F92" s="21">
        <v>327663.25828794239</v>
      </c>
      <c r="G92" s="12">
        <f>D92+Table841419410132427323943485356711182530394649[[#This Row],[LỢI NHUẬN RÒNG]]</f>
        <v>2727663.2582879425</v>
      </c>
    </row>
    <row r="93" spans="1:7" hidden="1" x14ac:dyDescent="0.3">
      <c r="A93" s="22" t="s">
        <v>164</v>
      </c>
      <c r="B93" s="11" t="s">
        <v>29</v>
      </c>
      <c r="C93" s="21">
        <v>10</v>
      </c>
      <c r="D93" s="21">
        <v>2400000</v>
      </c>
      <c r="E93" s="21">
        <v>752547.2</v>
      </c>
      <c r="F93" s="21">
        <v>327663.25828794239</v>
      </c>
      <c r="G93" s="12">
        <f>D93+Table841419410132427323943485356711182530394649[[#This Row],[LỢI NHUẬN RÒNG]]</f>
        <v>2727663.2582879425</v>
      </c>
    </row>
    <row r="94" spans="1:7" hidden="1" x14ac:dyDescent="0.3">
      <c r="A94" s="20" t="s">
        <v>164</v>
      </c>
      <c r="B94" s="11" t="s">
        <v>43</v>
      </c>
      <c r="C94" s="21">
        <v>10</v>
      </c>
      <c r="D94" s="21">
        <v>2400000</v>
      </c>
      <c r="E94" s="21">
        <v>752547.2</v>
      </c>
      <c r="F94" s="21">
        <v>327663.25828794239</v>
      </c>
      <c r="G94" s="12">
        <f>D94+Table841419410132427323943485356711182530394649[[#This Row],[LỢI NHUẬN RÒNG]]</f>
        <v>2727663.2582879425</v>
      </c>
    </row>
    <row r="95" spans="1:7" hidden="1" x14ac:dyDescent="0.3">
      <c r="A95" s="23" t="s">
        <v>164</v>
      </c>
      <c r="B95" s="11" t="s">
        <v>161</v>
      </c>
      <c r="C95" s="21">
        <v>10</v>
      </c>
      <c r="D95" s="21">
        <v>2400000</v>
      </c>
      <c r="E95" s="21">
        <v>752547.2</v>
      </c>
      <c r="F95" s="21">
        <v>327663.25828794239</v>
      </c>
      <c r="G95" s="12">
        <f>D95+Table841419410132427323943485356711182530394649[[#This Row],[LỢI NHUẬN RÒNG]]</f>
        <v>2727663.2582879425</v>
      </c>
    </row>
    <row r="96" spans="1:7" hidden="1" x14ac:dyDescent="0.3">
      <c r="A96" s="23" t="s">
        <v>165</v>
      </c>
      <c r="B96" s="11" t="s">
        <v>9</v>
      </c>
      <c r="C96" s="21">
        <v>15</v>
      </c>
      <c r="D96" s="21">
        <v>4200000</v>
      </c>
      <c r="E96" s="21">
        <v>2260242.15</v>
      </c>
      <c r="F96" s="21">
        <v>1723418.3642091996</v>
      </c>
      <c r="G96" s="12">
        <f>D96+Table841419410132427323943485356711182530394649[[#This Row],[LỢI NHUẬN RÒNG]]</f>
        <v>5923418.3642091993</v>
      </c>
    </row>
    <row r="97" spans="1:7" hidden="1" x14ac:dyDescent="0.3">
      <c r="A97" s="23" t="s">
        <v>165</v>
      </c>
      <c r="B97" s="11" t="s">
        <v>37</v>
      </c>
      <c r="C97" s="21">
        <v>20</v>
      </c>
      <c r="D97" s="21">
        <v>5600000</v>
      </c>
      <c r="E97" s="21">
        <v>3013656.2</v>
      </c>
      <c r="F97" s="21">
        <v>2297891.1522789327</v>
      </c>
      <c r="G97" s="12">
        <f>D97+Table841419410132427323943485356711182530394649[[#This Row],[LỢI NHUẬN RÒNG]]</f>
        <v>7897891.1522789327</v>
      </c>
    </row>
    <row r="98" spans="1:7" hidden="1" x14ac:dyDescent="0.3">
      <c r="A98" s="23" t="s">
        <v>165</v>
      </c>
      <c r="B98" s="11" t="s">
        <v>33</v>
      </c>
      <c r="C98" s="21">
        <v>5</v>
      </c>
      <c r="D98" s="21">
        <v>1400000</v>
      </c>
      <c r="E98" s="21">
        <v>753414.05</v>
      </c>
      <c r="F98" s="21">
        <v>574472.78806973319</v>
      </c>
      <c r="G98" s="12">
        <f>D98+Table841419410132427323943485356711182530394649[[#This Row],[LỢI NHUẬN RÒNG]]</f>
        <v>1974472.7880697332</v>
      </c>
    </row>
    <row r="99" spans="1:7" hidden="1" x14ac:dyDescent="0.3">
      <c r="A99" s="23" t="s">
        <v>165</v>
      </c>
      <c r="B99" s="27" t="s">
        <v>46</v>
      </c>
      <c r="C99" s="21">
        <v>10</v>
      </c>
      <c r="D99" s="21">
        <v>2800000</v>
      </c>
      <c r="E99" s="21">
        <v>1506828.1</v>
      </c>
      <c r="F99" s="21">
        <v>1148945.5761394664</v>
      </c>
      <c r="G99" s="12">
        <f>D99+Table841419410132427323943485356711182530394649[[#This Row],[LỢI NHUẬN RÒNG]]</f>
        <v>3948945.5761394664</v>
      </c>
    </row>
    <row r="100" spans="1:7" hidden="1" x14ac:dyDescent="0.3">
      <c r="A100" s="23" t="s">
        <v>165</v>
      </c>
      <c r="B100" s="11" t="s">
        <v>21</v>
      </c>
      <c r="C100" s="21">
        <v>15</v>
      </c>
      <c r="D100" s="21">
        <v>4200000</v>
      </c>
      <c r="E100" s="21">
        <v>2260242.15</v>
      </c>
      <c r="F100" s="21">
        <v>1723418.3642091996</v>
      </c>
      <c r="G100" s="12">
        <f>D100+Table841419410132427323943485356711182530394649[[#This Row],[LỢI NHUẬN RÒNG]]</f>
        <v>5923418.3642091993</v>
      </c>
    </row>
    <row r="101" spans="1:7" hidden="1" x14ac:dyDescent="0.3">
      <c r="A101" s="23" t="s">
        <v>165</v>
      </c>
      <c r="B101" s="11" t="s">
        <v>10</v>
      </c>
      <c r="C101" s="21">
        <v>5</v>
      </c>
      <c r="D101" s="21">
        <v>1400000</v>
      </c>
      <c r="E101" s="21">
        <v>753414.05</v>
      </c>
      <c r="F101" s="21">
        <v>574472.78806973319</v>
      </c>
      <c r="G101" s="12">
        <f>D101+Table841419410132427323943485356711182530394649[[#This Row],[LỢI NHUẬN RÒNG]]</f>
        <v>1974472.7880697332</v>
      </c>
    </row>
    <row r="102" spans="1:7" hidden="1" x14ac:dyDescent="0.3">
      <c r="A102" s="23" t="s">
        <v>165</v>
      </c>
      <c r="B102" s="11" t="s">
        <v>29</v>
      </c>
      <c r="C102" s="21">
        <v>5</v>
      </c>
      <c r="D102" s="21">
        <v>1400000</v>
      </c>
      <c r="E102" s="21">
        <v>753414.05</v>
      </c>
      <c r="F102" s="21">
        <v>574472.78806973319</v>
      </c>
      <c r="G102" s="12">
        <f>D102+Table841419410132427323943485356711182530394649[[#This Row],[LỢI NHUẬN RÒNG]]</f>
        <v>1974472.7880697332</v>
      </c>
    </row>
    <row r="103" spans="1:7" hidden="1" x14ac:dyDescent="0.3">
      <c r="A103" s="23" t="s">
        <v>165</v>
      </c>
      <c r="B103" s="11" t="s">
        <v>25</v>
      </c>
      <c r="C103" s="21">
        <v>15</v>
      </c>
      <c r="D103" s="21">
        <v>4200000</v>
      </c>
      <c r="E103" s="21">
        <v>2260242.15</v>
      </c>
      <c r="F103" s="21">
        <v>1723418.3642091996</v>
      </c>
      <c r="G103" s="12">
        <f>D103+Table841419410132427323943485356711182530394649[[#This Row],[LỢI NHUẬN RÒNG]]</f>
        <v>5923418.3642091993</v>
      </c>
    </row>
    <row r="104" spans="1:7" hidden="1" x14ac:dyDescent="0.3">
      <c r="A104" s="23" t="s">
        <v>165</v>
      </c>
      <c r="B104" s="11" t="s">
        <v>166</v>
      </c>
      <c r="C104" s="21">
        <v>10</v>
      </c>
      <c r="D104" s="21">
        <v>2800000</v>
      </c>
      <c r="E104" s="21">
        <v>1506828.1</v>
      </c>
      <c r="F104" s="21">
        <v>1148945.5761394664</v>
      </c>
      <c r="G104" s="12">
        <f>D104+Table841419410132427323943485356711182530394649[[#This Row],[LỢI NHUẬN RÒNG]]</f>
        <v>3948945.5761394664</v>
      </c>
    </row>
    <row r="105" spans="1:7" hidden="1" x14ac:dyDescent="0.3">
      <c r="A105" s="23" t="s">
        <v>171</v>
      </c>
      <c r="B105" s="11" t="s">
        <v>9</v>
      </c>
      <c r="C105" s="21">
        <v>20</v>
      </c>
      <c r="D105" s="21"/>
      <c r="E105" s="21"/>
      <c r="F105" s="21"/>
      <c r="G105" s="12">
        <v>16652921.550217077</v>
      </c>
    </row>
    <row r="106" spans="1:7" hidden="1" x14ac:dyDescent="0.3">
      <c r="A106" s="23" t="s">
        <v>171</v>
      </c>
      <c r="B106" s="11" t="s">
        <v>19</v>
      </c>
      <c r="C106" s="21">
        <v>10</v>
      </c>
      <c r="D106" s="21"/>
      <c r="E106" s="21"/>
      <c r="F106" s="21"/>
      <c r="G106" s="12">
        <v>8326460.7751085386</v>
      </c>
    </row>
    <row r="107" spans="1:7" hidden="1" x14ac:dyDescent="0.3">
      <c r="A107" s="23" t="s">
        <v>171</v>
      </c>
      <c r="B107" s="11" t="s">
        <v>37</v>
      </c>
      <c r="C107" s="21">
        <v>20</v>
      </c>
      <c r="D107" s="21"/>
      <c r="E107" s="21"/>
      <c r="F107" s="21"/>
      <c r="G107" s="12">
        <v>16652921.550217077</v>
      </c>
    </row>
    <row r="108" spans="1:7" hidden="1" x14ac:dyDescent="0.3">
      <c r="A108" s="23" t="s">
        <v>171</v>
      </c>
      <c r="B108" s="11" t="s">
        <v>33</v>
      </c>
      <c r="C108" s="21">
        <v>5</v>
      </c>
      <c r="D108" s="21"/>
      <c r="E108" s="21"/>
      <c r="F108" s="21"/>
      <c r="G108" s="12">
        <v>4163230.3875542693</v>
      </c>
    </row>
    <row r="109" spans="1:7" x14ac:dyDescent="0.3">
      <c r="A109" s="23" t="s">
        <v>171</v>
      </c>
      <c r="B109" s="11" t="s">
        <v>31</v>
      </c>
      <c r="C109" s="21">
        <v>15</v>
      </c>
      <c r="D109" s="21"/>
      <c r="E109" s="21"/>
      <c r="F109" s="21"/>
      <c r="G109" s="12">
        <v>12489691.162662812</v>
      </c>
    </row>
    <row r="110" spans="1:7" hidden="1" x14ac:dyDescent="0.3">
      <c r="A110" s="23" t="s">
        <v>171</v>
      </c>
      <c r="B110" s="11" t="s">
        <v>21</v>
      </c>
      <c r="C110" s="21">
        <v>10</v>
      </c>
      <c r="D110" s="21"/>
      <c r="E110" s="21"/>
      <c r="F110" s="21"/>
      <c r="G110" s="12">
        <v>8326460.7751085386</v>
      </c>
    </row>
    <row r="111" spans="1:7" hidden="1" x14ac:dyDescent="0.3">
      <c r="A111" s="23" t="s">
        <v>171</v>
      </c>
      <c r="B111" s="11" t="s">
        <v>13</v>
      </c>
      <c r="C111" s="21">
        <v>5</v>
      </c>
      <c r="D111" s="21"/>
      <c r="E111" s="21"/>
      <c r="F111" s="21"/>
      <c r="G111" s="12">
        <v>4163230.3875542693</v>
      </c>
    </row>
    <row r="112" spans="1:7" hidden="1" x14ac:dyDescent="0.3">
      <c r="A112" s="23" t="s">
        <v>171</v>
      </c>
      <c r="B112" s="11" t="s">
        <v>29</v>
      </c>
      <c r="C112" s="21">
        <v>5</v>
      </c>
      <c r="D112" s="21"/>
      <c r="E112" s="21"/>
      <c r="F112" s="21"/>
      <c r="G112" s="12">
        <v>4163230.3875542693</v>
      </c>
    </row>
    <row r="113" spans="1:7" hidden="1" x14ac:dyDescent="0.3">
      <c r="A113" s="23" t="s">
        <v>171</v>
      </c>
      <c r="B113" s="11" t="s">
        <v>43</v>
      </c>
      <c r="C113" s="21">
        <v>5</v>
      </c>
      <c r="D113" s="21"/>
      <c r="E113" s="21"/>
      <c r="F113" s="21"/>
      <c r="G113" s="12">
        <v>4163230.3875542693</v>
      </c>
    </row>
    <row r="114" spans="1:7" hidden="1" x14ac:dyDescent="0.3">
      <c r="A114" s="23" t="s">
        <v>171</v>
      </c>
      <c r="B114" s="11" t="s">
        <v>25</v>
      </c>
      <c r="C114" s="21">
        <v>5</v>
      </c>
      <c r="D114" s="21"/>
      <c r="E114" s="21"/>
      <c r="F114" s="21"/>
      <c r="G114" s="12">
        <v>4163230.3875542693</v>
      </c>
    </row>
    <row r="115" spans="1:7" hidden="1" x14ac:dyDescent="0.3">
      <c r="A115" s="23" t="s">
        <v>172</v>
      </c>
      <c r="B115" s="11" t="s">
        <v>19</v>
      </c>
      <c r="C115" s="11">
        <v>15</v>
      </c>
      <c r="G115" s="12">
        <v>10210845.400289439</v>
      </c>
    </row>
    <row r="116" spans="1:7" hidden="1" x14ac:dyDescent="0.3">
      <c r="A116" s="23" t="s">
        <v>172</v>
      </c>
      <c r="B116" s="11" t="s">
        <v>33</v>
      </c>
      <c r="C116" s="11">
        <v>15</v>
      </c>
      <c r="G116" s="12">
        <v>10210845.400289439</v>
      </c>
    </row>
    <row r="117" spans="1:7" x14ac:dyDescent="0.3">
      <c r="A117" s="23" t="s">
        <v>172</v>
      </c>
      <c r="B117" s="11" t="s">
        <v>31</v>
      </c>
      <c r="C117" s="11">
        <v>15</v>
      </c>
      <c r="G117" s="12">
        <v>10210845.400289439</v>
      </c>
    </row>
    <row r="118" spans="1:7" hidden="1" x14ac:dyDescent="0.3">
      <c r="A118" s="23" t="s">
        <v>172</v>
      </c>
      <c r="B118" s="11" t="s">
        <v>10</v>
      </c>
      <c r="C118" s="11">
        <v>10</v>
      </c>
      <c r="G118" s="12">
        <v>6807230.2668596245</v>
      </c>
    </row>
    <row r="119" spans="1:7" hidden="1" x14ac:dyDescent="0.3">
      <c r="A119" s="23" t="s">
        <v>172</v>
      </c>
      <c r="B119" s="11" t="s">
        <v>13</v>
      </c>
      <c r="C119" s="11">
        <v>5</v>
      </c>
      <c r="G119" s="12">
        <v>3403615.1334298123</v>
      </c>
    </row>
    <row r="120" spans="1:7" hidden="1" x14ac:dyDescent="0.3">
      <c r="A120" s="23" t="s">
        <v>172</v>
      </c>
      <c r="B120" s="11" t="s">
        <v>29</v>
      </c>
      <c r="C120" s="21">
        <v>5</v>
      </c>
      <c r="D120" s="21"/>
      <c r="E120" s="21"/>
      <c r="F120" s="21"/>
      <c r="G120" s="12">
        <v>3403615.1334298123</v>
      </c>
    </row>
    <row r="121" spans="1:7" hidden="1" x14ac:dyDescent="0.3">
      <c r="A121" s="23" t="s">
        <v>172</v>
      </c>
      <c r="B121" s="11" t="s">
        <v>43</v>
      </c>
      <c r="C121" s="11">
        <v>25</v>
      </c>
      <c r="G121" s="12">
        <v>17018075.667149067</v>
      </c>
    </row>
    <row r="122" spans="1:7" hidden="1" x14ac:dyDescent="0.3">
      <c r="A122" s="23" t="s">
        <v>172</v>
      </c>
      <c r="B122" s="11" t="s">
        <v>44</v>
      </c>
      <c r="C122" s="11">
        <v>10</v>
      </c>
      <c r="G122" s="12">
        <v>6807230.2668596245</v>
      </c>
    </row>
    <row r="123" spans="1:7" hidden="1" x14ac:dyDescent="0.3">
      <c r="A123" s="26" t="s">
        <v>173</v>
      </c>
      <c r="B123" s="11" t="s">
        <v>9</v>
      </c>
      <c r="C123" s="11">
        <v>15</v>
      </c>
      <c r="G123" s="12">
        <v>22107497.544608101</v>
      </c>
    </row>
    <row r="124" spans="1:7" hidden="1" x14ac:dyDescent="0.3">
      <c r="A124" s="26" t="s">
        <v>173</v>
      </c>
      <c r="B124" s="11" t="s">
        <v>19</v>
      </c>
      <c r="C124" s="11">
        <v>10</v>
      </c>
      <c r="G124" s="12">
        <v>14738331.696405396</v>
      </c>
    </row>
    <row r="125" spans="1:7" hidden="1" x14ac:dyDescent="0.3">
      <c r="A125" s="26" t="s">
        <v>173</v>
      </c>
      <c r="B125" s="11" t="s">
        <v>27</v>
      </c>
      <c r="C125" s="11">
        <v>10</v>
      </c>
      <c r="G125" s="12">
        <v>14738331.696405396</v>
      </c>
    </row>
    <row r="126" spans="1:7" hidden="1" x14ac:dyDescent="0.3">
      <c r="A126" s="26" t="s">
        <v>173</v>
      </c>
      <c r="B126" s="11" t="s">
        <v>37</v>
      </c>
      <c r="C126" s="11">
        <v>20</v>
      </c>
      <c r="G126" s="12">
        <v>29476663.392810792</v>
      </c>
    </row>
    <row r="127" spans="1:7" hidden="1" x14ac:dyDescent="0.3">
      <c r="A127" s="26" t="s">
        <v>173</v>
      </c>
      <c r="B127" s="11" t="s">
        <v>33</v>
      </c>
      <c r="C127" s="21">
        <v>5</v>
      </c>
      <c r="D127" s="21"/>
      <c r="E127" s="21"/>
      <c r="F127" s="21"/>
      <c r="G127" s="12">
        <v>7369165.8482026979</v>
      </c>
    </row>
    <row r="128" spans="1:7" hidden="1" x14ac:dyDescent="0.3">
      <c r="A128" s="26" t="s">
        <v>173</v>
      </c>
      <c r="B128" s="11" t="s">
        <v>21</v>
      </c>
      <c r="C128" s="11">
        <v>15</v>
      </c>
      <c r="G128" s="12">
        <v>22107497.544608101</v>
      </c>
    </row>
    <row r="129" spans="1:7" hidden="1" x14ac:dyDescent="0.3">
      <c r="A129" s="26" t="s">
        <v>173</v>
      </c>
      <c r="B129" s="11" t="s">
        <v>13</v>
      </c>
      <c r="C129" s="11">
        <v>5</v>
      </c>
      <c r="G129" s="12">
        <v>7369165.8482026979</v>
      </c>
    </row>
    <row r="130" spans="1:7" hidden="1" x14ac:dyDescent="0.3">
      <c r="A130" s="26" t="s">
        <v>173</v>
      </c>
      <c r="B130" s="11" t="s">
        <v>29</v>
      </c>
      <c r="C130" s="11">
        <v>10</v>
      </c>
      <c r="G130" s="12">
        <v>14738331.696405396</v>
      </c>
    </row>
    <row r="131" spans="1:7" hidden="1" x14ac:dyDescent="0.3">
      <c r="A131" s="26" t="s">
        <v>173</v>
      </c>
      <c r="B131" s="11" t="s">
        <v>161</v>
      </c>
      <c r="C131" s="11">
        <v>10</v>
      </c>
      <c r="G131" s="12">
        <v>14738331.696405396</v>
      </c>
    </row>
    <row r="132" spans="1:7" hidden="1" x14ac:dyDescent="0.3">
      <c r="B132" s="24"/>
      <c r="G132" s="12">
        <f>D132+Table841419410132427323943485356711182530394649[[#This Row],[LỢI NHUẬN RÒNG]]</f>
        <v>0</v>
      </c>
    </row>
    <row r="133" spans="1:7" hidden="1" x14ac:dyDescent="0.3">
      <c r="G133" s="12">
        <f>D133+Table841419410132427323943485356711182530394649[[#This Row],[LỢI NHUẬN RÒNG]]</f>
        <v>0</v>
      </c>
    </row>
    <row r="134" spans="1:7" hidden="1" x14ac:dyDescent="0.3">
      <c r="G134" s="12">
        <f>D134+Table841419410132427323943485356711182530394649[[#This Row],[LỢI NHUẬN RÒNG]]</f>
        <v>0</v>
      </c>
    </row>
    <row r="135" spans="1:7" hidden="1" x14ac:dyDescent="0.3">
      <c r="G135" s="12">
        <f>D135+Table841419410132427323943485356711182530394649[[#This Row],[LỢI NHUẬN RÒNG]]</f>
        <v>0</v>
      </c>
    </row>
    <row r="136" spans="1:7" hidden="1" x14ac:dyDescent="0.3">
      <c r="B136" s="21"/>
      <c r="G136" s="12">
        <f>D136+Table841419410132427323943485356711182530394649[[#This Row],[LỢI NHUẬN RÒNG]]</f>
        <v>0</v>
      </c>
    </row>
    <row r="137" spans="1:7" hidden="1" x14ac:dyDescent="0.3">
      <c r="G137" s="12">
        <f>D137+Table841419410132427323943485356711182530394649[[#This Row],[LỢI NHUẬN RÒNG]]</f>
        <v>0</v>
      </c>
    </row>
    <row r="138" spans="1:7" hidden="1" x14ac:dyDescent="0.3">
      <c r="G138" s="12">
        <f>D138+Table841419410132427323943485356711182530394649[[#This Row],[LỢI NHUẬN RÒNG]]</f>
        <v>0</v>
      </c>
    </row>
    <row r="139" spans="1:7" hidden="1" x14ac:dyDescent="0.3">
      <c r="G139" s="12">
        <f>D139+Table841419410132427323943485356711182530394649[[#This Row],[LỢI NHUẬN RÒNG]]</f>
        <v>0</v>
      </c>
    </row>
    <row r="140" spans="1:7" hidden="1" x14ac:dyDescent="0.3">
      <c r="B140" s="24"/>
      <c r="G140" s="12">
        <f>D140+Table841419410132427323943485356711182530394649[[#This Row],[LỢI NHUẬN RÒNG]]</f>
        <v>0</v>
      </c>
    </row>
    <row r="141" spans="1:7" hidden="1" x14ac:dyDescent="0.3">
      <c r="B141" s="24"/>
      <c r="C141" s="21"/>
      <c r="D141" s="21"/>
      <c r="E141" s="21"/>
      <c r="F141" s="21"/>
      <c r="G141" s="12">
        <f>D141+Table841419410132427323943485356711182530394649[[#This Row],[LỢI NHUẬN RÒNG]]</f>
        <v>0</v>
      </c>
    </row>
    <row r="142" spans="1:7" hidden="1" x14ac:dyDescent="0.3">
      <c r="B142" s="24"/>
      <c r="C142" s="21"/>
      <c r="D142" s="21"/>
      <c r="E142" s="21"/>
      <c r="F142" s="21"/>
      <c r="G142" s="12">
        <f>D142+Table841419410132427323943485356711182530394649[[#This Row],[LỢI NHUẬN RÒNG]]</f>
        <v>0</v>
      </c>
    </row>
    <row r="143" spans="1:7" hidden="1" x14ac:dyDescent="0.3">
      <c r="B143" s="21"/>
      <c r="C143" s="21"/>
      <c r="D143" s="21"/>
      <c r="E143" s="21"/>
      <c r="F143" s="21"/>
      <c r="G143" s="12">
        <f>D143+Table841419410132427323943485356711182530394649[[#This Row],[LỢI NHUẬN RÒNG]]</f>
        <v>0</v>
      </c>
    </row>
    <row r="144" spans="1:7" hidden="1" x14ac:dyDescent="0.3">
      <c r="A144" s="23"/>
      <c r="C144" s="21"/>
      <c r="D144" s="21"/>
      <c r="E144" s="21"/>
      <c r="F144" s="21"/>
      <c r="G144" s="12">
        <f>D144+Table841419410132427323943485356711182530394649[[#This Row],[LỢI NHUẬN RÒNG]]</f>
        <v>0</v>
      </c>
    </row>
    <row r="145" spans="1:10" hidden="1" x14ac:dyDescent="0.3">
      <c r="A145" s="23"/>
      <c r="B145" s="21"/>
      <c r="C145" s="21"/>
      <c r="D145" s="21"/>
      <c r="E145" s="21"/>
      <c r="F145" s="21"/>
      <c r="G145" s="12">
        <f>D145+Table841419410132427323943485356711182530394649[[#This Row],[LỢI NHUẬN RÒNG]]</f>
        <v>0</v>
      </c>
    </row>
    <row r="146" spans="1:10" hidden="1" x14ac:dyDescent="0.3">
      <c r="A146" s="23"/>
      <c r="B146" s="24"/>
      <c r="C146" s="21"/>
      <c r="D146" s="21"/>
      <c r="E146" s="21"/>
      <c r="F146" s="21"/>
      <c r="G146" s="12">
        <f>D146+Table841419410132427323943485356711182530394649[[#This Row],[LỢI NHUẬN RÒNG]]</f>
        <v>0</v>
      </c>
      <c r="I146" s="11"/>
    </row>
    <row r="147" spans="1:10" hidden="1" x14ac:dyDescent="0.3">
      <c r="A147" s="23"/>
      <c r="C147" s="21"/>
      <c r="D147" s="21"/>
      <c r="E147" s="21"/>
      <c r="F147" s="21"/>
      <c r="G147" s="12">
        <f>D147+Table841419410132427323943485356711182530394649[[#This Row],[LỢI NHUẬN RÒNG]]</f>
        <v>0</v>
      </c>
    </row>
    <row r="148" spans="1:10" hidden="1" x14ac:dyDescent="0.3">
      <c r="A148" s="23"/>
      <c r="B148" s="21"/>
      <c r="C148" s="21"/>
      <c r="D148" s="21"/>
      <c r="E148" s="21"/>
      <c r="F148" s="21"/>
      <c r="G148" s="12">
        <f>D148+Table841419410132427323943485356711182530394649[[#This Row],[LỢI NHUẬN RÒNG]]</f>
        <v>0</v>
      </c>
    </row>
    <row r="149" spans="1:10" hidden="1" x14ac:dyDescent="0.3">
      <c r="A149" s="23"/>
      <c r="C149" s="21"/>
      <c r="D149" s="21"/>
      <c r="E149" s="21"/>
      <c r="F149" s="21"/>
      <c r="G149" s="12">
        <f>D149+Table841419410132427323943485356711182530394649[[#This Row],[LỢI NHUẬN RÒNG]]</f>
        <v>0</v>
      </c>
      <c r="H149" s="11"/>
    </row>
    <row r="150" spans="1:10" hidden="1" x14ac:dyDescent="0.3">
      <c r="A150" s="23"/>
      <c r="C150" s="21"/>
      <c r="D150" s="21"/>
      <c r="E150" s="21"/>
      <c r="F150" s="21"/>
      <c r="G150" s="12">
        <f>D150+Table841419410132427323943485356711182530394649[[#This Row],[LỢI NHUẬN RÒNG]]</f>
        <v>0</v>
      </c>
      <c r="H150" s="11"/>
    </row>
    <row r="151" spans="1:10" hidden="1" x14ac:dyDescent="0.3">
      <c r="A151" s="23"/>
      <c r="B151" s="21"/>
      <c r="C151" s="21"/>
      <c r="D151" s="21"/>
      <c r="E151" s="21"/>
      <c r="F151" s="21"/>
      <c r="G151" s="12">
        <f>D151+Table841419410132427323943485356711182530394649[[#This Row],[LỢI NHUẬN RÒNG]]</f>
        <v>0</v>
      </c>
      <c r="H151" s="11"/>
    </row>
    <row r="152" spans="1:10" hidden="1" x14ac:dyDescent="0.3">
      <c r="A152" s="23"/>
      <c r="B152" s="21"/>
      <c r="C152" s="21"/>
      <c r="D152" s="21"/>
      <c r="E152" s="21"/>
      <c r="F152" s="21"/>
      <c r="G152" s="12">
        <f>D152+Table841419410132427323943485356711182530394649[[#This Row],[LỢI NHUẬN RÒNG]]</f>
        <v>0</v>
      </c>
      <c r="H152" s="11"/>
      <c r="J152" s="11"/>
    </row>
    <row r="153" spans="1:10" hidden="1" x14ac:dyDescent="0.3">
      <c r="A153" s="23"/>
      <c r="B153" s="21"/>
      <c r="C153" s="21"/>
      <c r="D153" s="21"/>
      <c r="E153" s="21"/>
      <c r="F153" s="21"/>
      <c r="G153" s="12">
        <f>D153+Table841419410132427323943485356711182530394649[[#This Row],[LỢI NHUẬN RÒNG]]</f>
        <v>0</v>
      </c>
      <c r="H153" s="11"/>
    </row>
    <row r="154" spans="1:10" hidden="1" x14ac:dyDescent="0.3">
      <c r="A154" s="23"/>
      <c r="C154" s="21"/>
      <c r="D154" s="21"/>
      <c r="E154" s="21"/>
      <c r="F154" s="21"/>
      <c r="G154" s="12">
        <f>D154+Table841419410132427323943485356711182530394649[[#This Row],[LỢI NHUẬN RÒNG]]</f>
        <v>0</v>
      </c>
      <c r="H154" s="11"/>
    </row>
    <row r="155" spans="1:10" hidden="1" x14ac:dyDescent="0.3">
      <c r="A155" s="23"/>
      <c r="C155" s="21"/>
      <c r="D155" s="21"/>
      <c r="E155" s="21"/>
      <c r="F155" s="21"/>
      <c r="G155" s="12">
        <f>D155+Table841419410132427323943485356711182530394649[[#This Row],[LỢI NHUẬN RÒNG]]</f>
        <v>0</v>
      </c>
      <c r="H155" s="11"/>
    </row>
    <row r="156" spans="1:10" hidden="1" x14ac:dyDescent="0.3">
      <c r="A156" s="23"/>
      <c r="B156" s="21"/>
      <c r="C156" s="21"/>
      <c r="D156" s="21"/>
      <c r="E156" s="21"/>
      <c r="F156" s="21"/>
      <c r="G156" s="12">
        <f>D156+Table841419410132427323943485356711182530394649[[#This Row],[LỢI NHUẬN RÒNG]]</f>
        <v>0</v>
      </c>
      <c r="H156" s="11"/>
    </row>
    <row r="157" spans="1:10" hidden="1" x14ac:dyDescent="0.3">
      <c r="A157" s="23"/>
      <c r="B157" s="21"/>
      <c r="C157" s="21"/>
      <c r="D157" s="21"/>
      <c r="E157" s="21"/>
      <c r="F157" s="21"/>
      <c r="G157" s="12">
        <f>D157+Table841419410132427323943485356711182530394649[[#This Row],[LỢI NHUẬN RÒNG]]</f>
        <v>0</v>
      </c>
      <c r="H157" s="11"/>
    </row>
    <row r="158" spans="1:10" hidden="1" x14ac:dyDescent="0.3">
      <c r="A158" s="23"/>
      <c r="B158" s="21"/>
      <c r="C158" s="21"/>
      <c r="D158" s="21"/>
      <c r="E158" s="21"/>
      <c r="F158" s="21"/>
      <c r="G158" s="12">
        <f>D158+Table841419410132427323943485356711182530394649[[#This Row],[LỢI NHUẬN RÒNG]]</f>
        <v>0</v>
      </c>
      <c r="H158" s="11"/>
    </row>
    <row r="159" spans="1:10" hidden="1" x14ac:dyDescent="0.3">
      <c r="A159" s="23"/>
      <c r="B159" s="21"/>
      <c r="C159" s="21"/>
      <c r="D159" s="21"/>
      <c r="E159" s="21"/>
      <c r="F159" s="21"/>
      <c r="G159" s="12">
        <f>D159+Table841419410132427323943485356711182530394649[[#This Row],[LỢI NHUẬN RÒNG]]</f>
        <v>0</v>
      </c>
      <c r="H159" s="11"/>
    </row>
    <row r="160" spans="1:10" hidden="1" x14ac:dyDescent="0.3">
      <c r="A160" s="23"/>
      <c r="B160" s="21"/>
      <c r="C160" s="21"/>
      <c r="D160" s="21"/>
      <c r="E160" s="21"/>
      <c r="F160" s="21"/>
      <c r="G160" s="12">
        <f>D160+Table841419410132427323943485356711182530394649[[#This Row],[LỢI NHUẬN RÒNG]]</f>
        <v>0</v>
      </c>
      <c r="H160" s="11"/>
    </row>
    <row r="161" spans="1:10" hidden="1" x14ac:dyDescent="0.3">
      <c r="A161" s="23"/>
      <c r="B161" s="21"/>
      <c r="C161" s="21"/>
      <c r="D161" s="21"/>
      <c r="E161" s="21"/>
      <c r="F161" s="21"/>
      <c r="G161" s="12">
        <f>D161+Table841419410132427323943485356711182530394649[[#This Row],[LỢI NHUẬN RÒNG]]</f>
        <v>0</v>
      </c>
      <c r="H161" s="11"/>
      <c r="J161" s="11"/>
    </row>
    <row r="162" spans="1:10" hidden="1" x14ac:dyDescent="0.3">
      <c r="A162" s="23"/>
      <c r="C162" s="21"/>
      <c r="D162" s="21"/>
      <c r="E162" s="21"/>
      <c r="F162" s="21"/>
      <c r="G162" s="12">
        <f>D162+Table841419410132427323943485356711182530394649[[#This Row],[LỢI NHUẬN RÒNG]]</f>
        <v>0</v>
      </c>
      <c r="H162" s="11"/>
    </row>
    <row r="163" spans="1:10" hidden="1" x14ac:dyDescent="0.3">
      <c r="A163" s="23"/>
      <c r="B163" s="24"/>
      <c r="C163" s="21"/>
      <c r="D163" s="21"/>
      <c r="E163" s="21"/>
      <c r="F163" s="21"/>
      <c r="G163" s="12">
        <f>D163+Table841419410132427323943485356711182530394649[[#This Row],[LỢI NHUẬN RÒNG]]</f>
        <v>0</v>
      </c>
      <c r="H163" s="11"/>
    </row>
    <row r="164" spans="1:10" hidden="1" x14ac:dyDescent="0.3">
      <c r="A164" s="23"/>
      <c r="C164" s="21"/>
      <c r="D164" s="21"/>
      <c r="E164" s="21"/>
      <c r="F164" s="21"/>
      <c r="G164" s="12">
        <f>D164+Table841419410132427323943485356711182530394649[[#This Row],[LỢI NHUẬN RÒNG]]</f>
        <v>0</v>
      </c>
      <c r="H164" s="11"/>
    </row>
    <row r="165" spans="1:10" hidden="1" x14ac:dyDescent="0.3">
      <c r="A165" s="23"/>
      <c r="C165" s="21"/>
      <c r="D165" s="21"/>
      <c r="E165" s="21"/>
      <c r="F165" s="21"/>
      <c r="G165" s="12">
        <f>D165+Table841419410132427323943485356711182530394649[[#This Row],[LỢI NHUẬN RÒNG]]</f>
        <v>0</v>
      </c>
      <c r="H165" s="11"/>
    </row>
    <row r="166" spans="1:10" hidden="1" x14ac:dyDescent="0.3">
      <c r="A166" s="23"/>
      <c r="B166" s="21"/>
      <c r="C166" s="21"/>
      <c r="D166" s="21"/>
      <c r="E166" s="21"/>
      <c r="F166" s="21"/>
      <c r="G166" s="12">
        <f>D166+Table841419410132427323943485356711182530394649[[#This Row],[LỢI NHUẬN RÒNG]]</f>
        <v>0</v>
      </c>
      <c r="H166" s="11"/>
    </row>
    <row r="167" spans="1:10" hidden="1" x14ac:dyDescent="0.3">
      <c r="A167" s="23"/>
      <c r="B167" s="21"/>
      <c r="C167" s="18"/>
      <c r="D167" s="18"/>
      <c r="E167" s="18"/>
      <c r="F167" s="18"/>
      <c r="G167" s="12">
        <f>D167+Table841419410132427323943485356711182530394649[[#This Row],[LỢI NHUẬN RÒNG]]</f>
        <v>0</v>
      </c>
      <c r="H167" s="11"/>
    </row>
    <row r="168" spans="1:10" hidden="1" x14ac:dyDescent="0.3">
      <c r="A168" s="23"/>
      <c r="B168" s="21"/>
      <c r="C168" s="21"/>
      <c r="D168" s="21"/>
      <c r="E168" s="21"/>
      <c r="F168" s="21"/>
      <c r="G168" s="12">
        <f>D168+Table841419410132427323943485356711182530394649[[#This Row],[LỢI NHUẬN RÒNG]]</f>
        <v>0</v>
      </c>
      <c r="H168" s="11"/>
    </row>
    <row r="169" spans="1:10" hidden="1" x14ac:dyDescent="0.3">
      <c r="A169" s="23"/>
      <c r="B169" s="21"/>
      <c r="C169" s="21"/>
      <c r="D169" s="21"/>
      <c r="E169" s="21"/>
      <c r="F169" s="21"/>
      <c r="G169" s="12">
        <f>D169+Table841419410132427323943485356711182530394649[[#This Row],[LỢI NHUẬN RÒNG]]</f>
        <v>0</v>
      </c>
      <c r="H169" s="11"/>
    </row>
    <row r="170" spans="1:10" hidden="1" x14ac:dyDescent="0.3">
      <c r="A170" s="23"/>
      <c r="C170" s="21"/>
      <c r="D170" s="21"/>
      <c r="E170" s="21"/>
      <c r="F170" s="21"/>
      <c r="G170" s="12">
        <f>D170+Table841419410132427323943485356711182530394649[[#This Row],[LỢI NHUẬN RÒNG]]</f>
        <v>0</v>
      </c>
      <c r="H170" s="11"/>
      <c r="J170" s="11"/>
    </row>
    <row r="171" spans="1:10" hidden="1" x14ac:dyDescent="0.3">
      <c r="A171" s="23"/>
      <c r="C171" s="21"/>
      <c r="D171" s="21"/>
      <c r="E171" s="21"/>
      <c r="F171" s="21"/>
      <c r="G171" s="12">
        <f>D171+Table841419410132427323943485356711182530394649[[#This Row],[LỢI NHUẬN RÒNG]]</f>
        <v>0</v>
      </c>
      <c r="H171" s="11"/>
    </row>
    <row r="172" spans="1:10" hidden="1" x14ac:dyDescent="0.3">
      <c r="A172" s="23"/>
      <c r="B172" s="24"/>
      <c r="C172" s="21"/>
      <c r="D172" s="21"/>
      <c r="E172" s="21"/>
      <c r="F172" s="21"/>
      <c r="G172" s="12">
        <f>D172+Table841419410132427323943485356711182530394649[[#This Row],[LỢI NHUẬN RÒNG]]</f>
        <v>0</v>
      </c>
      <c r="H172" s="11"/>
    </row>
    <row r="173" spans="1:10" hidden="1" x14ac:dyDescent="0.3">
      <c r="A173" s="23"/>
      <c r="C173" s="21"/>
      <c r="D173" s="21"/>
      <c r="E173" s="21"/>
      <c r="F173" s="21"/>
      <c r="G173" s="12">
        <f>D173+Table841419410132427323943485356711182530394649[[#This Row],[LỢI NHUẬN RÒNG]]</f>
        <v>0</v>
      </c>
      <c r="H173" s="11"/>
    </row>
    <row r="174" spans="1:10" hidden="1" x14ac:dyDescent="0.3">
      <c r="A174" s="23"/>
      <c r="B174" s="21"/>
      <c r="C174" s="21"/>
      <c r="D174" s="21"/>
      <c r="E174" s="21"/>
      <c r="F174" s="21"/>
      <c r="G174" s="12">
        <f>D174+Table841419410132427323943485356711182530394649[[#This Row],[LỢI NHUẬN RÒNG]]</f>
        <v>0</v>
      </c>
      <c r="H174" s="11"/>
    </row>
    <row r="175" spans="1:10" hidden="1" x14ac:dyDescent="0.3">
      <c r="A175" s="23"/>
      <c r="B175" s="21"/>
      <c r="C175" s="21"/>
      <c r="D175" s="21"/>
      <c r="E175" s="21"/>
      <c r="F175" s="21"/>
      <c r="G175" s="12">
        <f>D175+Table841419410132427323943485356711182530394649[[#This Row],[LỢI NHUẬN RÒNG]]</f>
        <v>0</v>
      </c>
      <c r="H175" s="11"/>
    </row>
    <row r="176" spans="1:10" hidden="1" x14ac:dyDescent="0.3">
      <c r="A176" s="23"/>
      <c r="B176" s="21"/>
      <c r="C176" s="21"/>
      <c r="D176" s="21"/>
      <c r="E176" s="21"/>
      <c r="F176" s="21"/>
      <c r="G176" s="12">
        <f>D176+Table841419410132427323943485356711182530394649[[#This Row],[LỢI NHUẬN RÒNG]]</f>
        <v>0</v>
      </c>
      <c r="H176" s="11"/>
    </row>
    <row r="177" spans="1:9" hidden="1" x14ac:dyDescent="0.3">
      <c r="A177" s="23"/>
      <c r="B177" s="21"/>
      <c r="C177" s="21"/>
      <c r="D177" s="21"/>
      <c r="E177" s="21"/>
      <c r="F177" s="21"/>
      <c r="G177" s="12">
        <f>D177+Table841419410132427323943485356711182530394649[[#This Row],[LỢI NHUẬN RÒNG]]</f>
        <v>0</v>
      </c>
      <c r="H177" s="11"/>
    </row>
    <row r="178" spans="1:9" hidden="1" x14ac:dyDescent="0.3">
      <c r="A178" s="23"/>
      <c r="B178" s="24"/>
      <c r="C178" s="21"/>
      <c r="D178" s="21"/>
      <c r="E178" s="21"/>
      <c r="F178" s="21"/>
      <c r="G178" s="12">
        <f>D178+Table841419410132427323943485356711182530394649[[#This Row],[LỢI NHUẬN RÒNG]]</f>
        <v>0</v>
      </c>
      <c r="H178" s="11"/>
    </row>
    <row r="179" spans="1:9" hidden="1" x14ac:dyDescent="0.3">
      <c r="A179" s="23"/>
      <c r="C179" s="21"/>
      <c r="D179" s="21"/>
      <c r="E179" s="21"/>
      <c r="F179" s="21"/>
      <c r="G179" s="12">
        <f>D179+Table841419410132427323943485356711182530394649[[#This Row],[LỢI NHUẬN RÒNG]]</f>
        <v>0</v>
      </c>
      <c r="H179" s="11"/>
      <c r="I179" s="11"/>
    </row>
    <row r="180" spans="1:9" hidden="1" x14ac:dyDescent="0.3">
      <c r="A180" s="23"/>
      <c r="B180" s="21"/>
      <c r="C180" s="21"/>
      <c r="D180" s="21"/>
      <c r="E180" s="21"/>
      <c r="F180" s="21"/>
      <c r="G180" s="12">
        <f>D180+Table841419410132427323943485356711182530394649[[#This Row],[LỢI NHUẬN RÒNG]]</f>
        <v>0</v>
      </c>
      <c r="H180" s="11"/>
    </row>
    <row r="181" spans="1:9" hidden="1" x14ac:dyDescent="0.3">
      <c r="A181" s="23"/>
      <c r="B181" s="24"/>
      <c r="C181" s="21"/>
      <c r="D181" s="21"/>
      <c r="E181" s="21"/>
      <c r="F181" s="21"/>
      <c r="G181" s="12">
        <f>D181+Table841419410132427323943485356711182530394649[[#This Row],[LỢI NHUẬN RÒNG]]</f>
        <v>0</v>
      </c>
    </row>
    <row r="182" spans="1:9" hidden="1" x14ac:dyDescent="0.3">
      <c r="A182" s="23"/>
      <c r="B182" s="27"/>
      <c r="C182" s="21"/>
      <c r="D182" s="21"/>
      <c r="E182" s="21"/>
      <c r="F182" s="21"/>
      <c r="G182" s="12">
        <f>D182+Table841419410132427323943485356711182530394649[[#This Row],[LỢI NHUẬN RÒNG]]</f>
        <v>0</v>
      </c>
      <c r="H182" s="28"/>
    </row>
    <row r="183" spans="1:9" hidden="1" x14ac:dyDescent="0.3">
      <c r="A183" s="23"/>
      <c r="B183" s="27"/>
      <c r="C183" s="18"/>
      <c r="D183" s="18"/>
      <c r="E183" s="18"/>
      <c r="F183" s="18"/>
      <c r="G183" s="12">
        <f>D183+Table841419410132427323943485356711182530394649[[#This Row],[LỢI NHUẬN RÒNG]]</f>
        <v>0</v>
      </c>
      <c r="H183" s="28"/>
    </row>
    <row r="184" spans="1:9" hidden="1" x14ac:dyDescent="0.3">
      <c r="A184" s="23"/>
      <c r="B184" s="21"/>
      <c r="C184" s="21"/>
      <c r="D184" s="21"/>
      <c r="E184" s="21"/>
      <c r="F184" s="21"/>
      <c r="G184" s="12">
        <f>D184+Table841419410132427323943485356711182530394649[[#This Row],[LỢI NHUẬN RÒNG]]</f>
        <v>0</v>
      </c>
      <c r="H184" s="28"/>
    </row>
    <row r="185" spans="1:9" hidden="1" x14ac:dyDescent="0.3">
      <c r="A185" s="23"/>
      <c r="B185" s="21"/>
      <c r="C185" s="21"/>
      <c r="D185" s="21"/>
      <c r="E185" s="21"/>
      <c r="F185" s="21"/>
      <c r="G185" s="12">
        <f>D185+Table841419410132427323943485356711182530394649[[#This Row],[LỢI NHUẬN RÒNG]]</f>
        <v>0</v>
      </c>
      <c r="H185" s="28"/>
    </row>
    <row r="186" spans="1:9" hidden="1" x14ac:dyDescent="0.3">
      <c r="A186" s="23"/>
      <c r="B186" s="21"/>
      <c r="C186" s="21"/>
      <c r="D186" s="21"/>
      <c r="E186" s="21"/>
      <c r="F186" s="21"/>
      <c r="G186" s="12">
        <f>D186+Table841419410132427323943485356711182530394649[[#This Row],[LỢI NHUẬN RÒNG]]</f>
        <v>0</v>
      </c>
      <c r="H186" s="28"/>
    </row>
    <row r="187" spans="1:9" hidden="1" x14ac:dyDescent="0.3">
      <c r="A187" s="23"/>
      <c r="B187" s="21"/>
      <c r="C187" s="21"/>
      <c r="D187" s="21"/>
      <c r="E187" s="21"/>
      <c r="F187" s="21"/>
      <c r="G187" s="12">
        <f>D187+Table841419410132427323943485356711182530394649[[#This Row],[LỢI NHUẬN RÒNG]]</f>
        <v>0</v>
      </c>
      <c r="H187" s="28"/>
    </row>
    <row r="188" spans="1:9" hidden="1" x14ac:dyDescent="0.3">
      <c r="A188" s="23"/>
      <c r="B188" s="24"/>
      <c r="C188" s="21"/>
      <c r="D188" s="21"/>
      <c r="E188" s="21"/>
      <c r="F188" s="21"/>
      <c r="G188" s="12">
        <f>D188+Table841419410132427323943485356711182530394649[[#This Row],[LỢI NHUẬN RÒNG]]</f>
        <v>0</v>
      </c>
      <c r="H188" s="28"/>
    </row>
    <row r="189" spans="1:9" hidden="1" x14ac:dyDescent="0.3">
      <c r="A189" s="23"/>
      <c r="C189" s="21"/>
      <c r="D189" s="21"/>
      <c r="E189" s="21"/>
      <c r="F189" s="21"/>
      <c r="G189" s="12">
        <f>D189+Table841419410132427323943485356711182530394649[[#This Row],[LỢI NHUẬN RÒNG]]</f>
        <v>0</v>
      </c>
      <c r="H189" s="28"/>
    </row>
    <row r="190" spans="1:9" hidden="1" x14ac:dyDescent="0.3">
      <c r="A190" s="23"/>
      <c r="B190" s="24"/>
      <c r="C190" s="21"/>
      <c r="D190" s="21"/>
      <c r="E190" s="21"/>
      <c r="F190" s="21"/>
      <c r="G190" s="12">
        <f>D190+Table841419410132427323943485356711182530394649[[#This Row],[LỢI NHUẬN RÒNG]]</f>
        <v>0</v>
      </c>
      <c r="H190" s="28"/>
    </row>
    <row r="191" spans="1:9" hidden="1" x14ac:dyDescent="0.3">
      <c r="A191" s="23"/>
      <c r="B191" s="27"/>
      <c r="C191" s="21"/>
      <c r="D191" s="21"/>
      <c r="E191" s="21"/>
      <c r="F191" s="21"/>
      <c r="G191" s="12">
        <f>D191+Table841419410132427323943485356711182530394649[[#This Row],[LỢI NHUẬN RÒNG]]</f>
        <v>0</v>
      </c>
      <c r="H191" s="28"/>
    </row>
    <row r="192" spans="1:9" hidden="1" x14ac:dyDescent="0.3">
      <c r="A192" s="23"/>
      <c r="B192" s="27"/>
      <c r="C192" s="21"/>
      <c r="D192" s="21"/>
      <c r="E192" s="21"/>
      <c r="F192" s="21"/>
      <c r="G192" s="12">
        <f>D192+Table841419410132427323943485356711182530394649[[#This Row],[LỢI NHUẬN RÒNG]]</f>
        <v>0</v>
      </c>
      <c r="H192" s="28"/>
    </row>
    <row r="193" spans="1:8" hidden="1" x14ac:dyDescent="0.3">
      <c r="A193" s="23"/>
      <c r="B193" s="27"/>
      <c r="C193" s="21"/>
      <c r="D193" s="21"/>
      <c r="E193" s="21"/>
      <c r="F193" s="21"/>
      <c r="G193" s="12">
        <f>D193+Table841419410132427323943485356711182530394649[[#This Row],[LỢI NHUẬN RÒNG]]</f>
        <v>0</v>
      </c>
      <c r="H193" s="28"/>
    </row>
    <row r="194" spans="1:8" hidden="1" x14ac:dyDescent="0.3">
      <c r="A194" s="23"/>
      <c r="B194" s="27"/>
      <c r="C194" s="21"/>
      <c r="D194" s="21"/>
      <c r="E194" s="21"/>
      <c r="F194" s="21"/>
      <c r="G194" s="12">
        <f>D194+Table841419410132427323943485356711182530394649[[#This Row],[LỢI NHUẬN RÒNG]]</f>
        <v>0</v>
      </c>
      <c r="H194" s="28"/>
    </row>
    <row r="195" spans="1:8" hidden="1" x14ac:dyDescent="0.3">
      <c r="A195" s="23"/>
      <c r="B195" s="21"/>
      <c r="C195" s="21"/>
      <c r="D195" s="21"/>
      <c r="E195" s="21"/>
      <c r="F195" s="21"/>
      <c r="G195" s="12">
        <f>D195+Table841419410132427323943485356711182530394649[[#This Row],[LỢI NHUẬN RÒNG]]</f>
        <v>0</v>
      </c>
      <c r="H195" s="28"/>
    </row>
    <row r="196" spans="1:8" hidden="1" x14ac:dyDescent="0.3">
      <c r="A196" s="23"/>
      <c r="B196" s="21"/>
      <c r="C196" s="21"/>
      <c r="D196" s="21"/>
      <c r="E196" s="21"/>
      <c r="F196" s="21"/>
      <c r="G196" s="12">
        <f>D196+Table841419410132427323943485356711182530394649[[#This Row],[LỢI NHUẬN RÒNG]]</f>
        <v>0</v>
      </c>
      <c r="H196" s="28"/>
    </row>
    <row r="197" spans="1:8" hidden="1" x14ac:dyDescent="0.3">
      <c r="A197" s="23"/>
      <c r="B197" s="21"/>
      <c r="C197" s="21"/>
      <c r="D197" s="21"/>
      <c r="E197" s="21"/>
      <c r="F197" s="21"/>
      <c r="G197" s="12">
        <f>D197+Table841419410132427323943485356711182530394649[[#This Row],[LỢI NHUẬN RÒNG]]</f>
        <v>0</v>
      </c>
      <c r="H197" s="28"/>
    </row>
    <row r="198" spans="1:8" hidden="1" x14ac:dyDescent="0.3">
      <c r="A198" s="23"/>
      <c r="B198" s="21"/>
      <c r="C198" s="21"/>
      <c r="D198" s="21"/>
      <c r="E198" s="21"/>
      <c r="F198" s="21"/>
      <c r="G198" s="12">
        <f>D198+Table841419410132427323943485356711182530394649[[#This Row],[LỢI NHUẬN RÒNG]]</f>
        <v>0</v>
      </c>
      <c r="H198" s="28"/>
    </row>
    <row r="199" spans="1:8" hidden="1" x14ac:dyDescent="0.3">
      <c r="A199" s="23"/>
      <c r="B199" s="21"/>
      <c r="C199" s="21"/>
      <c r="D199" s="21"/>
      <c r="E199" s="21"/>
      <c r="F199" s="21"/>
      <c r="G199" s="12">
        <f>D199+Table841419410132427323943485356711182530394649[[#This Row],[LỢI NHUẬN RÒNG]]</f>
        <v>0</v>
      </c>
      <c r="H199" s="28"/>
    </row>
    <row r="200" spans="1:8" hidden="1" x14ac:dyDescent="0.3">
      <c r="A200" s="23"/>
      <c r="B200" s="21"/>
      <c r="C200" s="21"/>
      <c r="D200" s="21"/>
      <c r="E200" s="21"/>
      <c r="F200" s="21"/>
      <c r="G200" s="12">
        <f>D200+Table841419410132427323943485356711182530394649[[#This Row],[LỢI NHUẬN RÒNG]]</f>
        <v>0</v>
      </c>
      <c r="H200" s="28"/>
    </row>
    <row r="201" spans="1:8" hidden="1" x14ac:dyDescent="0.3">
      <c r="A201" s="23"/>
      <c r="C201" s="21"/>
      <c r="D201" s="21"/>
      <c r="E201" s="21"/>
      <c r="F201" s="21"/>
      <c r="G201" s="12">
        <f>D201+Table841419410132427323943485356711182530394649[[#This Row],[LỢI NHUẬN RÒNG]]</f>
        <v>0</v>
      </c>
      <c r="H201" s="28"/>
    </row>
    <row r="202" spans="1:8" hidden="1" x14ac:dyDescent="0.3">
      <c r="A202" s="23"/>
      <c r="B202" s="21"/>
      <c r="C202" s="21"/>
      <c r="D202" s="21"/>
      <c r="E202" s="21"/>
      <c r="F202" s="21"/>
      <c r="G202" s="12">
        <f>D202+Table841419410132427323943485356711182530394649[[#This Row],[LỢI NHUẬN RÒNG]]</f>
        <v>0</v>
      </c>
      <c r="H202" s="28"/>
    </row>
    <row r="203" spans="1:8" hidden="1" x14ac:dyDescent="0.3">
      <c r="A203" s="23"/>
      <c r="B203" s="21"/>
      <c r="C203" s="21"/>
      <c r="D203" s="21"/>
      <c r="E203" s="21"/>
      <c r="F203" s="21"/>
      <c r="G203" s="12">
        <f>D203+Table841419410132427323943485356711182530394649[[#This Row],[LỢI NHUẬN RÒNG]]</f>
        <v>0</v>
      </c>
      <c r="H203" s="28"/>
    </row>
    <row r="204" spans="1:8" hidden="1" x14ac:dyDescent="0.3">
      <c r="A204" s="23"/>
      <c r="B204" s="21"/>
      <c r="C204" s="21"/>
      <c r="D204" s="21"/>
      <c r="E204" s="21"/>
      <c r="F204" s="21"/>
      <c r="G204" s="12">
        <f>D204+Table841419410132427323943485356711182530394649[[#This Row],[LỢI NHUẬN RÒNG]]</f>
        <v>0</v>
      </c>
      <c r="H204" s="28"/>
    </row>
    <row r="205" spans="1:8" hidden="1" x14ac:dyDescent="0.3">
      <c r="A205" s="23"/>
      <c r="B205" s="27"/>
      <c r="C205" s="21"/>
      <c r="D205" s="21"/>
      <c r="E205" s="21"/>
      <c r="F205" s="21"/>
      <c r="G205" s="12">
        <f>D205+Table841419410132427323943485356711182530394649[[#This Row],[LỢI NHUẬN RÒNG]]</f>
        <v>0</v>
      </c>
      <c r="H205" s="28"/>
    </row>
    <row r="206" spans="1:8" hidden="1" x14ac:dyDescent="0.3">
      <c r="A206" s="23"/>
      <c r="B206" s="27"/>
      <c r="C206" s="21"/>
      <c r="D206" s="21"/>
      <c r="E206" s="21"/>
      <c r="F206" s="21"/>
      <c r="G206" s="21">
        <f>Table841419410132427323943485356711182530394649[[#This Row],[VỐN CP]]+Table841419410132427323943485356711182530394649[[#This Row],[LỢI NHUẬN RÒNG]]</f>
        <v>0</v>
      </c>
      <c r="H206" s="28"/>
    </row>
    <row r="207" spans="1:8" hidden="1" x14ac:dyDescent="0.3">
      <c r="A207" s="23"/>
      <c r="B207" s="27"/>
      <c r="C207" s="21"/>
      <c r="D207" s="21"/>
      <c r="E207" s="21"/>
      <c r="F207" s="21"/>
      <c r="G207" s="21">
        <f>Table841419410132427323943485356711182530394649[[#This Row],[VỐN CP]]+Table841419410132427323943485356711182530394649[[#This Row],[LỢI NHUẬN RÒNG]]</f>
        <v>0</v>
      </c>
      <c r="H207" s="28"/>
    </row>
    <row r="208" spans="1:8" hidden="1" x14ac:dyDescent="0.3">
      <c r="A208" s="23"/>
      <c r="B208" s="27"/>
      <c r="C208" s="21"/>
      <c r="D208" s="21"/>
      <c r="E208" s="21"/>
      <c r="F208" s="21"/>
      <c r="G208" s="21">
        <f>Table841419410132427323943485356711182530394649[[#This Row],[VỐN CP]]+Table841419410132427323943485356711182530394649[[#This Row],[LỢI NHUẬN RÒNG]]</f>
        <v>0</v>
      </c>
      <c r="H208" s="28"/>
    </row>
    <row r="209" spans="1:8" hidden="1" x14ac:dyDescent="0.3">
      <c r="A209" s="23"/>
      <c r="B209" s="27"/>
      <c r="C209" s="21"/>
      <c r="D209" s="21"/>
      <c r="E209" s="21"/>
      <c r="F209" s="21"/>
      <c r="G209" s="21">
        <f>Table841419410132427323943485356711182530394649[[#This Row],[VỐN CP]]+Table841419410132427323943485356711182530394649[[#This Row],[LỢI NHUẬN RÒNG]]</f>
        <v>0</v>
      </c>
      <c r="H209" s="28"/>
    </row>
    <row r="210" spans="1:8" hidden="1" x14ac:dyDescent="0.3">
      <c r="A210" s="23"/>
      <c r="B210" s="27"/>
      <c r="C210" s="21"/>
      <c r="D210" s="21"/>
      <c r="E210" s="21"/>
      <c r="F210" s="21"/>
      <c r="G210" s="21">
        <f>Table841419410132427323943485356711182530394649[[#This Row],[VỐN CP]]+Table841419410132427323943485356711182530394649[[#This Row],[LỢI NHUẬN RÒNG]]</f>
        <v>0</v>
      </c>
      <c r="H210" s="28"/>
    </row>
    <row r="211" spans="1:8" hidden="1" x14ac:dyDescent="0.3">
      <c r="A211" s="23"/>
      <c r="B211" s="27"/>
      <c r="C211" s="21"/>
      <c r="D211" s="21"/>
      <c r="E211" s="21"/>
      <c r="F211" s="21"/>
      <c r="G211" s="21">
        <f>Table841419410132427323943485356711182530394649[[#This Row],[VỐN CP]]+Table841419410132427323943485356711182530394649[[#This Row],[LỢI NHUẬN RÒNG]]</f>
        <v>0</v>
      </c>
      <c r="H211" s="28"/>
    </row>
    <row r="212" spans="1:8" hidden="1" x14ac:dyDescent="0.3">
      <c r="A212" s="23"/>
      <c r="B212" s="27"/>
      <c r="C212" s="21"/>
      <c r="D212" s="21"/>
      <c r="E212" s="21"/>
      <c r="F212" s="21"/>
      <c r="G212" s="21">
        <f>Table841419410132427323943485356711182530394649[[#This Row],[VỐN CP]]+Table841419410132427323943485356711182530394649[[#This Row],[LỢI NHUẬN RÒNG]]</f>
        <v>0</v>
      </c>
      <c r="H212" s="28"/>
    </row>
    <row r="213" spans="1:8" hidden="1" x14ac:dyDescent="0.3">
      <c r="A213" s="23"/>
      <c r="B213" s="27"/>
      <c r="C213" s="21"/>
      <c r="D213" s="21"/>
      <c r="E213" s="21"/>
      <c r="F213" s="21"/>
      <c r="G213" s="21">
        <f>Table841419410132427323943485356711182530394649[[#This Row],[VỐN CP]]+Table841419410132427323943485356711182530394649[[#This Row],[LỢI NHUẬN RÒNG]]</f>
        <v>0</v>
      </c>
      <c r="H213" s="28"/>
    </row>
    <row r="214" spans="1:8" hidden="1" x14ac:dyDescent="0.3">
      <c r="A214" s="23"/>
      <c r="B214" s="27"/>
      <c r="C214" s="21"/>
      <c r="D214" s="21"/>
      <c r="E214" s="21"/>
      <c r="F214" s="21"/>
      <c r="G214" s="21">
        <f>Table841419410132427323943485356711182530394649[[#This Row],[VỐN CP]]+Table841419410132427323943485356711182530394649[[#This Row],[LỢI NHUẬN RÒNG]]</f>
        <v>0</v>
      </c>
      <c r="H214" s="28"/>
    </row>
    <row r="215" spans="1:8" hidden="1" x14ac:dyDescent="0.3">
      <c r="A215" s="23"/>
      <c r="B215" s="27"/>
      <c r="C215" s="21"/>
      <c r="D215" s="21"/>
      <c r="E215" s="21"/>
      <c r="F215" s="21"/>
      <c r="G215" s="21">
        <f>Table841419410132427323943485356711182530394649[[#This Row],[VỐN CP]]+Table841419410132427323943485356711182530394649[[#This Row],[LỢI NHUẬN RÒNG]]</f>
        <v>0</v>
      </c>
      <c r="H215" s="28"/>
    </row>
    <row r="216" spans="1:8" hidden="1" x14ac:dyDescent="0.3">
      <c r="A216" s="23"/>
      <c r="B216" s="27"/>
      <c r="C216" s="21"/>
      <c r="D216" s="21"/>
      <c r="E216" s="21"/>
      <c r="F216" s="21"/>
      <c r="G216" s="21">
        <f>Table841419410132427323943485356711182530394649[[#This Row],[VỐN CP]]+Table841419410132427323943485356711182530394649[[#This Row],[LỢI NHUẬN RÒNG]]</f>
        <v>0</v>
      </c>
      <c r="H216" s="28"/>
    </row>
    <row r="217" spans="1:8" hidden="1" x14ac:dyDescent="0.3">
      <c r="A217" s="23"/>
      <c r="B217" s="27"/>
      <c r="C217" s="21"/>
      <c r="D217" s="21"/>
      <c r="E217" s="21"/>
      <c r="F217" s="21"/>
      <c r="G217" s="21">
        <f>Table841419410132427323943485356711182530394649[[#This Row],[VỐN CP]]+Table841419410132427323943485356711182530394649[[#This Row],[LỢI NHUẬN RÒNG]]</f>
        <v>0</v>
      </c>
      <c r="H217" s="28"/>
    </row>
    <row r="218" spans="1:8" hidden="1" x14ac:dyDescent="0.3">
      <c r="A218" s="23"/>
      <c r="B218" s="27"/>
      <c r="C218" s="21"/>
      <c r="D218" s="21"/>
      <c r="E218" s="21"/>
      <c r="F218" s="21"/>
      <c r="G218" s="21">
        <f>Table841419410132427323943485356711182530394649[[#This Row],[VỐN CP]]+Table841419410132427323943485356711182530394649[[#This Row],[LỢI NHUẬN RÒNG]]</f>
        <v>0</v>
      </c>
      <c r="H218" s="28"/>
    </row>
    <row r="219" spans="1:8" hidden="1" x14ac:dyDescent="0.3">
      <c r="A219" s="23"/>
      <c r="B219" s="27"/>
      <c r="C219" s="21"/>
      <c r="D219" s="21"/>
      <c r="E219" s="21"/>
      <c r="F219" s="21"/>
      <c r="G219" s="21">
        <f>Table841419410132427323943485356711182530394649[[#This Row],[VỐN CP]]+Table841419410132427323943485356711182530394649[[#This Row],[LỢI NHUẬN RÒNG]]</f>
        <v>0</v>
      </c>
      <c r="H219" s="28"/>
    </row>
    <row r="220" spans="1:8" hidden="1" x14ac:dyDescent="0.3">
      <c r="A220" s="23"/>
      <c r="B220" s="27"/>
      <c r="C220" s="21"/>
      <c r="D220" s="21"/>
      <c r="E220" s="21"/>
      <c r="F220" s="21"/>
      <c r="G220" s="21">
        <f>Table841419410132427323943485356711182530394649[[#This Row],[VỐN CP]]+Table841419410132427323943485356711182530394649[[#This Row],[LỢI NHUẬN RÒNG]]</f>
        <v>0</v>
      </c>
      <c r="H220" s="28"/>
    </row>
    <row r="221" spans="1:8" hidden="1" x14ac:dyDescent="0.3">
      <c r="A221" s="23"/>
      <c r="B221" s="27"/>
      <c r="C221" s="21"/>
      <c r="D221" s="21"/>
      <c r="E221" s="21"/>
      <c r="F221" s="21"/>
      <c r="G221" s="21">
        <f>Table841419410132427323943485356711182530394649[[#This Row],[VỐN CP]]+Table841419410132427323943485356711182530394649[[#This Row],[LỢI NHUẬN RÒNG]]</f>
        <v>0</v>
      </c>
      <c r="H221" s="28"/>
    </row>
    <row r="222" spans="1:8" hidden="1" x14ac:dyDescent="0.3">
      <c r="A222" s="23"/>
      <c r="B222" s="27"/>
      <c r="C222" s="21"/>
      <c r="D222" s="21"/>
      <c r="E222" s="21"/>
      <c r="F222" s="21"/>
      <c r="G222" s="21">
        <f>Table841419410132427323943485356711182530394649[[#This Row],[VỐN CP]]+Table841419410132427323943485356711182530394649[[#This Row],[LỢI NHUẬN RÒNG]]</f>
        <v>0</v>
      </c>
      <c r="H222" s="28"/>
    </row>
    <row r="223" spans="1:8" hidden="1" x14ac:dyDescent="0.3">
      <c r="A223" s="23"/>
      <c r="B223" s="27"/>
      <c r="C223" s="21"/>
      <c r="D223" s="21"/>
      <c r="E223" s="21"/>
      <c r="F223" s="21"/>
      <c r="G223" s="21">
        <f>Table841419410132427323943485356711182530394649[[#This Row],[VỐN CP]]+Table841419410132427323943485356711182530394649[[#This Row],[LỢI NHUẬN RÒNG]]</f>
        <v>0</v>
      </c>
      <c r="H223" s="28"/>
    </row>
    <row r="224" spans="1:8" hidden="1" x14ac:dyDescent="0.3">
      <c r="A224" s="23"/>
      <c r="B224" s="27"/>
      <c r="C224" s="21"/>
      <c r="D224" s="21"/>
      <c r="E224" s="21"/>
      <c r="F224" s="21"/>
      <c r="G224" s="21">
        <f>Table841419410132427323943485356711182530394649[[#This Row],[VỐN CP]]+Table841419410132427323943485356711182530394649[[#This Row],[LỢI NHUẬN RÒNG]]</f>
        <v>0</v>
      </c>
      <c r="H224" s="28"/>
    </row>
    <row r="225" spans="1:10" hidden="1" x14ac:dyDescent="0.3">
      <c r="A225" s="23"/>
      <c r="B225" s="27"/>
      <c r="C225" s="21"/>
      <c r="D225" s="21"/>
      <c r="E225" s="21"/>
      <c r="F225" s="21"/>
      <c r="G225" s="21">
        <f>Table841419410132427323943485356711182530394649[[#This Row],[VỐN CP]]+Table841419410132427323943485356711182530394649[[#This Row],[LỢI NHUẬN RÒNG]]</f>
        <v>0</v>
      </c>
      <c r="H225" s="28"/>
    </row>
    <row r="226" spans="1:10" hidden="1" x14ac:dyDescent="0.3">
      <c r="A226" s="23"/>
      <c r="B226" s="27"/>
      <c r="C226" s="21"/>
      <c r="D226" s="21"/>
      <c r="E226" s="21"/>
      <c r="F226" s="21"/>
      <c r="G226" s="21">
        <f>Table841419410132427323943485356711182530394649[[#This Row],[VỐN CP]]+Table841419410132427323943485356711182530394649[[#This Row],[LỢI NHUẬN RÒNG]]</f>
        <v>0</v>
      </c>
      <c r="H226" s="28"/>
    </row>
    <row r="227" spans="1:10" hidden="1" x14ac:dyDescent="0.3">
      <c r="A227" s="23"/>
      <c r="B227" s="27"/>
      <c r="C227" s="21"/>
      <c r="D227" s="21"/>
      <c r="E227" s="21"/>
      <c r="F227" s="21"/>
      <c r="G227" s="21">
        <f>Table841419410132427323943485356711182530394649[[#This Row],[VỐN CP]]+Table841419410132427323943485356711182530394649[[#This Row],[LỢI NHUẬN RÒNG]]</f>
        <v>0</v>
      </c>
      <c r="H227" s="28"/>
    </row>
    <row r="228" spans="1:10" hidden="1" x14ac:dyDescent="0.3">
      <c r="A228" s="23"/>
      <c r="B228" s="27"/>
      <c r="C228" s="21"/>
      <c r="D228" s="21"/>
      <c r="E228" s="21"/>
      <c r="F228" s="21"/>
      <c r="G228" s="21">
        <f>Table841419410132427323943485356711182530394649[[#This Row],[VỐN CP]]+Table841419410132427323943485356711182530394649[[#This Row],[LỢI NHUẬN RÒNG]]</f>
        <v>0</v>
      </c>
      <c r="H228" s="28"/>
    </row>
    <row r="229" spans="1:10" hidden="1" x14ac:dyDescent="0.3">
      <c r="A229" s="23"/>
      <c r="B229" s="27"/>
      <c r="C229" s="21"/>
      <c r="D229" s="21"/>
      <c r="E229" s="21"/>
      <c r="F229" s="21"/>
      <c r="G229" s="21">
        <f>Table841419410132427323943485356711182530394649[[#This Row],[VỐN CP]]+Table841419410132427323943485356711182530394649[[#This Row],[LỢI NHUẬN RÒNG]]</f>
        <v>0</v>
      </c>
      <c r="H229" s="28"/>
    </row>
    <row r="230" spans="1:10" hidden="1" x14ac:dyDescent="0.3">
      <c r="A230" s="23"/>
      <c r="B230" s="27"/>
      <c r="C230" s="21"/>
      <c r="D230" s="21"/>
      <c r="E230" s="21"/>
      <c r="F230" s="21"/>
      <c r="G230" s="21">
        <f>Table841419410132427323943485356711182530394649[[#This Row],[VỐN CP]]+Table841419410132427323943485356711182530394649[[#This Row],[LỢI NHUẬN RÒNG]]</f>
        <v>0</v>
      </c>
      <c r="H230" s="28"/>
    </row>
    <row r="231" spans="1:10" hidden="1" x14ac:dyDescent="0.3">
      <c r="A231" s="23"/>
      <c r="B231" s="27"/>
      <c r="C231" s="21"/>
      <c r="D231" s="21"/>
      <c r="E231" s="21"/>
      <c r="F231" s="21"/>
      <c r="G231" s="21">
        <f>Table841419410132427323943485356711182530394649[[#This Row],[VỐN CP]]+Table841419410132427323943485356711182530394649[[#This Row],[LỢI NHUẬN RÒNG]]</f>
        <v>0</v>
      </c>
      <c r="H231" s="28"/>
    </row>
    <row r="232" spans="1:10" hidden="1" x14ac:dyDescent="0.3">
      <c r="A232" s="23"/>
      <c r="B232" s="27"/>
      <c r="C232" s="21"/>
      <c r="D232" s="21"/>
      <c r="E232" s="21"/>
      <c r="F232" s="21"/>
      <c r="G232" s="21">
        <f>Table841419410132427323943485356711182530394649[[#This Row],[VỐN CP]]+Table841419410132427323943485356711182530394649[[#This Row],[LỢI NHUẬN RÒNG]]</f>
        <v>0</v>
      </c>
      <c r="H232" s="28"/>
    </row>
    <row r="233" spans="1:10" hidden="1" x14ac:dyDescent="0.3">
      <c r="A233" s="23"/>
      <c r="B233" s="27"/>
      <c r="C233" s="21"/>
      <c r="D233" s="21"/>
      <c r="E233" s="21"/>
      <c r="F233" s="21"/>
      <c r="G233" s="21">
        <f>Table841419410132427323943485356711182530394649[[#This Row],[VỐN CP]]+Table841419410132427323943485356711182530394649[[#This Row],[LỢI NHUẬN RÒNG]]</f>
        <v>0</v>
      </c>
      <c r="H233" s="28"/>
    </row>
    <row r="234" spans="1:10" hidden="1" x14ac:dyDescent="0.3">
      <c r="A234" s="23"/>
      <c r="G234" s="21">
        <f>Table841419410132427323943485356711182530394649[[#This Row],[VỐN CP]]+Table841419410132427323943485356711182530394649[[#This Row],[LỢI NHUẬN RÒNG]]</f>
        <v>0</v>
      </c>
      <c r="I234" s="11"/>
      <c r="J234" s="11"/>
    </row>
    <row r="235" spans="1:10" hidden="1" x14ac:dyDescent="0.3">
      <c r="A235" s="23"/>
      <c r="B235" s="21"/>
      <c r="C235" s="21"/>
      <c r="D235" s="21"/>
      <c r="E235" s="21"/>
      <c r="F235" s="21"/>
      <c r="G235" s="21">
        <f>Table841419410132427323943485356711182530394649[[#This Row],[VỐN CP]]+Table841419410132427323943485356711182530394649[[#This Row],[LỢI NHUẬN RÒNG]]</f>
        <v>0</v>
      </c>
      <c r="H235" s="28"/>
      <c r="I235" s="11"/>
      <c r="J235" s="11"/>
    </row>
    <row r="236" spans="1:10" hidden="1" x14ac:dyDescent="0.3">
      <c r="A236" s="23"/>
      <c r="B236" s="27"/>
      <c r="C236" s="21"/>
      <c r="D236" s="21"/>
      <c r="E236" s="21"/>
      <c r="F236" s="21"/>
      <c r="G236" s="21">
        <f>Table841419410132427323943485356711182530394649[[#This Row],[VỐN CP]]+Table841419410132427323943485356711182530394649[[#This Row],[LỢI NHUẬN RÒNG]]</f>
        <v>0</v>
      </c>
      <c r="H236" s="28"/>
      <c r="I236" s="11"/>
      <c r="J236" s="11"/>
    </row>
    <row r="237" spans="1:10" hidden="1" x14ac:dyDescent="0.3">
      <c r="A237" s="23"/>
      <c r="B237" s="27"/>
      <c r="C237" s="21"/>
      <c r="D237" s="21"/>
      <c r="E237" s="21"/>
      <c r="F237" s="21"/>
      <c r="G237" s="21">
        <f>Table841419410132427323943485356711182530394649[[#This Row],[VỐN CP]]+Table841419410132427323943485356711182530394649[[#This Row],[LỢI NHUẬN RÒNG]]</f>
        <v>0</v>
      </c>
      <c r="H237" s="28"/>
      <c r="I237" s="11"/>
      <c r="J237" s="11"/>
    </row>
    <row r="238" spans="1:10" hidden="1" x14ac:dyDescent="0.3">
      <c r="A238" s="23"/>
      <c r="B238" s="27"/>
      <c r="C238" s="21"/>
      <c r="D238" s="21"/>
      <c r="E238" s="21"/>
      <c r="F238" s="21"/>
      <c r="G238" s="21">
        <f>Table841419410132427323943485356711182530394649[[#This Row],[VỐN CP]]+Table841419410132427323943485356711182530394649[[#This Row],[LỢI NHUẬN RÒNG]]</f>
        <v>0</v>
      </c>
      <c r="H238" s="28"/>
      <c r="I238" s="11"/>
      <c r="J238" s="11"/>
    </row>
    <row r="239" spans="1:10" hidden="1" x14ac:dyDescent="0.3">
      <c r="A239" s="23"/>
      <c r="B239" s="27"/>
      <c r="C239" s="21"/>
      <c r="D239" s="21"/>
      <c r="E239" s="21"/>
      <c r="F239" s="21"/>
      <c r="G239" s="21">
        <f>Table841419410132427323943485356711182530394649[[#This Row],[VỐN CP]]+Table841419410132427323943485356711182530394649[[#This Row],[LỢI NHUẬN RÒNG]]</f>
        <v>0</v>
      </c>
      <c r="H239" s="28"/>
      <c r="I239" s="11"/>
      <c r="J239" s="11"/>
    </row>
    <row r="240" spans="1:10" hidden="1" x14ac:dyDescent="0.3">
      <c r="A240" s="23"/>
      <c r="B240" s="27"/>
      <c r="C240" s="21"/>
      <c r="D240" s="21"/>
      <c r="E240" s="21"/>
      <c r="F240" s="21"/>
      <c r="G240" s="21">
        <f>Table841419410132427323943485356711182530394649[[#This Row],[VỐN CP]]+Table841419410132427323943485356711182530394649[[#This Row],[LỢI NHUẬN RÒNG]]</f>
        <v>0</v>
      </c>
      <c r="H240" s="28"/>
      <c r="I240" s="11"/>
      <c r="J240" s="11"/>
    </row>
    <row r="241" spans="1:10" hidden="1" x14ac:dyDescent="0.3">
      <c r="A241" s="23"/>
      <c r="B241" s="27"/>
      <c r="C241" s="21"/>
      <c r="D241" s="21"/>
      <c r="E241" s="21"/>
      <c r="F241" s="21"/>
      <c r="G241" s="21">
        <f>Table841419410132427323943485356711182530394649[[#This Row],[VỐN CP]]+Table841419410132427323943485356711182530394649[[#This Row],[LỢI NHUẬN RÒNG]]</f>
        <v>0</v>
      </c>
      <c r="H241" s="28"/>
      <c r="I241" s="11"/>
      <c r="J241" s="11"/>
    </row>
    <row r="242" spans="1:10" hidden="1" x14ac:dyDescent="0.3">
      <c r="A242" s="23"/>
      <c r="B242" s="27"/>
      <c r="C242" s="21"/>
      <c r="D242" s="21"/>
      <c r="E242" s="21"/>
      <c r="F242" s="21"/>
      <c r="G242" s="21">
        <f>Table841419410132427323943485356711182530394649[[#This Row],[VỐN CP]]+Table841419410132427323943485356711182530394649[[#This Row],[LỢI NHUẬN RÒNG]]</f>
        <v>0</v>
      </c>
      <c r="H242" s="28"/>
      <c r="I242" s="11"/>
      <c r="J242" s="11"/>
    </row>
    <row r="243" spans="1:10" hidden="1" x14ac:dyDescent="0.3">
      <c r="A243" s="23"/>
      <c r="B243" s="27"/>
      <c r="C243" s="21"/>
      <c r="D243" s="21"/>
      <c r="E243" s="21"/>
      <c r="F243" s="21"/>
      <c r="G243" s="21">
        <f>Table841419410132427323943485356711182530394649[[#This Row],[VỐN CP]]+Table841419410132427323943485356711182530394649[[#This Row],[LỢI NHUẬN RÒNG]]</f>
        <v>0</v>
      </c>
      <c r="H243" s="28"/>
      <c r="I243" s="11"/>
      <c r="J243" s="11"/>
    </row>
    <row r="244" spans="1:10" hidden="1" x14ac:dyDescent="0.3">
      <c r="A244" s="23"/>
      <c r="B244" s="27"/>
      <c r="C244" s="21"/>
      <c r="D244" s="21"/>
      <c r="E244" s="21"/>
      <c r="F244" s="21"/>
      <c r="G244" s="21">
        <f>Table841419410132427323943485356711182530394649[[#This Row],[VỐN CP]]+Table841419410132427323943485356711182530394649[[#This Row],[LỢI NHUẬN RÒNG]]</f>
        <v>0</v>
      </c>
      <c r="H244" s="28"/>
      <c r="I244" s="11"/>
      <c r="J244" s="11"/>
    </row>
    <row r="245" spans="1:10" hidden="1" x14ac:dyDescent="0.3">
      <c r="A245" s="23"/>
      <c r="B245" s="27"/>
      <c r="C245" s="21"/>
      <c r="D245" s="21"/>
      <c r="E245" s="21"/>
      <c r="F245" s="21"/>
      <c r="G245" s="21">
        <f>Table841419410132427323943485356711182530394649[[#This Row],[VỐN CP]]+Table841419410132427323943485356711182530394649[[#This Row],[LỢI NHUẬN RÒNG]]</f>
        <v>0</v>
      </c>
      <c r="H245" s="28"/>
      <c r="I245" s="11"/>
      <c r="J245" s="11"/>
    </row>
    <row r="246" spans="1:10" hidden="1" x14ac:dyDescent="0.3">
      <c r="A246" s="23"/>
      <c r="B246" s="27"/>
      <c r="C246" s="21"/>
      <c r="D246" s="21"/>
      <c r="E246" s="21"/>
      <c r="F246" s="21"/>
      <c r="G246" s="21">
        <f>Table841419410132427323943485356711182530394649[[#This Row],[VỐN CP]]+Table841419410132427323943485356711182530394649[[#This Row],[LỢI NHUẬN RÒNG]]</f>
        <v>0</v>
      </c>
      <c r="H246" s="28"/>
      <c r="I246" s="11"/>
      <c r="J246" s="11"/>
    </row>
    <row r="247" spans="1:10" hidden="1" x14ac:dyDescent="0.3">
      <c r="A247" s="23"/>
      <c r="B247" s="27"/>
      <c r="C247" s="21"/>
      <c r="D247" s="21"/>
      <c r="E247" s="21"/>
      <c r="F247" s="21"/>
      <c r="G247" s="21">
        <f>Table841419410132427323943485356711182530394649[[#This Row],[VỐN CP]]+Table841419410132427323943485356711182530394649[[#This Row],[LỢI NHUẬN RÒNG]]</f>
        <v>0</v>
      </c>
      <c r="H247" s="28"/>
      <c r="I247" s="11"/>
      <c r="J247" s="11"/>
    </row>
    <row r="248" spans="1:10" hidden="1" x14ac:dyDescent="0.3">
      <c r="A248" s="23"/>
      <c r="B248" s="27"/>
      <c r="C248" s="21"/>
      <c r="D248" s="21"/>
      <c r="E248" s="21"/>
      <c r="F248" s="21"/>
      <c r="G248" s="21">
        <f>Table841419410132427323943485356711182530394649[[#This Row],[VỐN CP]]+Table841419410132427323943485356711182530394649[[#This Row],[LỢI NHUẬN RÒNG]]</f>
        <v>0</v>
      </c>
      <c r="H248" s="28"/>
      <c r="I248" s="11"/>
      <c r="J248" s="11"/>
    </row>
    <row r="249" spans="1:10" hidden="1" x14ac:dyDescent="0.3">
      <c r="A249" s="23"/>
      <c r="B249" s="27"/>
      <c r="C249" s="21"/>
      <c r="D249" s="21"/>
      <c r="E249" s="21"/>
      <c r="F249" s="21"/>
      <c r="G249" s="21">
        <f>Table841419410132427323943485356711182530394649[[#This Row],[VỐN CP]]+Table841419410132427323943485356711182530394649[[#This Row],[LỢI NHUẬN RÒNG]]</f>
        <v>0</v>
      </c>
      <c r="H249" s="28"/>
      <c r="I249" s="11"/>
      <c r="J249" s="11"/>
    </row>
    <row r="250" spans="1:10" hidden="1" x14ac:dyDescent="0.3">
      <c r="A250" s="23"/>
      <c r="B250" s="27"/>
      <c r="C250" s="21"/>
      <c r="D250" s="21"/>
      <c r="E250" s="21"/>
      <c r="F250" s="21"/>
      <c r="G250" s="21">
        <f>Table841419410132427323943485356711182530394649[[#This Row],[VỐN CP]]+Table841419410132427323943485356711182530394649[[#This Row],[LỢI NHUẬN RÒNG]]</f>
        <v>0</v>
      </c>
      <c r="H250" s="28"/>
      <c r="I250" s="11"/>
      <c r="J250" s="11"/>
    </row>
    <row r="251" spans="1:10" hidden="1" x14ac:dyDescent="0.3">
      <c r="A251" s="23"/>
      <c r="B251" s="27"/>
      <c r="C251" s="21"/>
      <c r="D251" s="21"/>
      <c r="E251" s="21"/>
      <c r="F251" s="21"/>
      <c r="G251" s="21">
        <f>Table841419410132427323943485356711182530394649[[#This Row],[VỐN CP]]+Table841419410132427323943485356711182530394649[[#This Row],[LỢI NHUẬN RÒNG]]</f>
        <v>0</v>
      </c>
      <c r="H251" s="28"/>
      <c r="I251" s="11"/>
      <c r="J251" s="11"/>
    </row>
    <row r="252" spans="1:10" hidden="1" x14ac:dyDescent="0.3">
      <c r="A252" s="23"/>
      <c r="B252" s="27"/>
      <c r="C252" s="21"/>
      <c r="D252" s="21"/>
      <c r="E252" s="21"/>
      <c r="F252" s="21"/>
      <c r="G252" s="21">
        <f>Table841419410132427323943485356711182530394649[[#This Row],[VỐN CP]]+Table841419410132427323943485356711182530394649[[#This Row],[LỢI NHUẬN RÒNG]]</f>
        <v>0</v>
      </c>
      <c r="H252" s="28"/>
      <c r="I252" s="11"/>
      <c r="J252" s="11"/>
    </row>
    <row r="253" spans="1:10" hidden="1" x14ac:dyDescent="0.3">
      <c r="A253" s="23"/>
      <c r="B253" s="27"/>
      <c r="C253" s="21"/>
      <c r="D253" s="21"/>
      <c r="E253" s="21"/>
      <c r="F253" s="21"/>
      <c r="G253" s="21">
        <f>Table841419410132427323943485356711182530394649[[#This Row],[VỐN CP]]+Table841419410132427323943485356711182530394649[[#This Row],[LỢI NHUẬN RÒNG]]</f>
        <v>0</v>
      </c>
      <c r="H253" s="28"/>
      <c r="I253" s="11"/>
      <c r="J253" s="11"/>
    </row>
    <row r="254" spans="1:10" hidden="1" x14ac:dyDescent="0.3">
      <c r="A254" s="23"/>
      <c r="B254" s="27"/>
      <c r="C254" s="21"/>
      <c r="D254" s="21"/>
      <c r="E254" s="21"/>
      <c r="F254" s="21"/>
      <c r="G254" s="21">
        <f>Table841419410132427323943485356711182530394649[[#This Row],[VỐN CP]]+Table841419410132427323943485356711182530394649[[#This Row],[LỢI NHUẬN RÒNG]]</f>
        <v>0</v>
      </c>
      <c r="H254" s="28"/>
      <c r="I254" s="11"/>
      <c r="J254" s="11"/>
    </row>
    <row r="255" spans="1:10" hidden="1" x14ac:dyDescent="0.3">
      <c r="A255" s="23"/>
      <c r="B255" s="27"/>
      <c r="C255" s="21"/>
      <c r="D255" s="21"/>
      <c r="E255" s="21"/>
      <c r="F255" s="21"/>
      <c r="G255" s="21">
        <f>Table841419410132427323943485356711182530394649[[#This Row],[VỐN CP]]+Table841419410132427323943485356711182530394649[[#This Row],[LỢI NHUẬN RÒNG]]</f>
        <v>0</v>
      </c>
      <c r="H255" s="28"/>
      <c r="I255" s="11"/>
      <c r="J255" s="11"/>
    </row>
    <row r="256" spans="1:10" hidden="1" x14ac:dyDescent="0.3">
      <c r="A256" s="23"/>
      <c r="B256" s="27"/>
      <c r="C256" s="21"/>
      <c r="D256" s="21"/>
      <c r="E256" s="21"/>
      <c r="F256" s="21"/>
      <c r="G256" s="21">
        <f>Table841419410132427323943485356711182530394649[[#This Row],[VỐN CP]]+Table841419410132427323943485356711182530394649[[#This Row],[LỢI NHUẬN RÒNG]]</f>
        <v>0</v>
      </c>
      <c r="H256" s="28"/>
      <c r="I256" s="11"/>
      <c r="J256" s="11"/>
    </row>
    <row r="257" spans="1:10" hidden="1" x14ac:dyDescent="0.3">
      <c r="A257" s="23"/>
      <c r="B257" s="27"/>
      <c r="C257" s="21"/>
      <c r="D257" s="21"/>
      <c r="E257" s="21"/>
      <c r="F257" s="21"/>
      <c r="G257" s="21">
        <f>Table841419410132427323943485356711182530394649[[#This Row],[VỐN CP]]+Table841419410132427323943485356711182530394649[[#This Row],[LỢI NHUẬN RÒNG]]</f>
        <v>0</v>
      </c>
      <c r="H257" s="28"/>
      <c r="I257" s="11"/>
      <c r="J257" s="11"/>
    </row>
    <row r="258" spans="1:10" hidden="1" x14ac:dyDescent="0.3">
      <c r="A258" s="23"/>
      <c r="B258" s="27"/>
      <c r="C258" s="21"/>
      <c r="D258" s="21"/>
      <c r="E258" s="21"/>
      <c r="F258" s="21"/>
      <c r="G258" s="21">
        <f>Table841419410132427323943485356711182530394649[[#This Row],[VỐN CP]]+Table841419410132427323943485356711182530394649[[#This Row],[LỢI NHUẬN RÒNG]]</f>
        <v>0</v>
      </c>
      <c r="H258" s="28"/>
      <c r="I258" s="11"/>
      <c r="J258" s="11"/>
    </row>
    <row r="259" spans="1:10" hidden="1" x14ac:dyDescent="0.3">
      <c r="A259" s="23"/>
      <c r="B259" s="27"/>
      <c r="C259" s="21"/>
      <c r="D259" s="21"/>
      <c r="E259" s="21"/>
      <c r="F259" s="21"/>
      <c r="G259" s="21">
        <f>Table841419410132427323943485356711182530394649[[#This Row],[VỐN CP]]+Table841419410132427323943485356711182530394649[[#This Row],[LỢI NHUẬN RÒNG]]</f>
        <v>0</v>
      </c>
      <c r="H259" s="28"/>
      <c r="I259" s="11"/>
      <c r="J259" s="11"/>
    </row>
    <row r="260" spans="1:10" hidden="1" x14ac:dyDescent="0.3">
      <c r="A260" s="23"/>
      <c r="B260" s="27"/>
      <c r="C260" s="21"/>
      <c r="D260" s="21"/>
      <c r="E260" s="21"/>
      <c r="F260" s="21"/>
      <c r="G260" s="21">
        <f>Table841419410132427323943485356711182530394649[[#This Row],[VỐN CP]]+Table841419410132427323943485356711182530394649[[#This Row],[LỢI NHUẬN RÒNG]]</f>
        <v>0</v>
      </c>
      <c r="H260" s="28"/>
      <c r="I260" s="11"/>
      <c r="J260" s="11"/>
    </row>
    <row r="261" spans="1:10" hidden="1" x14ac:dyDescent="0.3">
      <c r="A261" s="23"/>
      <c r="B261" s="27"/>
      <c r="C261" s="21"/>
      <c r="D261" s="21"/>
      <c r="E261" s="21"/>
      <c r="F261" s="21"/>
      <c r="G261" s="21">
        <f>Table841419410132427323943485356711182530394649[[#This Row],[VỐN CP]]+Table841419410132427323943485356711182530394649[[#This Row],[LỢI NHUẬN RÒNG]]</f>
        <v>0</v>
      </c>
      <c r="H261" s="28"/>
      <c r="I261" s="11"/>
      <c r="J261" s="11"/>
    </row>
    <row r="262" spans="1:10" hidden="1" x14ac:dyDescent="0.3">
      <c r="A262" s="23"/>
      <c r="B262" s="27"/>
      <c r="C262" s="21"/>
      <c r="D262" s="21"/>
      <c r="E262" s="21"/>
      <c r="F262" s="21"/>
      <c r="G262" s="21">
        <f>Table841419410132427323943485356711182530394649[[#This Row],[VỐN CP]]+Table841419410132427323943485356711182530394649[[#This Row],[LỢI NHUẬN RÒNG]]</f>
        <v>0</v>
      </c>
      <c r="H262" s="28"/>
      <c r="I262" s="11"/>
      <c r="J262" s="11"/>
    </row>
    <row r="263" spans="1:10" hidden="1" x14ac:dyDescent="0.3">
      <c r="A263" s="23"/>
      <c r="B263" s="27"/>
      <c r="C263" s="21"/>
      <c r="D263" s="21"/>
      <c r="E263" s="21"/>
      <c r="F263" s="21"/>
      <c r="G263" s="21">
        <f>Table841419410132427323943485356711182530394649[[#This Row],[VỐN CP]]+Table841419410132427323943485356711182530394649[[#This Row],[LỢI NHUẬN RÒNG]]</f>
        <v>0</v>
      </c>
      <c r="H263" s="28"/>
      <c r="I263" s="11"/>
      <c r="J263" s="11"/>
    </row>
    <row r="264" spans="1:10" hidden="1" x14ac:dyDescent="0.3">
      <c r="A264" s="23"/>
      <c r="B264" s="27"/>
      <c r="C264" s="21"/>
      <c r="D264" s="21"/>
      <c r="E264" s="21"/>
      <c r="F264" s="21"/>
      <c r="G264" s="21">
        <f>Table841419410132427323943485356711182530394649[[#This Row],[VỐN CP]]+Table841419410132427323943485356711182530394649[[#This Row],[LỢI NHUẬN RÒNG]]</f>
        <v>0</v>
      </c>
      <c r="H264" s="28"/>
      <c r="I264" s="11"/>
      <c r="J264" s="11"/>
    </row>
    <row r="265" spans="1:10" hidden="1" x14ac:dyDescent="0.3">
      <c r="A265" s="23"/>
      <c r="B265" s="27"/>
      <c r="C265" s="21"/>
      <c r="D265" s="21"/>
      <c r="E265" s="21"/>
      <c r="F265" s="21"/>
      <c r="G265" s="21">
        <f>Table841419410132427323943485356711182530394649[[#This Row],[VỐN CP]]+Table841419410132427323943485356711182530394649[[#This Row],[LỢI NHUẬN RÒNG]]</f>
        <v>0</v>
      </c>
      <c r="H265" s="28"/>
      <c r="I265" s="11"/>
      <c r="J265" s="11"/>
    </row>
    <row r="266" spans="1:10" hidden="1" x14ac:dyDescent="0.3">
      <c r="A266" s="23"/>
      <c r="B266" s="27"/>
      <c r="C266" s="21"/>
      <c r="D266" s="21"/>
      <c r="E266" s="21"/>
      <c r="F266" s="21"/>
      <c r="G266" s="21">
        <f>Table841419410132427323943485356711182530394649[[#This Row],[VỐN CP]]+Table841419410132427323943485356711182530394649[[#This Row],[LỢI NHUẬN RÒNG]]</f>
        <v>0</v>
      </c>
      <c r="H266" s="28"/>
      <c r="I266" s="11"/>
      <c r="J266" s="11"/>
    </row>
    <row r="267" spans="1:10" hidden="1" x14ac:dyDescent="0.3">
      <c r="A267" s="23"/>
      <c r="B267" s="27"/>
      <c r="C267" s="21"/>
      <c r="D267" s="21"/>
      <c r="E267" s="21"/>
      <c r="F267" s="21"/>
      <c r="G267" s="21">
        <f>Table841419410132427323943485356711182530394649[[#This Row],[VỐN CP]]+Table841419410132427323943485356711182530394649[[#This Row],[LỢI NHUẬN RÒNG]]</f>
        <v>0</v>
      </c>
      <c r="H267" s="28"/>
      <c r="I267" s="11"/>
      <c r="J267" s="11"/>
    </row>
    <row r="268" spans="1:10" hidden="1" x14ac:dyDescent="0.3">
      <c r="A268" s="23"/>
      <c r="B268" s="27"/>
      <c r="C268" s="21"/>
      <c r="D268" s="21"/>
      <c r="E268" s="21"/>
      <c r="F268" s="21"/>
      <c r="G268" s="21">
        <f>Table841419410132427323943485356711182530394649[[#This Row],[VỐN CP]]+Table841419410132427323943485356711182530394649[[#This Row],[LỢI NHUẬN RÒNG]]</f>
        <v>0</v>
      </c>
      <c r="H268" s="28"/>
      <c r="I268" s="11"/>
      <c r="J268" s="11"/>
    </row>
    <row r="269" spans="1:10" hidden="1" x14ac:dyDescent="0.3">
      <c r="A269" s="23"/>
      <c r="B269" s="27"/>
      <c r="C269" s="21"/>
      <c r="D269" s="21"/>
      <c r="E269" s="21"/>
      <c r="F269" s="21"/>
      <c r="G269" s="21">
        <f>Table841419410132427323943485356711182530394649[[#This Row],[VỐN CP]]+Table841419410132427323943485356711182530394649[[#This Row],[LỢI NHUẬN RÒNG]]</f>
        <v>0</v>
      </c>
      <c r="H269" s="28"/>
      <c r="I269" s="11"/>
      <c r="J269" s="11"/>
    </row>
    <row r="270" spans="1:10" hidden="1" x14ac:dyDescent="0.3">
      <c r="A270" s="23"/>
      <c r="B270" s="27"/>
      <c r="C270" s="21"/>
      <c r="D270" s="21"/>
      <c r="E270" s="21"/>
      <c r="F270" s="21"/>
      <c r="G270" s="21">
        <f>Table841419410132427323943485356711182530394649[[#This Row],[VỐN CP]]+Table841419410132427323943485356711182530394649[[#This Row],[LỢI NHUẬN RÒNG]]</f>
        <v>0</v>
      </c>
      <c r="H270" s="28"/>
      <c r="I270" s="11"/>
      <c r="J270" s="11"/>
    </row>
    <row r="271" spans="1:10" hidden="1" x14ac:dyDescent="0.3">
      <c r="A271" s="23"/>
      <c r="B271" s="27"/>
      <c r="C271" s="21"/>
      <c r="D271" s="21"/>
      <c r="E271" s="21"/>
      <c r="F271" s="21"/>
      <c r="G271" s="21">
        <f>Table841419410132427323943485356711182530394649[[#This Row],[VỐN CP]]+Table841419410132427323943485356711182530394649[[#This Row],[LỢI NHUẬN RÒNG]]</f>
        <v>0</v>
      </c>
      <c r="H271" s="28"/>
      <c r="I271" s="11"/>
      <c r="J271" s="11"/>
    </row>
    <row r="272" spans="1:10" hidden="1" x14ac:dyDescent="0.3">
      <c r="A272" s="23"/>
      <c r="B272" s="27"/>
      <c r="C272" s="21"/>
      <c r="D272" s="21"/>
      <c r="E272" s="21"/>
      <c r="F272" s="21"/>
      <c r="G272" s="21">
        <f>Table841419410132427323943485356711182530394649[[#This Row],[VỐN CP]]+Table841419410132427323943485356711182530394649[[#This Row],[LỢI NHUẬN RÒNG]]</f>
        <v>0</v>
      </c>
      <c r="H272" s="28"/>
      <c r="I272" s="11"/>
      <c r="J272" s="11"/>
    </row>
    <row r="273" spans="1:10" hidden="1" x14ac:dyDescent="0.3">
      <c r="A273" s="23"/>
      <c r="B273" s="27"/>
      <c r="C273" s="21"/>
      <c r="D273" s="21"/>
      <c r="E273" s="21"/>
      <c r="F273" s="21"/>
      <c r="G273" s="21">
        <f>Table841419410132427323943485356711182530394649[[#This Row],[VỐN CP]]+Table841419410132427323943485356711182530394649[[#This Row],[LỢI NHUẬN RÒNG]]</f>
        <v>0</v>
      </c>
      <c r="H273" s="28"/>
      <c r="I273" s="11"/>
      <c r="J273" s="11"/>
    </row>
    <row r="274" spans="1:10" hidden="1" x14ac:dyDescent="0.3">
      <c r="A274" s="23"/>
      <c r="B274" s="27"/>
      <c r="C274" s="21"/>
      <c r="D274" s="21"/>
      <c r="E274" s="21"/>
      <c r="F274" s="21"/>
      <c r="G274" s="21">
        <f>Table841419410132427323943485356711182530394649[[#This Row],[VỐN CP]]+Table841419410132427323943485356711182530394649[[#This Row],[LỢI NHUẬN RÒNG]]</f>
        <v>0</v>
      </c>
      <c r="H274" s="28"/>
      <c r="I274" s="11"/>
      <c r="J274" s="11"/>
    </row>
    <row r="275" spans="1:10" hidden="1" x14ac:dyDescent="0.3">
      <c r="A275" s="23"/>
      <c r="B275" s="27"/>
      <c r="C275" s="21"/>
      <c r="D275" s="21"/>
      <c r="E275" s="21"/>
      <c r="F275" s="21"/>
      <c r="G275" s="21">
        <f>Table841419410132427323943485356711182530394649[[#This Row],[VỐN CP]]+Table841419410132427323943485356711182530394649[[#This Row],[LỢI NHUẬN RÒNG]]</f>
        <v>0</v>
      </c>
      <c r="H275" s="28"/>
      <c r="I275" s="11"/>
      <c r="J275" s="11"/>
    </row>
    <row r="276" spans="1:10" hidden="1" x14ac:dyDescent="0.3">
      <c r="A276" s="23"/>
      <c r="B276" s="27"/>
      <c r="C276" s="21"/>
      <c r="D276" s="21"/>
      <c r="E276" s="21"/>
      <c r="F276" s="21"/>
      <c r="G276" s="21">
        <f>Table841419410132427323943485356711182530394649[[#This Row],[VỐN CP]]+Table841419410132427323943485356711182530394649[[#This Row],[LỢI NHUẬN RÒNG]]</f>
        <v>0</v>
      </c>
      <c r="H276" s="28"/>
      <c r="I276" s="11"/>
      <c r="J276" s="11"/>
    </row>
    <row r="277" spans="1:10" hidden="1" x14ac:dyDescent="0.3">
      <c r="A277" s="23"/>
      <c r="B277" s="27"/>
      <c r="C277" s="21"/>
      <c r="D277" s="21"/>
      <c r="E277" s="21"/>
      <c r="F277" s="21"/>
      <c r="G277" s="21">
        <f>Table841419410132427323943485356711182530394649[[#This Row],[VỐN CP]]+Table841419410132427323943485356711182530394649[[#This Row],[LỢI NHUẬN RÒNG]]</f>
        <v>0</v>
      </c>
      <c r="H277" s="28"/>
      <c r="I277" s="11"/>
      <c r="J277" s="11"/>
    </row>
    <row r="278" spans="1:10" hidden="1" x14ac:dyDescent="0.3">
      <c r="A278" s="23"/>
      <c r="B278" s="27"/>
      <c r="C278" s="21"/>
      <c r="D278" s="21"/>
      <c r="E278" s="21"/>
      <c r="F278" s="21"/>
      <c r="G278" s="21">
        <f>Table841419410132427323943485356711182530394649[[#This Row],[VỐN CP]]+Table841419410132427323943485356711182530394649[[#This Row],[LỢI NHUẬN RÒNG]]</f>
        <v>0</v>
      </c>
      <c r="H278" s="28"/>
      <c r="I278" s="11"/>
      <c r="J278" s="11"/>
    </row>
    <row r="279" spans="1:10" hidden="1" x14ac:dyDescent="0.3">
      <c r="A279" s="23"/>
      <c r="B279" s="27"/>
      <c r="C279" s="21"/>
      <c r="D279" s="21"/>
      <c r="E279" s="21"/>
      <c r="F279" s="21"/>
      <c r="G279" s="21">
        <f>Table841419410132427323943485356711182530394649[[#This Row],[VỐN CP]]+Table841419410132427323943485356711182530394649[[#This Row],[LỢI NHUẬN RÒNG]]</f>
        <v>0</v>
      </c>
      <c r="H279" s="28"/>
      <c r="I279" s="11"/>
      <c r="J279" s="11"/>
    </row>
    <row r="280" spans="1:10" hidden="1" x14ac:dyDescent="0.3">
      <c r="A280" s="23"/>
      <c r="B280" s="27"/>
      <c r="C280" s="21"/>
      <c r="D280" s="21"/>
      <c r="E280" s="21"/>
      <c r="F280" s="21"/>
      <c r="G280" s="21">
        <f>Table841419410132427323943485356711182530394649[[#This Row],[VỐN CP]]+Table841419410132427323943485356711182530394649[[#This Row],[LỢI NHUẬN RÒNG]]</f>
        <v>0</v>
      </c>
      <c r="H280" s="28"/>
      <c r="I280" s="11"/>
      <c r="J280" s="11"/>
    </row>
    <row r="281" spans="1:10" hidden="1" x14ac:dyDescent="0.3">
      <c r="A281" s="23"/>
      <c r="B281" s="27"/>
      <c r="C281" s="21"/>
      <c r="D281" s="21"/>
      <c r="E281" s="21"/>
      <c r="F281" s="21"/>
      <c r="G281" s="21">
        <f>Table841419410132427323943485356711182530394649[[#This Row],[VỐN CP]]+Table841419410132427323943485356711182530394649[[#This Row],[LỢI NHUẬN RÒNG]]</f>
        <v>0</v>
      </c>
      <c r="H281" s="28"/>
      <c r="I281" s="11"/>
      <c r="J281" s="11"/>
    </row>
    <row r="282" spans="1:10" hidden="1" x14ac:dyDescent="0.3">
      <c r="A282" s="23"/>
      <c r="B282" s="27"/>
      <c r="C282" s="21"/>
      <c r="D282" s="21"/>
      <c r="E282" s="21"/>
      <c r="F282" s="21"/>
      <c r="G282" s="21">
        <f>Table841419410132427323943485356711182530394649[[#This Row],[VỐN CP]]+Table841419410132427323943485356711182530394649[[#This Row],[LỢI NHUẬN RÒNG]]</f>
        <v>0</v>
      </c>
      <c r="H282" s="28"/>
      <c r="I282" s="11"/>
      <c r="J282" s="11"/>
    </row>
    <row r="283" spans="1:10" hidden="1" x14ac:dyDescent="0.3">
      <c r="A283" s="23"/>
      <c r="B283" s="27"/>
      <c r="C283" s="21"/>
      <c r="D283" s="21"/>
      <c r="E283" s="21"/>
      <c r="F283" s="21"/>
      <c r="G283" s="21">
        <f>Table841419410132427323943485356711182530394649[[#This Row],[VỐN CP]]+Table841419410132427323943485356711182530394649[[#This Row],[LỢI NHUẬN RÒNG]]</f>
        <v>0</v>
      </c>
      <c r="H283" s="28"/>
      <c r="I283" s="11"/>
      <c r="J283" s="11"/>
    </row>
    <row r="284" spans="1:10" hidden="1" x14ac:dyDescent="0.3">
      <c r="A284" s="23"/>
      <c r="B284" s="27"/>
      <c r="C284" s="21"/>
      <c r="D284" s="21"/>
      <c r="E284" s="21"/>
      <c r="F284" s="21"/>
      <c r="G284" s="21">
        <f>Table841419410132427323943485356711182530394649[[#This Row],[VỐN CP]]+Table841419410132427323943485356711182530394649[[#This Row],[LỢI NHUẬN RÒNG]]</f>
        <v>0</v>
      </c>
      <c r="H284" s="28"/>
      <c r="I284" s="11"/>
      <c r="J284" s="11"/>
    </row>
    <row r="285" spans="1:10" hidden="1" x14ac:dyDescent="0.3">
      <c r="A285" s="23"/>
      <c r="B285" s="27"/>
      <c r="C285" s="21"/>
      <c r="D285" s="21"/>
      <c r="E285" s="21"/>
      <c r="F285" s="21"/>
      <c r="G285" s="21">
        <f>Table841419410132427323943485356711182530394649[[#This Row],[VỐN CP]]+Table841419410132427323943485356711182530394649[[#This Row],[LỢI NHUẬN RÒNG]]</f>
        <v>0</v>
      </c>
      <c r="H285" s="28"/>
      <c r="I285" s="11"/>
      <c r="J285" s="11"/>
    </row>
    <row r="286" spans="1:10" hidden="1" x14ac:dyDescent="0.3">
      <c r="A286" s="23"/>
      <c r="B286" s="27"/>
      <c r="C286" s="21"/>
      <c r="D286" s="21"/>
      <c r="E286" s="21"/>
      <c r="F286" s="21"/>
      <c r="G286" s="21">
        <f>Table841419410132427323943485356711182530394649[[#This Row],[VỐN CP]]+Table841419410132427323943485356711182530394649[[#This Row],[LỢI NHUẬN RÒNG]]</f>
        <v>0</v>
      </c>
      <c r="H286" s="28"/>
      <c r="I286" s="11"/>
      <c r="J286" s="11"/>
    </row>
    <row r="287" spans="1:10" hidden="1" x14ac:dyDescent="0.3">
      <c r="A287" s="23"/>
      <c r="B287" s="27"/>
      <c r="C287" s="21"/>
      <c r="D287" s="21"/>
      <c r="E287" s="21"/>
      <c r="F287" s="21"/>
      <c r="G287" s="21">
        <f>Table841419410132427323943485356711182530394649[[#This Row],[VỐN CP]]+Table841419410132427323943485356711182530394649[[#This Row],[LỢI NHUẬN RÒNG]]</f>
        <v>0</v>
      </c>
      <c r="H287" s="28"/>
      <c r="I287" s="11"/>
      <c r="J287" s="11"/>
    </row>
    <row r="288" spans="1:10" hidden="1" x14ac:dyDescent="0.3">
      <c r="A288" s="23"/>
      <c r="B288" s="27"/>
      <c r="C288" s="21"/>
      <c r="D288" s="21"/>
      <c r="E288" s="21"/>
      <c r="F288" s="21"/>
      <c r="G288" s="21">
        <f>Table841419410132427323943485356711182530394649[[#This Row],[VỐN CP]]+Table841419410132427323943485356711182530394649[[#This Row],[LỢI NHUẬN RÒNG]]</f>
        <v>0</v>
      </c>
      <c r="H288" s="28"/>
      <c r="I288" s="11"/>
      <c r="J288" s="11"/>
    </row>
    <row r="289" spans="1:10" hidden="1" x14ac:dyDescent="0.3">
      <c r="A289" s="23"/>
      <c r="B289" s="27"/>
      <c r="C289" s="21"/>
      <c r="D289" s="21"/>
      <c r="E289" s="21"/>
      <c r="F289" s="21"/>
      <c r="G289" s="21">
        <f>Table841419410132427323943485356711182530394649[[#This Row],[VỐN CP]]+Table841419410132427323943485356711182530394649[[#This Row],[LỢI NHUẬN RÒNG]]</f>
        <v>0</v>
      </c>
      <c r="H289" s="28"/>
      <c r="I289" s="11"/>
      <c r="J289" s="11"/>
    </row>
    <row r="290" spans="1:10" hidden="1" x14ac:dyDescent="0.3">
      <c r="A290" s="23"/>
      <c r="B290" s="27"/>
      <c r="C290" s="21"/>
      <c r="D290" s="21"/>
      <c r="E290" s="21"/>
      <c r="F290" s="21"/>
      <c r="G290" s="21">
        <f>Table841419410132427323943485356711182530394649[[#This Row],[VỐN CP]]+Table841419410132427323943485356711182530394649[[#This Row],[LỢI NHUẬN RÒNG]]</f>
        <v>0</v>
      </c>
      <c r="H290" s="28"/>
      <c r="I290" s="11"/>
      <c r="J290" s="11"/>
    </row>
    <row r="291" spans="1:10" hidden="1" x14ac:dyDescent="0.3">
      <c r="A291" s="23"/>
      <c r="B291" s="27"/>
      <c r="C291" s="21"/>
      <c r="D291" s="21"/>
      <c r="E291" s="21"/>
      <c r="F291" s="21"/>
      <c r="G291" s="21">
        <f>Table841419410132427323943485356711182530394649[[#This Row],[VỐN CP]]+Table841419410132427323943485356711182530394649[[#This Row],[LỢI NHUẬN RÒNG]]</f>
        <v>0</v>
      </c>
      <c r="H291" s="28"/>
      <c r="I291" s="11"/>
      <c r="J291" s="11"/>
    </row>
    <row r="292" spans="1:10" hidden="1" x14ac:dyDescent="0.3">
      <c r="A292" s="23"/>
      <c r="B292" s="27"/>
      <c r="C292" s="21"/>
      <c r="D292" s="21"/>
      <c r="E292" s="21"/>
      <c r="F292" s="21"/>
      <c r="G292" s="21">
        <f>Table841419410132427323943485356711182530394649[[#This Row],[VỐN CP]]+Table841419410132427323943485356711182530394649[[#This Row],[LỢI NHUẬN RÒNG]]</f>
        <v>0</v>
      </c>
      <c r="H292" s="28"/>
      <c r="I292" s="11"/>
      <c r="J292" s="11"/>
    </row>
    <row r="293" spans="1:10" hidden="1" x14ac:dyDescent="0.3">
      <c r="A293" s="23"/>
      <c r="B293" s="27"/>
      <c r="C293" s="21"/>
      <c r="D293" s="21"/>
      <c r="E293" s="21"/>
      <c r="F293" s="21"/>
      <c r="G293" s="21">
        <f>Table841419410132427323943485356711182530394649[[#This Row],[VỐN CP]]+Table841419410132427323943485356711182530394649[[#This Row],[LỢI NHUẬN RÒNG]]</f>
        <v>0</v>
      </c>
      <c r="H293" s="28"/>
      <c r="I293" s="11"/>
      <c r="J293" s="11"/>
    </row>
    <row r="294" spans="1:10" hidden="1" x14ac:dyDescent="0.3">
      <c r="A294" s="23"/>
      <c r="B294" s="27"/>
      <c r="C294" s="21"/>
      <c r="D294" s="21"/>
      <c r="E294" s="21"/>
      <c r="F294" s="21"/>
      <c r="G294" s="21">
        <f>Table841419410132427323943485356711182530394649[[#This Row],[VỐN CP]]+Table841419410132427323943485356711182530394649[[#This Row],[LỢI NHUẬN RÒNG]]</f>
        <v>0</v>
      </c>
      <c r="H294" s="28"/>
      <c r="I294" s="11"/>
      <c r="J294" s="11"/>
    </row>
    <row r="295" spans="1:10" hidden="1" x14ac:dyDescent="0.3">
      <c r="A295" s="23"/>
      <c r="B295" s="27"/>
      <c r="C295" s="21"/>
      <c r="D295" s="21"/>
      <c r="E295" s="21"/>
      <c r="F295" s="21"/>
      <c r="G295" s="21">
        <f>Table841419410132427323943485356711182530394649[[#This Row],[VỐN CP]]+Table841419410132427323943485356711182530394649[[#This Row],[LỢI NHUẬN RÒNG]]</f>
        <v>0</v>
      </c>
      <c r="H295" s="28"/>
      <c r="I295" s="11"/>
      <c r="J295" s="11"/>
    </row>
    <row r="296" spans="1:10" hidden="1" x14ac:dyDescent="0.3">
      <c r="A296" s="23"/>
      <c r="B296" s="27"/>
      <c r="C296" s="21"/>
      <c r="D296" s="21"/>
      <c r="E296" s="21"/>
      <c r="F296" s="21"/>
      <c r="G296" s="21">
        <f>Table841419410132427323943485356711182530394649[[#This Row],[VỐN CP]]+Table841419410132427323943485356711182530394649[[#This Row],[LỢI NHUẬN RÒNG]]</f>
        <v>0</v>
      </c>
      <c r="H296" s="28"/>
      <c r="I296" s="11"/>
      <c r="J296" s="11"/>
    </row>
    <row r="297" spans="1:10" hidden="1" x14ac:dyDescent="0.3">
      <c r="A297" s="23"/>
      <c r="B297" s="27"/>
      <c r="C297" s="21"/>
      <c r="D297" s="21"/>
      <c r="E297" s="21"/>
      <c r="F297" s="21"/>
      <c r="G297" s="21">
        <f>Table841419410132427323943485356711182530394649[[#This Row],[VỐN CP]]+Table841419410132427323943485356711182530394649[[#This Row],[LỢI NHUẬN RÒNG]]</f>
        <v>0</v>
      </c>
      <c r="H297" s="28"/>
      <c r="I297" s="11"/>
      <c r="J297" s="11"/>
    </row>
    <row r="298" spans="1:10" hidden="1" x14ac:dyDescent="0.3">
      <c r="A298" s="23"/>
      <c r="B298" s="27"/>
      <c r="C298" s="21"/>
      <c r="D298" s="21"/>
      <c r="E298" s="21"/>
      <c r="F298" s="21"/>
      <c r="G298" s="21">
        <f>Table841419410132427323943485356711182530394649[[#This Row],[VỐN CP]]+Table841419410132427323943485356711182530394649[[#This Row],[LỢI NHUẬN RÒNG]]</f>
        <v>0</v>
      </c>
      <c r="H298" s="28"/>
      <c r="I298" s="11"/>
      <c r="J298" s="11"/>
    </row>
    <row r="299" spans="1:10" hidden="1" x14ac:dyDescent="0.3">
      <c r="A299" s="23"/>
      <c r="B299" s="27"/>
      <c r="C299" s="21"/>
      <c r="D299" s="21"/>
      <c r="E299" s="21"/>
      <c r="F299" s="21"/>
      <c r="G299" s="21">
        <f>Table841419410132427323943485356711182530394649[[#This Row],[VỐN CP]]+Table841419410132427323943485356711182530394649[[#This Row],[LỢI NHUẬN RÒNG]]</f>
        <v>0</v>
      </c>
      <c r="H299" s="28"/>
      <c r="I299" s="11"/>
      <c r="J299" s="11"/>
    </row>
    <row r="300" spans="1:10" hidden="1" x14ac:dyDescent="0.3">
      <c r="A300" s="23"/>
      <c r="B300" s="27"/>
      <c r="C300" s="21"/>
      <c r="D300" s="21"/>
      <c r="E300" s="21"/>
      <c r="F300" s="21"/>
      <c r="G300" s="21">
        <f>Table841419410132427323943485356711182530394649[[#This Row],[VỐN CP]]+Table841419410132427323943485356711182530394649[[#This Row],[LỢI NHUẬN RÒNG]]</f>
        <v>0</v>
      </c>
      <c r="H300" s="28"/>
      <c r="I300" s="11"/>
      <c r="J300" s="11"/>
    </row>
    <row r="301" spans="1:10" hidden="1" x14ac:dyDescent="0.3">
      <c r="A301" s="23"/>
      <c r="B301" s="27"/>
      <c r="C301" s="21"/>
      <c r="D301" s="21"/>
      <c r="E301" s="21"/>
      <c r="F301" s="21"/>
      <c r="G301" s="21">
        <f>Table841419410132427323943485356711182530394649[[#This Row],[VỐN CP]]+Table841419410132427323943485356711182530394649[[#This Row],[LỢI NHUẬN RÒNG]]</f>
        <v>0</v>
      </c>
      <c r="H301" s="28"/>
      <c r="I301" s="11"/>
      <c r="J301" s="11"/>
    </row>
    <row r="302" spans="1:10" hidden="1" x14ac:dyDescent="0.3">
      <c r="A302" s="23"/>
      <c r="B302" s="27"/>
      <c r="C302" s="21"/>
      <c r="D302" s="21"/>
      <c r="E302" s="21"/>
      <c r="F302" s="21"/>
      <c r="G302" s="21">
        <f>Table841419410132427323943485356711182530394649[[#This Row],[VỐN CP]]+Table841419410132427323943485356711182530394649[[#This Row],[LỢI NHUẬN RÒNG]]</f>
        <v>0</v>
      </c>
      <c r="H302" s="28"/>
      <c r="I302" s="11"/>
      <c r="J302" s="11"/>
    </row>
    <row r="303" spans="1:10" hidden="1" x14ac:dyDescent="0.3">
      <c r="A303" s="23"/>
      <c r="B303" s="27"/>
      <c r="C303" s="21"/>
      <c r="D303" s="21"/>
      <c r="E303" s="21"/>
      <c r="F303" s="21"/>
      <c r="G303" s="21">
        <f>Table841419410132427323943485356711182530394649[[#This Row],[VỐN CP]]+Table841419410132427323943485356711182530394649[[#This Row],[LỢI NHUẬN RÒNG]]</f>
        <v>0</v>
      </c>
      <c r="H303" s="28"/>
      <c r="I303" s="11"/>
      <c r="J303" s="11"/>
    </row>
    <row r="304" spans="1:10" hidden="1" x14ac:dyDescent="0.3">
      <c r="A304" s="23"/>
      <c r="B304" s="27"/>
      <c r="C304" s="21"/>
      <c r="D304" s="21"/>
      <c r="E304" s="21"/>
      <c r="F304" s="21"/>
      <c r="G304" s="21">
        <f>Table841419410132427323943485356711182530394649[[#This Row],[VỐN CP]]+Table841419410132427323943485356711182530394649[[#This Row],[LỢI NHUẬN RÒNG]]</f>
        <v>0</v>
      </c>
      <c r="H304" s="28"/>
      <c r="I304" s="11"/>
      <c r="J304" s="11"/>
    </row>
    <row r="305" spans="1:10" hidden="1" x14ac:dyDescent="0.3">
      <c r="A305" s="23"/>
      <c r="B305" s="27"/>
      <c r="C305" s="21"/>
      <c r="D305" s="21"/>
      <c r="E305" s="21"/>
      <c r="F305" s="21"/>
      <c r="G305" s="21">
        <f>Table841419410132427323943485356711182530394649[[#This Row],[VỐN CP]]+Table841419410132427323943485356711182530394649[[#This Row],[LỢI NHUẬN RÒNG]]</f>
        <v>0</v>
      </c>
      <c r="H305" s="28"/>
      <c r="I305" s="11"/>
      <c r="J305" s="11"/>
    </row>
    <row r="306" spans="1:10" hidden="1" x14ac:dyDescent="0.3">
      <c r="A306" s="23"/>
      <c r="B306" s="27"/>
      <c r="C306" s="21"/>
      <c r="D306" s="21"/>
      <c r="E306" s="21"/>
      <c r="F306" s="21"/>
      <c r="G306" s="21">
        <f>Table841419410132427323943485356711182530394649[[#This Row],[VỐN CP]]+Table841419410132427323943485356711182530394649[[#This Row],[LỢI NHUẬN RÒNG]]</f>
        <v>0</v>
      </c>
      <c r="H306" s="28"/>
      <c r="I306" s="11"/>
      <c r="J306" s="11"/>
    </row>
    <row r="307" spans="1:10" hidden="1" x14ac:dyDescent="0.3">
      <c r="A307" s="23"/>
      <c r="B307" s="27"/>
      <c r="C307" s="21"/>
      <c r="D307" s="21"/>
      <c r="E307" s="21"/>
      <c r="F307" s="21"/>
      <c r="G307" s="21">
        <f>Table841419410132427323943485356711182530394649[[#This Row],[VỐN CP]]+Table841419410132427323943485356711182530394649[[#This Row],[LỢI NHUẬN RÒNG]]</f>
        <v>0</v>
      </c>
      <c r="H307" s="28"/>
      <c r="I307" s="11"/>
      <c r="J307" s="11"/>
    </row>
    <row r="308" spans="1:10" hidden="1" x14ac:dyDescent="0.3">
      <c r="A308" s="23"/>
      <c r="B308" s="27"/>
      <c r="C308" s="21"/>
      <c r="D308" s="21"/>
      <c r="E308" s="21"/>
      <c r="F308" s="21"/>
      <c r="G308" s="21">
        <f>Table841419410132427323943485356711182530394649[[#This Row],[VỐN CP]]+Table841419410132427323943485356711182530394649[[#This Row],[LỢI NHUẬN RÒNG]]</f>
        <v>0</v>
      </c>
      <c r="H308" s="28"/>
      <c r="I308" s="11"/>
      <c r="J308" s="11"/>
    </row>
    <row r="309" spans="1:10" hidden="1" x14ac:dyDescent="0.3">
      <c r="A309" s="23"/>
      <c r="B309" s="27"/>
      <c r="C309" s="21"/>
      <c r="D309" s="21"/>
      <c r="E309" s="21"/>
      <c r="F309" s="21"/>
      <c r="G309" s="21">
        <f>Table841419410132427323943485356711182530394649[[#This Row],[VỐN CP]]+Table841419410132427323943485356711182530394649[[#This Row],[LỢI NHUẬN RÒNG]]</f>
        <v>0</v>
      </c>
      <c r="H309" s="28"/>
      <c r="I309" s="11"/>
      <c r="J309" s="11"/>
    </row>
    <row r="310" spans="1:10" hidden="1" x14ac:dyDescent="0.3">
      <c r="A310" s="23"/>
      <c r="B310" s="27"/>
      <c r="C310" s="21"/>
      <c r="D310" s="21"/>
      <c r="E310" s="21"/>
      <c r="F310" s="21"/>
      <c r="G310" s="21">
        <f>Table841419410132427323943485356711182530394649[[#This Row],[VỐN CP]]+Table841419410132427323943485356711182530394649[[#This Row],[LỢI NHUẬN RÒNG]]</f>
        <v>0</v>
      </c>
      <c r="H310" s="28"/>
      <c r="I310" s="11"/>
      <c r="J310" s="11"/>
    </row>
    <row r="311" spans="1:10" hidden="1" x14ac:dyDescent="0.3">
      <c r="A311" s="23"/>
      <c r="B311" s="27"/>
      <c r="C311" s="21"/>
      <c r="D311" s="21"/>
      <c r="E311" s="21"/>
      <c r="F311" s="21"/>
      <c r="G311" s="21">
        <f>Table841419410132427323943485356711182530394649[[#This Row],[VỐN CP]]+Table841419410132427323943485356711182530394649[[#This Row],[LỢI NHUẬN RÒNG]]</f>
        <v>0</v>
      </c>
      <c r="H311" s="28"/>
      <c r="I311" s="11"/>
      <c r="J311" s="11"/>
    </row>
    <row r="312" spans="1:10" hidden="1" x14ac:dyDescent="0.3">
      <c r="A312" s="23"/>
      <c r="B312" s="27"/>
      <c r="C312" s="21"/>
      <c r="D312" s="21"/>
      <c r="E312" s="21"/>
      <c r="F312" s="21"/>
      <c r="G312" s="21">
        <f>Table841419410132427323943485356711182530394649[[#This Row],[VỐN CP]]+Table841419410132427323943485356711182530394649[[#This Row],[LỢI NHUẬN RÒNG]]</f>
        <v>0</v>
      </c>
      <c r="H312" s="28"/>
      <c r="I312" s="11"/>
      <c r="J312" s="11"/>
    </row>
    <row r="313" spans="1:10" hidden="1" x14ac:dyDescent="0.3">
      <c r="A313" s="23"/>
      <c r="B313" s="27"/>
      <c r="C313" s="21"/>
      <c r="D313" s="21"/>
      <c r="E313" s="21"/>
      <c r="F313" s="21"/>
      <c r="G313" s="21">
        <f>Table841419410132427323943485356711182530394649[[#This Row],[VỐN CP]]+Table841419410132427323943485356711182530394649[[#This Row],[LỢI NHUẬN RÒNG]]</f>
        <v>0</v>
      </c>
      <c r="H313" s="28"/>
      <c r="I313" s="11"/>
      <c r="J313" s="11"/>
    </row>
    <row r="314" spans="1:10" hidden="1" x14ac:dyDescent="0.3">
      <c r="A314" s="23"/>
      <c r="B314" s="27"/>
      <c r="C314" s="21"/>
      <c r="D314" s="21"/>
      <c r="E314" s="21"/>
      <c r="F314" s="21"/>
      <c r="G314" s="21">
        <f>Table841419410132427323943485356711182530394649[[#This Row],[VỐN CP]]+Table841419410132427323943485356711182530394649[[#This Row],[LỢI NHUẬN RÒNG]]</f>
        <v>0</v>
      </c>
      <c r="H314" s="28"/>
      <c r="I314" s="11"/>
      <c r="J314" s="11"/>
    </row>
    <row r="315" spans="1:10" hidden="1" x14ac:dyDescent="0.3">
      <c r="A315" s="23"/>
      <c r="B315" s="27"/>
      <c r="C315" s="21"/>
      <c r="D315" s="21"/>
      <c r="E315" s="21"/>
      <c r="F315" s="21"/>
      <c r="G315" s="21">
        <f>Table841419410132427323943485356711182530394649[[#This Row],[VỐN CP]]+Table841419410132427323943485356711182530394649[[#This Row],[LỢI NHUẬN RÒNG]]</f>
        <v>0</v>
      </c>
      <c r="H315" s="28"/>
      <c r="I315" s="11"/>
      <c r="J315" s="11"/>
    </row>
    <row r="316" spans="1:10" hidden="1" x14ac:dyDescent="0.3">
      <c r="A316" s="23"/>
      <c r="B316" s="27"/>
      <c r="C316" s="21"/>
      <c r="D316" s="21"/>
      <c r="E316" s="21"/>
      <c r="F316" s="21"/>
      <c r="G316" s="21">
        <f>Table841419410132427323943485356711182530394649[[#This Row],[VỐN CP]]+Table841419410132427323943485356711182530394649[[#This Row],[LỢI NHUẬN RÒNG]]</f>
        <v>0</v>
      </c>
      <c r="H316" s="28"/>
      <c r="I316" s="11"/>
      <c r="J316" s="11"/>
    </row>
    <row r="317" spans="1:10" hidden="1" x14ac:dyDescent="0.3">
      <c r="A317" s="23"/>
      <c r="B317" s="27"/>
      <c r="C317" s="21"/>
      <c r="D317" s="21"/>
      <c r="E317" s="21"/>
      <c r="F317" s="21"/>
      <c r="G317" s="21">
        <f>Table841419410132427323943485356711182530394649[[#This Row],[VỐN CP]]+Table841419410132427323943485356711182530394649[[#This Row],[LỢI NHUẬN RÒNG]]</f>
        <v>0</v>
      </c>
      <c r="H317" s="28"/>
      <c r="I317" s="11"/>
      <c r="J317" s="11"/>
    </row>
    <row r="318" spans="1:10" hidden="1" x14ac:dyDescent="0.3">
      <c r="A318" s="23"/>
      <c r="B318" s="27"/>
      <c r="C318" s="21"/>
      <c r="D318" s="21"/>
      <c r="E318" s="21"/>
      <c r="F318" s="21"/>
      <c r="G318" s="21">
        <f>Table841419410132427323943485356711182530394649[[#This Row],[VỐN CP]]+Table841419410132427323943485356711182530394649[[#This Row],[LỢI NHUẬN RÒNG]]</f>
        <v>0</v>
      </c>
      <c r="H318" s="28"/>
      <c r="I318" s="11"/>
      <c r="J318" s="11"/>
    </row>
    <row r="319" spans="1:10" hidden="1" x14ac:dyDescent="0.3">
      <c r="A319" s="23"/>
      <c r="B319" s="27"/>
      <c r="C319" s="21"/>
      <c r="D319" s="21"/>
      <c r="E319" s="21"/>
      <c r="F319" s="21"/>
      <c r="G319" s="21">
        <f>Table841419410132427323943485356711182530394649[[#This Row],[VỐN CP]]+Table841419410132427323943485356711182530394649[[#This Row],[LỢI NHUẬN RÒNG]]</f>
        <v>0</v>
      </c>
      <c r="H319" s="28"/>
      <c r="I319" s="11"/>
      <c r="J319" s="11"/>
    </row>
    <row r="320" spans="1:10" hidden="1" x14ac:dyDescent="0.3">
      <c r="A320" s="23"/>
      <c r="B320" s="27"/>
      <c r="C320" s="21"/>
      <c r="D320" s="21"/>
      <c r="E320" s="21"/>
      <c r="F320" s="21"/>
      <c r="G320" s="21">
        <f>Table841419410132427323943485356711182530394649[[#This Row],[VỐN CP]]+Table841419410132427323943485356711182530394649[[#This Row],[LỢI NHUẬN RÒNG]]</f>
        <v>0</v>
      </c>
      <c r="H320" s="28"/>
      <c r="I320" s="11"/>
      <c r="J320" s="11"/>
    </row>
    <row r="321" spans="1:10" hidden="1" x14ac:dyDescent="0.3">
      <c r="A321" s="23"/>
      <c r="B321" s="27"/>
      <c r="C321" s="21"/>
      <c r="D321" s="21"/>
      <c r="E321" s="21"/>
      <c r="F321" s="21"/>
      <c r="G321" s="21">
        <f>Table841419410132427323943485356711182530394649[[#This Row],[VỐN CP]]+Table841419410132427323943485356711182530394649[[#This Row],[LỢI NHUẬN RÒNG]]</f>
        <v>0</v>
      </c>
      <c r="H321" s="28"/>
      <c r="I321" s="11"/>
      <c r="J321" s="11"/>
    </row>
    <row r="322" spans="1:10" hidden="1" x14ac:dyDescent="0.3">
      <c r="A322" s="23"/>
      <c r="B322" s="27"/>
      <c r="C322" s="21"/>
      <c r="D322" s="21"/>
      <c r="E322" s="21"/>
      <c r="F322" s="21"/>
      <c r="G322" s="21">
        <f>Table841419410132427323943485356711182530394649[[#This Row],[VỐN CP]]+Table841419410132427323943485356711182530394649[[#This Row],[LỢI NHUẬN RÒNG]]</f>
        <v>0</v>
      </c>
      <c r="H322" s="28"/>
      <c r="I322" s="11"/>
      <c r="J322" s="11"/>
    </row>
    <row r="323" spans="1:10" hidden="1" x14ac:dyDescent="0.3">
      <c r="A323" s="23"/>
      <c r="B323" s="27"/>
      <c r="C323" s="21"/>
      <c r="D323" s="21"/>
      <c r="E323" s="21"/>
      <c r="F323" s="21"/>
      <c r="G323" s="21">
        <f>Table841419410132427323943485356711182530394649[[#This Row],[VỐN CP]]+Table841419410132427323943485356711182530394649[[#This Row],[LỢI NHUẬN RÒNG]]</f>
        <v>0</v>
      </c>
      <c r="H323" s="28"/>
      <c r="I323" s="11"/>
      <c r="J323" s="11"/>
    </row>
    <row r="324" spans="1:10" hidden="1" x14ac:dyDescent="0.3">
      <c r="A324" s="23"/>
      <c r="B324" s="27"/>
      <c r="C324" s="21"/>
      <c r="D324" s="21"/>
      <c r="E324" s="21"/>
      <c r="F324" s="21"/>
      <c r="G324" s="21">
        <f>Table841419410132427323943485356711182530394649[[#This Row],[VỐN CP]]+Table841419410132427323943485356711182530394649[[#This Row],[LỢI NHUẬN RÒNG]]</f>
        <v>0</v>
      </c>
      <c r="H324" s="28"/>
      <c r="I324" s="11"/>
      <c r="J324" s="11"/>
    </row>
    <row r="325" spans="1:10" hidden="1" x14ac:dyDescent="0.3">
      <c r="A325" s="23"/>
      <c r="B325" s="27"/>
      <c r="C325" s="21"/>
      <c r="D325" s="21"/>
      <c r="E325" s="21"/>
      <c r="F325" s="21"/>
      <c r="G325" s="21">
        <f>Table841419410132427323943485356711182530394649[[#This Row],[VỐN CP]]+Table841419410132427323943485356711182530394649[[#This Row],[LỢI NHUẬN RÒNG]]</f>
        <v>0</v>
      </c>
      <c r="H325" s="28"/>
      <c r="I325" s="11"/>
      <c r="J325" s="11"/>
    </row>
    <row r="326" spans="1:10" hidden="1" x14ac:dyDescent="0.3">
      <c r="A326" s="23"/>
      <c r="B326" s="27"/>
      <c r="C326" s="21"/>
      <c r="D326" s="21"/>
      <c r="E326" s="21"/>
      <c r="F326" s="21"/>
      <c r="G326" s="21">
        <f>Table841419410132427323943485356711182530394649[[#This Row],[VỐN CP]]+Table841419410132427323943485356711182530394649[[#This Row],[LỢI NHUẬN RÒNG]]</f>
        <v>0</v>
      </c>
      <c r="H326" s="28"/>
      <c r="I326" s="11"/>
      <c r="J326" s="11"/>
    </row>
    <row r="327" spans="1:10" hidden="1" x14ac:dyDescent="0.3">
      <c r="A327" s="23"/>
      <c r="B327" s="27"/>
      <c r="C327" s="21"/>
      <c r="D327" s="21"/>
      <c r="E327" s="21"/>
      <c r="F327" s="21"/>
      <c r="G327" s="21">
        <f>Table841419410132427323943485356711182530394649[[#This Row],[VỐN CP]]+Table841419410132427323943485356711182530394649[[#This Row],[LỢI NHUẬN RÒNG]]</f>
        <v>0</v>
      </c>
      <c r="H327" s="28"/>
      <c r="I327" s="11"/>
      <c r="J327" s="11"/>
    </row>
    <row r="328" spans="1:10" hidden="1" x14ac:dyDescent="0.3">
      <c r="A328" s="23"/>
      <c r="B328" s="27"/>
      <c r="C328" s="21"/>
      <c r="D328" s="21"/>
      <c r="E328" s="21"/>
      <c r="F328" s="21"/>
      <c r="G328" s="21">
        <f>Table841419410132427323943485356711182530394649[[#This Row],[VỐN CP]]+Table841419410132427323943485356711182530394649[[#This Row],[LỢI NHUẬN RÒNG]]</f>
        <v>0</v>
      </c>
      <c r="H328" s="28"/>
      <c r="I328" s="11"/>
      <c r="J328" s="11"/>
    </row>
    <row r="329" spans="1:10" hidden="1" x14ac:dyDescent="0.3">
      <c r="A329" s="23"/>
      <c r="B329" s="27"/>
      <c r="C329" s="21"/>
      <c r="D329" s="21"/>
      <c r="E329" s="21"/>
      <c r="F329" s="21"/>
      <c r="G329" s="21">
        <f>Table841419410132427323943485356711182530394649[[#This Row],[VỐN CP]]+Table841419410132427323943485356711182530394649[[#This Row],[LỢI NHUẬN RÒNG]]</f>
        <v>0</v>
      </c>
      <c r="H329" s="28"/>
      <c r="I329" s="11"/>
      <c r="J329" s="11"/>
    </row>
    <row r="330" spans="1:10" hidden="1" x14ac:dyDescent="0.3">
      <c r="A330" s="23"/>
      <c r="B330" s="27"/>
      <c r="C330" s="21"/>
      <c r="D330" s="21"/>
      <c r="E330" s="21"/>
      <c r="F330" s="21"/>
      <c r="G330" s="21">
        <f>Table841419410132427323943485356711182530394649[[#This Row],[VỐN CP]]+Table841419410132427323943485356711182530394649[[#This Row],[LỢI NHUẬN RÒNG]]</f>
        <v>0</v>
      </c>
      <c r="H330" s="28"/>
      <c r="I330" s="11"/>
      <c r="J330" s="11"/>
    </row>
    <row r="331" spans="1:10" hidden="1" x14ac:dyDescent="0.3">
      <c r="A331" s="23"/>
      <c r="B331" s="27"/>
      <c r="C331" s="21"/>
      <c r="D331" s="21"/>
      <c r="E331" s="21"/>
      <c r="F331" s="21"/>
      <c r="G331" s="21">
        <f>Table841419410132427323943485356711182530394649[[#This Row],[VỐN CP]]+Table841419410132427323943485356711182530394649[[#This Row],[LỢI NHUẬN RÒNG]]</f>
        <v>0</v>
      </c>
      <c r="H331" s="28"/>
      <c r="I331" s="11"/>
      <c r="J331" s="11"/>
    </row>
    <row r="332" spans="1:10" hidden="1" x14ac:dyDescent="0.3">
      <c r="A332" s="23"/>
      <c r="B332" s="27"/>
      <c r="C332" s="21"/>
      <c r="D332" s="21"/>
      <c r="E332" s="21"/>
      <c r="F332" s="21"/>
      <c r="G332" s="21">
        <f>Table841419410132427323943485356711182530394649[[#This Row],[VỐN CP]]+Table841419410132427323943485356711182530394649[[#This Row],[LỢI NHUẬN RÒNG]]</f>
        <v>0</v>
      </c>
      <c r="H332" s="28"/>
      <c r="I332" s="11"/>
      <c r="J332" s="11"/>
    </row>
    <row r="333" spans="1:10" hidden="1" x14ac:dyDescent="0.3">
      <c r="A333" s="23"/>
      <c r="B333" s="27"/>
      <c r="C333" s="21"/>
      <c r="D333" s="21"/>
      <c r="E333" s="21"/>
      <c r="F333" s="21"/>
      <c r="G333" s="21">
        <f>Table841419410132427323943485356711182530394649[[#This Row],[VỐN CP]]+Table841419410132427323943485356711182530394649[[#This Row],[LỢI NHUẬN RÒNG]]</f>
        <v>0</v>
      </c>
      <c r="H333" s="28"/>
      <c r="I333" s="11"/>
      <c r="J333" s="11"/>
    </row>
    <row r="334" spans="1:10" hidden="1" x14ac:dyDescent="0.3">
      <c r="A334" s="23"/>
      <c r="B334" s="27"/>
      <c r="C334" s="21"/>
      <c r="D334" s="21"/>
      <c r="E334" s="21"/>
      <c r="F334" s="21"/>
      <c r="G334" s="21">
        <f>Table841419410132427323943485356711182530394649[[#This Row],[VỐN CP]]+Table841419410132427323943485356711182530394649[[#This Row],[LỢI NHUẬN RÒNG]]</f>
        <v>0</v>
      </c>
      <c r="H334" s="28"/>
      <c r="I334" s="11"/>
      <c r="J334" s="11"/>
    </row>
    <row r="335" spans="1:10" hidden="1" x14ac:dyDescent="0.3">
      <c r="A335" s="23"/>
      <c r="B335" s="27"/>
      <c r="C335" s="21"/>
      <c r="D335" s="21"/>
      <c r="E335" s="21"/>
      <c r="F335" s="21"/>
      <c r="G335" s="21">
        <f>Table841419410132427323943485356711182530394649[[#This Row],[VỐN CP]]+Table841419410132427323943485356711182530394649[[#This Row],[LỢI NHUẬN RÒNG]]</f>
        <v>0</v>
      </c>
      <c r="H335" s="28"/>
      <c r="I335" s="11"/>
      <c r="J335" s="11"/>
    </row>
    <row r="336" spans="1:10" hidden="1" x14ac:dyDescent="0.3">
      <c r="A336" s="23"/>
      <c r="B336" s="27"/>
      <c r="C336" s="21"/>
      <c r="D336" s="21"/>
      <c r="E336" s="21"/>
      <c r="F336" s="21"/>
      <c r="G336" s="21">
        <f>Table841419410132427323943485356711182530394649[[#This Row],[VỐN CP]]+Table841419410132427323943485356711182530394649[[#This Row],[LỢI NHUẬN RÒNG]]</f>
        <v>0</v>
      </c>
      <c r="H336" s="28"/>
      <c r="I336" s="11"/>
      <c r="J336" s="11"/>
    </row>
    <row r="337" spans="1:10" hidden="1" x14ac:dyDescent="0.3">
      <c r="A337" s="23"/>
      <c r="B337" s="27"/>
      <c r="C337" s="21"/>
      <c r="D337" s="21"/>
      <c r="E337" s="21"/>
      <c r="F337" s="21"/>
      <c r="G337" s="21">
        <f>Table841419410132427323943485356711182530394649[[#This Row],[VỐN CP]]+Table841419410132427323943485356711182530394649[[#This Row],[LỢI NHUẬN RÒNG]]</f>
        <v>0</v>
      </c>
      <c r="H337" s="28"/>
      <c r="I337" s="11"/>
      <c r="J337" s="11"/>
    </row>
    <row r="338" spans="1:10" hidden="1" x14ac:dyDescent="0.3">
      <c r="A338" s="23"/>
      <c r="B338" s="27"/>
      <c r="C338" s="21"/>
      <c r="D338" s="21"/>
      <c r="E338" s="21"/>
      <c r="F338" s="21"/>
      <c r="G338" s="21">
        <f>Table841419410132427323943485356711182530394649[[#This Row],[VỐN CP]]+Table841419410132427323943485356711182530394649[[#This Row],[LỢI NHUẬN RÒNG]]</f>
        <v>0</v>
      </c>
      <c r="H338" s="28"/>
      <c r="I338" s="11"/>
      <c r="J338" s="11"/>
    </row>
    <row r="339" spans="1:10" hidden="1" x14ac:dyDescent="0.3">
      <c r="A339" s="23"/>
      <c r="B339" s="27"/>
      <c r="C339" s="21"/>
      <c r="D339" s="21"/>
      <c r="E339" s="21"/>
      <c r="F339" s="21"/>
      <c r="G339" s="21">
        <f>Table841419410132427323943485356711182530394649[[#This Row],[VỐN CP]]+Table841419410132427323943485356711182530394649[[#This Row],[LỢI NHUẬN RÒNG]]</f>
        <v>0</v>
      </c>
      <c r="H339" s="28"/>
      <c r="I339" s="11"/>
      <c r="J339" s="11"/>
    </row>
    <row r="340" spans="1:10" hidden="1" x14ac:dyDescent="0.3">
      <c r="A340" s="23"/>
      <c r="B340" s="27"/>
      <c r="C340" s="21"/>
      <c r="D340" s="21"/>
      <c r="E340" s="21"/>
      <c r="F340" s="21"/>
      <c r="G340" s="21">
        <f>Table841419410132427323943485356711182530394649[[#This Row],[VỐN CP]]+Table841419410132427323943485356711182530394649[[#This Row],[LỢI NHUẬN RÒNG]]</f>
        <v>0</v>
      </c>
      <c r="H340" s="28"/>
      <c r="I340" s="11"/>
      <c r="J340" s="11"/>
    </row>
    <row r="341" spans="1:10" hidden="1" x14ac:dyDescent="0.3">
      <c r="A341" s="23"/>
      <c r="B341" s="27"/>
      <c r="C341" s="21"/>
      <c r="D341" s="21"/>
      <c r="E341" s="21"/>
      <c r="F341" s="21"/>
      <c r="G341" s="21">
        <f>Table841419410132427323943485356711182530394649[[#This Row],[VỐN CP]]+Table841419410132427323943485356711182530394649[[#This Row],[LỢI NHUẬN RÒNG]]</f>
        <v>0</v>
      </c>
      <c r="H341" s="28"/>
      <c r="I341" s="11"/>
      <c r="J341" s="11"/>
    </row>
    <row r="342" spans="1:10" hidden="1" x14ac:dyDescent="0.3">
      <c r="A342" s="23"/>
      <c r="B342" s="27"/>
      <c r="C342" s="21"/>
      <c r="D342" s="21"/>
      <c r="E342" s="21"/>
      <c r="F342" s="21"/>
      <c r="G342" s="21">
        <f>Table841419410132427323943485356711182530394649[[#This Row],[VỐN CP]]+Table841419410132427323943485356711182530394649[[#This Row],[LỢI NHUẬN RÒNG]]</f>
        <v>0</v>
      </c>
      <c r="H342" s="28"/>
      <c r="I342" s="11"/>
      <c r="J342" s="11"/>
    </row>
    <row r="343" spans="1:10" hidden="1" x14ac:dyDescent="0.3">
      <c r="A343" s="23"/>
      <c r="B343" s="27"/>
      <c r="C343" s="21"/>
      <c r="D343" s="21"/>
      <c r="E343" s="21"/>
      <c r="F343" s="21"/>
      <c r="G343" s="21">
        <f>Table841419410132427323943485356711182530394649[[#This Row],[VỐN CP]]+Table841419410132427323943485356711182530394649[[#This Row],[LỢI NHUẬN RÒNG]]</f>
        <v>0</v>
      </c>
      <c r="H343" s="28"/>
      <c r="I343" s="11"/>
      <c r="J343" s="11"/>
    </row>
    <row r="344" spans="1:10" hidden="1" x14ac:dyDescent="0.3">
      <c r="A344" s="23"/>
      <c r="B344" s="27"/>
      <c r="C344" s="21"/>
      <c r="D344" s="21"/>
      <c r="E344" s="21"/>
      <c r="F344" s="21"/>
      <c r="G344" s="21">
        <f>Table841419410132427323943485356711182530394649[[#This Row],[VỐN CP]]+Table841419410132427323943485356711182530394649[[#This Row],[LỢI NHUẬN RÒNG]]</f>
        <v>0</v>
      </c>
      <c r="H344" s="28"/>
      <c r="I344" s="11"/>
      <c r="J344" s="11"/>
    </row>
    <row r="345" spans="1:10" hidden="1" x14ac:dyDescent="0.3">
      <c r="A345" s="23"/>
      <c r="B345" s="27"/>
      <c r="C345" s="21"/>
      <c r="D345" s="21"/>
      <c r="E345" s="21"/>
      <c r="F345" s="21"/>
      <c r="G345" s="21">
        <f>Table841419410132427323943485356711182530394649[[#This Row],[VỐN CP]]+Table841419410132427323943485356711182530394649[[#This Row],[LỢI NHUẬN RÒNG]]</f>
        <v>0</v>
      </c>
      <c r="H345" s="28"/>
      <c r="I345" s="11"/>
      <c r="J345" s="11"/>
    </row>
    <row r="346" spans="1:10" hidden="1" x14ac:dyDescent="0.3">
      <c r="A346" s="23"/>
      <c r="B346" s="27"/>
      <c r="C346" s="21"/>
      <c r="D346" s="21"/>
      <c r="E346" s="21"/>
      <c r="F346" s="21"/>
      <c r="G346" s="21">
        <f>Table841419410132427323943485356711182530394649[[#This Row],[VỐN CP]]+Table841419410132427323943485356711182530394649[[#This Row],[LỢI NHUẬN RÒNG]]</f>
        <v>0</v>
      </c>
      <c r="H346" s="28"/>
      <c r="I346" s="11"/>
      <c r="J346" s="11"/>
    </row>
    <row r="347" spans="1:10" hidden="1" x14ac:dyDescent="0.3">
      <c r="A347" s="23"/>
      <c r="B347" s="27"/>
      <c r="C347" s="21"/>
      <c r="D347" s="21"/>
      <c r="E347" s="21"/>
      <c r="F347" s="21"/>
      <c r="G347" s="21">
        <f>Table841419410132427323943485356711182530394649[[#This Row],[VỐN CP]]+Table841419410132427323943485356711182530394649[[#This Row],[LỢI NHUẬN RÒNG]]</f>
        <v>0</v>
      </c>
      <c r="H347" s="28"/>
      <c r="I347" s="11"/>
      <c r="J347" s="11"/>
    </row>
    <row r="348" spans="1:10" hidden="1" x14ac:dyDescent="0.3">
      <c r="A348" s="23"/>
      <c r="B348" s="27"/>
      <c r="C348" s="21"/>
      <c r="D348" s="21"/>
      <c r="E348" s="21"/>
      <c r="F348" s="21"/>
      <c r="G348" s="21">
        <f>Table841419410132427323943485356711182530394649[[#This Row],[VỐN CP]]+Table841419410132427323943485356711182530394649[[#This Row],[LỢI NHUẬN RÒNG]]</f>
        <v>0</v>
      </c>
      <c r="H348" s="28"/>
      <c r="I348" s="11"/>
      <c r="J348" s="11"/>
    </row>
    <row r="349" spans="1:10" hidden="1" x14ac:dyDescent="0.3">
      <c r="A349" s="23"/>
      <c r="B349" s="27"/>
      <c r="C349" s="21"/>
      <c r="D349" s="21"/>
      <c r="E349" s="21"/>
      <c r="F349" s="21"/>
      <c r="G349" s="21">
        <f>Table841419410132427323943485356711182530394649[[#This Row],[VỐN CP]]+Table841419410132427323943485356711182530394649[[#This Row],[LỢI NHUẬN RÒNG]]</f>
        <v>0</v>
      </c>
      <c r="H349" s="28"/>
      <c r="I349" s="11"/>
      <c r="J349" s="11"/>
    </row>
    <row r="350" spans="1:10" hidden="1" x14ac:dyDescent="0.3">
      <c r="A350" s="23"/>
      <c r="B350" s="27"/>
      <c r="C350" s="21"/>
      <c r="D350" s="21"/>
      <c r="E350" s="21"/>
      <c r="F350" s="21"/>
      <c r="G350" s="21">
        <f>Table841419410132427323943485356711182530394649[[#This Row],[VỐN CP]]+Table841419410132427323943485356711182530394649[[#This Row],[LỢI NHUẬN RÒNG]]</f>
        <v>0</v>
      </c>
      <c r="H350" s="28"/>
      <c r="I350" s="11"/>
      <c r="J350" s="11"/>
    </row>
    <row r="351" spans="1:10" hidden="1" x14ac:dyDescent="0.3">
      <c r="A351" s="23"/>
      <c r="B351" s="27"/>
      <c r="C351" s="21"/>
      <c r="D351" s="21"/>
      <c r="E351" s="21"/>
      <c r="F351" s="21"/>
      <c r="G351" s="21">
        <f>Table841419410132427323943485356711182530394649[[#This Row],[VỐN CP]]+Table841419410132427323943485356711182530394649[[#This Row],[LỢI NHUẬN RÒNG]]</f>
        <v>0</v>
      </c>
      <c r="H351" s="28"/>
      <c r="I351" s="11"/>
      <c r="J351" s="11"/>
    </row>
    <row r="352" spans="1:10" hidden="1" x14ac:dyDescent="0.3">
      <c r="A352" s="23"/>
      <c r="B352" s="27"/>
      <c r="C352" s="21"/>
      <c r="D352" s="21"/>
      <c r="E352" s="21"/>
      <c r="F352" s="21"/>
      <c r="G352" s="21">
        <f>Table841419410132427323943485356711182530394649[[#This Row],[VỐN CP]]+Table841419410132427323943485356711182530394649[[#This Row],[LỢI NHUẬN RÒNG]]</f>
        <v>0</v>
      </c>
      <c r="H352" s="28"/>
      <c r="I352" s="11"/>
      <c r="J352" s="11"/>
    </row>
    <row r="353" spans="1:10" hidden="1" x14ac:dyDescent="0.3">
      <c r="A353" s="23"/>
      <c r="B353" s="27"/>
      <c r="C353" s="21"/>
      <c r="D353" s="21"/>
      <c r="E353" s="21"/>
      <c r="F353" s="21"/>
      <c r="G353" s="21">
        <f>Table841419410132427323943485356711182530394649[[#This Row],[VỐN CP]]+Table841419410132427323943485356711182530394649[[#This Row],[LỢI NHUẬN RÒNG]]</f>
        <v>0</v>
      </c>
      <c r="H353" s="28"/>
      <c r="I353" s="11"/>
      <c r="J353" s="11"/>
    </row>
    <row r="354" spans="1:10" hidden="1" x14ac:dyDescent="0.3">
      <c r="A354" s="23"/>
      <c r="B354" s="27"/>
      <c r="C354" s="21"/>
      <c r="D354" s="21"/>
      <c r="E354" s="21"/>
      <c r="F354" s="21"/>
      <c r="G354" s="21">
        <f>Table841419410132427323943485356711182530394649[[#This Row],[VỐN CP]]+Table841419410132427323943485356711182530394649[[#This Row],[LỢI NHUẬN RÒNG]]</f>
        <v>0</v>
      </c>
      <c r="H354" s="28"/>
      <c r="I354" s="11"/>
      <c r="J354" s="11"/>
    </row>
    <row r="355" spans="1:10" hidden="1" x14ac:dyDescent="0.3">
      <c r="A355" s="23"/>
      <c r="B355" s="27"/>
      <c r="C355" s="21"/>
      <c r="D355" s="21"/>
      <c r="E355" s="21"/>
      <c r="F355" s="21"/>
      <c r="G355" s="21">
        <f>Table841419410132427323943485356711182530394649[[#This Row],[VỐN CP]]+Table841419410132427323943485356711182530394649[[#This Row],[LỢI NHUẬN RÒNG]]</f>
        <v>0</v>
      </c>
      <c r="H355" s="28"/>
      <c r="I355" s="11"/>
      <c r="J355" s="11"/>
    </row>
    <row r="356" spans="1:10" hidden="1" x14ac:dyDescent="0.3">
      <c r="A356" s="23"/>
      <c r="B356" s="27"/>
      <c r="C356" s="21"/>
      <c r="D356" s="21"/>
      <c r="E356" s="21"/>
      <c r="F356" s="21"/>
      <c r="G356" s="21">
        <f>Table841419410132427323943485356711182530394649[[#This Row],[VỐN CP]]+Table841419410132427323943485356711182530394649[[#This Row],[LỢI NHUẬN RÒNG]]</f>
        <v>0</v>
      </c>
      <c r="H356" s="28"/>
      <c r="I356" s="11"/>
      <c r="J356" s="11"/>
    </row>
    <row r="357" spans="1:10" hidden="1" x14ac:dyDescent="0.3">
      <c r="A357" s="23"/>
      <c r="B357" s="27"/>
      <c r="C357" s="21"/>
      <c r="D357" s="21"/>
      <c r="E357" s="21"/>
      <c r="F357" s="21"/>
      <c r="G357" s="21">
        <f>Table841419410132427323943485356711182530394649[[#This Row],[VỐN CP]]+Table841419410132427323943485356711182530394649[[#This Row],[LỢI NHUẬN RÒNG]]</f>
        <v>0</v>
      </c>
      <c r="H357" s="28"/>
      <c r="I357" s="11"/>
      <c r="J357" s="11"/>
    </row>
    <row r="358" spans="1:10" hidden="1" x14ac:dyDescent="0.3">
      <c r="A358" s="23"/>
      <c r="B358" s="27"/>
      <c r="C358" s="21"/>
      <c r="D358" s="21"/>
      <c r="E358" s="21"/>
      <c r="F358" s="21"/>
      <c r="G358" s="21">
        <f>Table841419410132427323943485356711182530394649[[#This Row],[VỐN CP]]+Table841419410132427323943485356711182530394649[[#This Row],[LỢI NHUẬN RÒNG]]</f>
        <v>0</v>
      </c>
      <c r="H358" s="28"/>
      <c r="I358" s="11"/>
      <c r="J358" s="11"/>
    </row>
    <row r="359" spans="1:10" hidden="1" x14ac:dyDescent="0.3">
      <c r="A359" s="23"/>
      <c r="B359" s="27"/>
      <c r="C359" s="21"/>
      <c r="D359" s="21"/>
      <c r="E359" s="21"/>
      <c r="F359" s="21"/>
      <c r="G359" s="21">
        <f>Table841419410132427323943485356711182530394649[[#This Row],[VỐN CP]]+Table841419410132427323943485356711182530394649[[#This Row],[LỢI NHUẬN RÒNG]]</f>
        <v>0</v>
      </c>
      <c r="H359" s="28"/>
      <c r="I359" s="11"/>
      <c r="J359" s="11"/>
    </row>
    <row r="360" spans="1:10" hidden="1" x14ac:dyDescent="0.3">
      <c r="A360" s="23"/>
      <c r="B360" s="27"/>
      <c r="C360" s="21"/>
      <c r="D360" s="21"/>
      <c r="E360" s="21"/>
      <c r="F360" s="21"/>
      <c r="G360" s="21">
        <f>Table841419410132427323943485356711182530394649[[#This Row],[VỐN CP]]+Table841419410132427323943485356711182530394649[[#This Row],[LỢI NHUẬN RÒNG]]</f>
        <v>0</v>
      </c>
      <c r="H360" s="28"/>
      <c r="I360" s="11"/>
      <c r="J360" s="11"/>
    </row>
    <row r="361" spans="1:10" hidden="1" x14ac:dyDescent="0.3">
      <c r="A361" s="23"/>
      <c r="B361" s="27"/>
      <c r="C361" s="21"/>
      <c r="D361" s="21"/>
      <c r="E361" s="21"/>
      <c r="F361" s="21"/>
      <c r="G361" s="21">
        <f>Table841419410132427323943485356711182530394649[[#This Row],[VỐN CP]]+Table841419410132427323943485356711182530394649[[#This Row],[LỢI NHUẬN RÒNG]]</f>
        <v>0</v>
      </c>
      <c r="H361" s="28"/>
      <c r="I361" s="11"/>
      <c r="J361" s="11"/>
    </row>
    <row r="362" spans="1:10" hidden="1" x14ac:dyDescent="0.3">
      <c r="A362" s="23"/>
      <c r="B362" s="27"/>
      <c r="C362" s="21"/>
      <c r="D362" s="21"/>
      <c r="E362" s="21"/>
      <c r="F362" s="21"/>
      <c r="G362" s="21">
        <f>Table841419410132427323943485356711182530394649[[#This Row],[VỐN CP]]+Table841419410132427323943485356711182530394649[[#This Row],[LỢI NHUẬN RÒNG]]</f>
        <v>0</v>
      </c>
      <c r="H362" s="28"/>
      <c r="I362" s="11"/>
      <c r="J362" s="11"/>
    </row>
    <row r="363" spans="1:10" hidden="1" x14ac:dyDescent="0.3">
      <c r="A363" s="23"/>
      <c r="B363" s="27"/>
      <c r="C363" s="21"/>
      <c r="D363" s="21"/>
      <c r="E363" s="21"/>
      <c r="F363" s="21"/>
      <c r="G363" s="21">
        <f>Table841419410132427323943485356711182530394649[[#This Row],[VỐN CP]]+Table841419410132427323943485356711182530394649[[#This Row],[LỢI NHUẬN RÒNG]]</f>
        <v>0</v>
      </c>
      <c r="H363" s="28"/>
      <c r="I363" s="11"/>
      <c r="J363" s="11"/>
    </row>
    <row r="364" spans="1:10" hidden="1" x14ac:dyDescent="0.3">
      <c r="A364" s="23"/>
      <c r="B364" s="27"/>
      <c r="C364" s="21"/>
      <c r="D364" s="21"/>
      <c r="E364" s="21"/>
      <c r="F364" s="21"/>
      <c r="G364" s="21">
        <f>Table841419410132427323943485356711182530394649[[#This Row],[VỐN CP]]+Table841419410132427323943485356711182530394649[[#This Row],[LỢI NHUẬN RÒNG]]</f>
        <v>0</v>
      </c>
      <c r="H364" s="28"/>
      <c r="I364" s="11"/>
      <c r="J364" s="11"/>
    </row>
    <row r="365" spans="1:10" hidden="1" x14ac:dyDescent="0.3">
      <c r="A365" s="23"/>
      <c r="B365" s="27"/>
      <c r="C365" s="21"/>
      <c r="D365" s="21"/>
      <c r="E365" s="21"/>
      <c r="F365" s="21"/>
      <c r="G365" s="21">
        <f>Table841419410132427323943485356711182530394649[[#This Row],[VỐN CP]]+Table841419410132427323943485356711182530394649[[#This Row],[LỢI NHUẬN RÒNG]]</f>
        <v>0</v>
      </c>
      <c r="H365" s="28"/>
      <c r="I365" s="11"/>
      <c r="J365" s="11"/>
    </row>
    <row r="366" spans="1:10" hidden="1" x14ac:dyDescent="0.3">
      <c r="A366" s="23"/>
      <c r="B366" s="27"/>
      <c r="C366" s="21"/>
      <c r="D366" s="21"/>
      <c r="E366" s="21"/>
      <c r="F366" s="21"/>
      <c r="G366" s="21">
        <f>Table841419410132427323943485356711182530394649[[#This Row],[VỐN CP]]+Table841419410132427323943485356711182530394649[[#This Row],[LỢI NHUẬN RÒNG]]</f>
        <v>0</v>
      </c>
      <c r="H366" s="28"/>
      <c r="I366" s="11"/>
      <c r="J366" s="11"/>
    </row>
    <row r="367" spans="1:10" hidden="1" x14ac:dyDescent="0.3">
      <c r="A367" s="23"/>
      <c r="B367" s="27"/>
      <c r="C367" s="21"/>
      <c r="D367" s="21"/>
      <c r="E367" s="21"/>
      <c r="F367" s="21"/>
      <c r="G367" s="21">
        <f>Table841419410132427323943485356711182530394649[[#This Row],[VỐN CP]]+Table841419410132427323943485356711182530394649[[#This Row],[LỢI NHUẬN RÒNG]]</f>
        <v>0</v>
      </c>
      <c r="H367" s="28"/>
      <c r="I367" s="11"/>
      <c r="J367" s="11"/>
    </row>
    <row r="368" spans="1:10" hidden="1" x14ac:dyDescent="0.3">
      <c r="A368" s="23"/>
      <c r="B368" s="27"/>
      <c r="C368" s="21"/>
      <c r="D368" s="21"/>
      <c r="E368" s="21"/>
      <c r="F368" s="21"/>
      <c r="G368" s="21">
        <f>Table841419410132427323943485356711182530394649[[#This Row],[VỐN CP]]+Table841419410132427323943485356711182530394649[[#This Row],[LỢI NHUẬN RÒNG]]</f>
        <v>0</v>
      </c>
      <c r="H368" s="28"/>
      <c r="I368" s="11"/>
      <c r="J368" s="11"/>
    </row>
    <row r="369" spans="1:10" hidden="1" x14ac:dyDescent="0.3">
      <c r="A369" s="23"/>
      <c r="B369" s="27"/>
      <c r="C369" s="21"/>
      <c r="D369" s="21"/>
      <c r="E369" s="21"/>
      <c r="F369" s="21"/>
      <c r="G369" s="21">
        <f>Table841419410132427323943485356711182530394649[[#This Row],[VỐN CP]]+Table841419410132427323943485356711182530394649[[#This Row],[LỢI NHUẬN RÒNG]]</f>
        <v>0</v>
      </c>
      <c r="H369" s="28"/>
      <c r="I369" s="11"/>
      <c r="J369" s="11"/>
    </row>
    <row r="370" spans="1:10" hidden="1" x14ac:dyDescent="0.3">
      <c r="A370" s="23"/>
      <c r="B370" s="27"/>
      <c r="C370" s="21"/>
      <c r="D370" s="21"/>
      <c r="E370" s="21"/>
      <c r="F370" s="21"/>
      <c r="G370" s="21">
        <f>Table841419410132427323943485356711182530394649[[#This Row],[VỐN CP]]+Table841419410132427323943485356711182530394649[[#This Row],[LỢI NHUẬN RÒNG]]</f>
        <v>0</v>
      </c>
      <c r="H370" s="28"/>
      <c r="I370" s="11"/>
      <c r="J370" s="11"/>
    </row>
    <row r="371" spans="1:10" hidden="1" x14ac:dyDescent="0.3">
      <c r="A371" s="23"/>
      <c r="B371" s="27"/>
      <c r="C371" s="21"/>
      <c r="D371" s="21"/>
      <c r="E371" s="21"/>
      <c r="F371" s="21"/>
      <c r="G371" s="21">
        <f>Table841419410132427323943485356711182530394649[[#This Row],[VỐN CP]]+Table841419410132427323943485356711182530394649[[#This Row],[LỢI NHUẬN RÒNG]]</f>
        <v>0</v>
      </c>
      <c r="H371" s="28"/>
      <c r="I371" s="11"/>
      <c r="J371" s="11"/>
    </row>
    <row r="372" spans="1:10" hidden="1" x14ac:dyDescent="0.3">
      <c r="A372" s="23"/>
      <c r="B372" s="27"/>
      <c r="C372" s="21"/>
      <c r="D372" s="21"/>
      <c r="E372" s="21"/>
      <c r="F372" s="21"/>
      <c r="G372" s="21">
        <f>Table841419410132427323943485356711182530394649[[#This Row],[VỐN CP]]+Table841419410132427323943485356711182530394649[[#This Row],[LỢI NHUẬN RÒNG]]</f>
        <v>0</v>
      </c>
      <c r="H372" s="28"/>
      <c r="I372" s="11"/>
      <c r="J372" s="11"/>
    </row>
    <row r="373" spans="1:10" hidden="1" x14ac:dyDescent="0.3">
      <c r="A373" s="23"/>
      <c r="B373" s="27"/>
      <c r="C373" s="21"/>
      <c r="D373" s="21"/>
      <c r="E373" s="21"/>
      <c r="F373" s="21"/>
      <c r="G373" s="21">
        <f>Table841419410132427323943485356711182530394649[[#This Row],[VỐN CP]]+Table841419410132427323943485356711182530394649[[#This Row],[LỢI NHUẬN RÒNG]]</f>
        <v>0</v>
      </c>
      <c r="H373" s="28"/>
      <c r="I373" s="11"/>
      <c r="J373" s="11"/>
    </row>
    <row r="374" spans="1:10" hidden="1" x14ac:dyDescent="0.3">
      <c r="A374" s="23"/>
      <c r="B374" s="27"/>
      <c r="C374" s="21"/>
      <c r="D374" s="21"/>
      <c r="E374" s="21"/>
      <c r="F374" s="21"/>
      <c r="G374" s="21">
        <f>Table841419410132427323943485356711182530394649[[#This Row],[VỐN CP]]+Table841419410132427323943485356711182530394649[[#This Row],[LỢI NHUẬN RÒNG]]</f>
        <v>0</v>
      </c>
      <c r="H374" s="28"/>
      <c r="I374" s="11"/>
      <c r="J374" s="11"/>
    </row>
    <row r="375" spans="1:10" hidden="1" x14ac:dyDescent="0.3">
      <c r="A375" s="23"/>
      <c r="B375" s="27"/>
      <c r="C375" s="21"/>
      <c r="D375" s="21"/>
      <c r="E375" s="21"/>
      <c r="F375" s="21"/>
      <c r="G375" s="21">
        <f>Table841419410132427323943485356711182530394649[[#This Row],[VỐN CP]]+Table841419410132427323943485356711182530394649[[#This Row],[LỢI NHUẬN RÒNG]]</f>
        <v>0</v>
      </c>
      <c r="H375" s="28"/>
      <c r="I375" s="11"/>
      <c r="J375" s="11"/>
    </row>
    <row r="376" spans="1:10" hidden="1" x14ac:dyDescent="0.3">
      <c r="A376" s="23"/>
      <c r="B376" s="27"/>
      <c r="C376" s="21"/>
      <c r="D376" s="21"/>
      <c r="E376" s="21"/>
      <c r="F376" s="21"/>
      <c r="G376" s="21">
        <f>Table841419410132427323943485356711182530394649[[#This Row],[VỐN CP]]+Table841419410132427323943485356711182530394649[[#This Row],[LỢI NHUẬN RÒNG]]</f>
        <v>0</v>
      </c>
      <c r="H376" s="28"/>
      <c r="I376" s="11"/>
      <c r="J376" s="11"/>
    </row>
    <row r="377" spans="1:10" hidden="1" x14ac:dyDescent="0.3">
      <c r="A377" s="23"/>
      <c r="B377" s="27"/>
      <c r="C377" s="21"/>
      <c r="D377" s="21"/>
      <c r="E377" s="21"/>
      <c r="F377" s="21"/>
      <c r="G377" s="21">
        <f>Table841419410132427323943485356711182530394649[[#This Row],[VỐN CP]]+Table841419410132427323943485356711182530394649[[#This Row],[LỢI NHUẬN RÒNG]]</f>
        <v>0</v>
      </c>
      <c r="H377" s="28"/>
      <c r="I377" s="11"/>
      <c r="J377" s="11"/>
    </row>
    <row r="378" spans="1:10" hidden="1" x14ac:dyDescent="0.3">
      <c r="A378" s="23"/>
      <c r="B378" s="27"/>
      <c r="C378" s="21"/>
      <c r="D378" s="21"/>
      <c r="E378" s="21"/>
      <c r="F378" s="21"/>
      <c r="G378" s="21">
        <f>Table841419410132427323943485356711182530394649[[#This Row],[VỐN CP]]+Table841419410132427323943485356711182530394649[[#This Row],[LỢI NHUẬN RÒNG]]</f>
        <v>0</v>
      </c>
      <c r="H378" s="28"/>
      <c r="I378" s="11"/>
      <c r="J378" s="11"/>
    </row>
    <row r="379" spans="1:10" hidden="1" x14ac:dyDescent="0.3">
      <c r="A379" s="23"/>
      <c r="B379" s="27"/>
      <c r="C379" s="21"/>
      <c r="D379" s="21"/>
      <c r="E379" s="21"/>
      <c r="F379" s="21"/>
      <c r="G379" s="21">
        <f>Table841419410132427323943485356711182530394649[[#This Row],[VỐN CP]]+Table841419410132427323943485356711182530394649[[#This Row],[LỢI NHUẬN RÒNG]]</f>
        <v>0</v>
      </c>
      <c r="H379" s="28"/>
      <c r="I379" s="11"/>
      <c r="J379" s="11"/>
    </row>
    <row r="380" spans="1:10" hidden="1" x14ac:dyDescent="0.3">
      <c r="A380" s="23"/>
      <c r="B380" s="27"/>
      <c r="C380" s="21"/>
      <c r="D380" s="21"/>
      <c r="E380" s="21"/>
      <c r="F380" s="21"/>
      <c r="G380" s="21">
        <f>Table841419410132427323943485356711182530394649[[#This Row],[VỐN CP]]+Table841419410132427323943485356711182530394649[[#This Row],[LỢI NHUẬN RÒNG]]</f>
        <v>0</v>
      </c>
      <c r="H380" s="28"/>
      <c r="I380" s="11"/>
      <c r="J380" s="11"/>
    </row>
    <row r="381" spans="1:10" hidden="1" x14ac:dyDescent="0.3">
      <c r="A381" s="23"/>
      <c r="B381" s="27"/>
      <c r="C381" s="21"/>
      <c r="D381" s="21"/>
      <c r="E381" s="21"/>
      <c r="F381" s="21"/>
      <c r="G381" s="21">
        <f>Table841419410132427323943485356711182530394649[[#This Row],[VỐN CP]]+Table841419410132427323943485356711182530394649[[#This Row],[LỢI NHUẬN RÒNG]]</f>
        <v>0</v>
      </c>
      <c r="H381" s="28"/>
      <c r="I381" s="11"/>
      <c r="J381" s="11"/>
    </row>
    <row r="382" spans="1:10" hidden="1" x14ac:dyDescent="0.3">
      <c r="A382" s="23"/>
      <c r="B382" s="27"/>
      <c r="C382" s="21"/>
      <c r="D382" s="21"/>
      <c r="E382" s="21"/>
      <c r="F382" s="21"/>
      <c r="G382" s="21">
        <f>Table841419410132427323943485356711182530394649[[#This Row],[VỐN CP]]+Table841419410132427323943485356711182530394649[[#This Row],[LỢI NHUẬN RÒNG]]</f>
        <v>0</v>
      </c>
      <c r="H382" s="28"/>
      <c r="I382" s="11"/>
      <c r="J382" s="11"/>
    </row>
    <row r="383" spans="1:10" hidden="1" x14ac:dyDescent="0.3">
      <c r="A383" s="23"/>
      <c r="B383" s="27"/>
      <c r="C383" s="21"/>
      <c r="D383" s="21"/>
      <c r="E383" s="21"/>
      <c r="F383" s="21"/>
      <c r="G383" s="21">
        <f>Table841419410132427323943485356711182530394649[[#This Row],[VỐN CP]]+Table841419410132427323943485356711182530394649[[#This Row],[LỢI NHUẬN RÒNG]]</f>
        <v>0</v>
      </c>
      <c r="H383" s="28"/>
      <c r="I383" s="11"/>
      <c r="J383" s="11"/>
    </row>
    <row r="384" spans="1:10" hidden="1" x14ac:dyDescent="0.3">
      <c r="A384" s="23"/>
      <c r="B384" s="27"/>
      <c r="C384" s="21"/>
      <c r="D384" s="21"/>
      <c r="E384" s="21"/>
      <c r="F384" s="21"/>
      <c r="G384" s="21">
        <f>Table841419410132427323943485356711182530394649[[#This Row],[VỐN CP]]+Table841419410132427323943485356711182530394649[[#This Row],[LỢI NHUẬN RÒNG]]</f>
        <v>0</v>
      </c>
      <c r="H384" s="28"/>
      <c r="I384" s="11"/>
      <c r="J384" s="11"/>
    </row>
    <row r="385" spans="1:10" hidden="1" x14ac:dyDescent="0.3">
      <c r="A385" s="23"/>
      <c r="B385" s="27"/>
      <c r="C385" s="21"/>
      <c r="D385" s="21"/>
      <c r="E385" s="21"/>
      <c r="F385" s="21"/>
      <c r="G385" s="21">
        <f>Table841419410132427323943485356711182530394649[[#This Row],[VỐN CP]]+Table841419410132427323943485356711182530394649[[#This Row],[LỢI NHUẬN RÒNG]]</f>
        <v>0</v>
      </c>
      <c r="H385" s="28"/>
      <c r="I385" s="11"/>
      <c r="J385" s="11"/>
    </row>
    <row r="386" spans="1:10" hidden="1" x14ac:dyDescent="0.3">
      <c r="A386" s="23"/>
      <c r="B386" s="27"/>
      <c r="C386" s="21"/>
      <c r="D386" s="21"/>
      <c r="E386" s="21"/>
      <c r="F386" s="21"/>
      <c r="G386" s="21">
        <f>Table841419410132427323943485356711182530394649[[#This Row],[VỐN CP]]+Table841419410132427323943485356711182530394649[[#This Row],[LỢI NHUẬN RÒNG]]</f>
        <v>0</v>
      </c>
      <c r="H386" s="28"/>
      <c r="I386" s="11"/>
      <c r="J386" s="11"/>
    </row>
    <row r="387" spans="1:10" hidden="1" x14ac:dyDescent="0.3">
      <c r="A387" s="23"/>
      <c r="B387" s="27"/>
      <c r="C387" s="21"/>
      <c r="D387" s="21"/>
      <c r="E387" s="21"/>
      <c r="F387" s="21"/>
      <c r="G387" s="21">
        <f>Table841419410132427323943485356711182530394649[[#This Row],[VỐN CP]]+Table841419410132427323943485356711182530394649[[#This Row],[LỢI NHUẬN RÒNG]]</f>
        <v>0</v>
      </c>
      <c r="H387" s="28"/>
      <c r="I387" s="11"/>
      <c r="J387" s="11"/>
    </row>
    <row r="388" spans="1:10" hidden="1" x14ac:dyDescent="0.3">
      <c r="A388" s="23"/>
      <c r="B388" s="27"/>
      <c r="C388" s="21"/>
      <c r="D388" s="21"/>
      <c r="E388" s="21"/>
      <c r="F388" s="21"/>
      <c r="G388" s="21">
        <f>Table841419410132427323943485356711182530394649[[#This Row],[VỐN CP]]+Table841419410132427323943485356711182530394649[[#This Row],[LỢI NHUẬN RÒNG]]</f>
        <v>0</v>
      </c>
      <c r="H388" s="28"/>
      <c r="I388" s="11"/>
      <c r="J388" s="11"/>
    </row>
    <row r="389" spans="1:10" hidden="1" x14ac:dyDescent="0.3">
      <c r="A389" s="23"/>
      <c r="B389" s="27"/>
      <c r="C389" s="21"/>
      <c r="D389" s="21"/>
      <c r="E389" s="21"/>
      <c r="F389" s="21"/>
      <c r="G389" s="21">
        <f>Table841419410132427323943485356711182530394649[[#This Row],[VỐN CP]]+Table841419410132427323943485356711182530394649[[#This Row],[LỢI NHUẬN RÒNG]]</f>
        <v>0</v>
      </c>
      <c r="H389" s="28"/>
      <c r="I389" s="11"/>
      <c r="J389" s="11"/>
    </row>
    <row r="390" spans="1:10" hidden="1" x14ac:dyDescent="0.3">
      <c r="A390" s="23"/>
      <c r="B390" s="27"/>
      <c r="C390" s="21"/>
      <c r="D390" s="21"/>
      <c r="E390" s="21"/>
      <c r="F390" s="21"/>
      <c r="G390" s="21">
        <f>Table841419410132427323943485356711182530394649[[#This Row],[VỐN CP]]+Table841419410132427323943485356711182530394649[[#This Row],[LỢI NHUẬN RÒNG]]</f>
        <v>0</v>
      </c>
      <c r="H390" s="28"/>
      <c r="I390" s="11"/>
      <c r="J390" s="11"/>
    </row>
    <row r="391" spans="1:10" hidden="1" x14ac:dyDescent="0.3">
      <c r="A391" s="23"/>
      <c r="B391" s="27"/>
      <c r="C391" s="21"/>
      <c r="D391" s="21"/>
      <c r="E391" s="21"/>
      <c r="F391" s="21"/>
      <c r="G391" s="21">
        <f>Table841419410132427323943485356711182530394649[[#This Row],[VỐN CP]]+Table841419410132427323943485356711182530394649[[#This Row],[LỢI NHUẬN RÒNG]]</f>
        <v>0</v>
      </c>
      <c r="H391" s="28"/>
      <c r="I391" s="11"/>
      <c r="J391" s="11"/>
    </row>
    <row r="392" spans="1:10" hidden="1" x14ac:dyDescent="0.3">
      <c r="A392" s="23"/>
      <c r="B392" s="27"/>
      <c r="C392" s="21"/>
      <c r="D392" s="21"/>
      <c r="E392" s="21"/>
      <c r="F392" s="21"/>
      <c r="G392" s="21">
        <f>Table841419410132427323943485356711182530394649[[#This Row],[VỐN CP]]+Table841419410132427323943485356711182530394649[[#This Row],[LỢI NHUẬN RÒNG]]</f>
        <v>0</v>
      </c>
      <c r="H392" s="28"/>
      <c r="I392" s="11"/>
      <c r="J392" s="11"/>
    </row>
    <row r="393" spans="1:10" hidden="1" x14ac:dyDescent="0.3">
      <c r="A393" s="23"/>
      <c r="B393" s="27"/>
      <c r="C393" s="21"/>
      <c r="D393" s="21"/>
      <c r="E393" s="21"/>
      <c r="F393" s="21"/>
      <c r="G393" s="21">
        <f>Table841419410132427323943485356711182530394649[[#This Row],[VỐN CP]]+Table841419410132427323943485356711182530394649[[#This Row],[LỢI NHUẬN RÒNG]]</f>
        <v>0</v>
      </c>
      <c r="H393" s="28"/>
      <c r="I393" s="11"/>
      <c r="J393" s="11"/>
    </row>
    <row r="394" spans="1:10" hidden="1" x14ac:dyDescent="0.3">
      <c r="A394" s="23"/>
      <c r="B394" s="27"/>
      <c r="C394" s="21"/>
      <c r="D394" s="21"/>
      <c r="E394" s="21"/>
      <c r="F394" s="21"/>
      <c r="G394" s="21">
        <f>Table841419410132427323943485356711182530394649[[#This Row],[VỐN CP]]+Table841419410132427323943485356711182530394649[[#This Row],[LỢI NHUẬN RÒNG]]</f>
        <v>0</v>
      </c>
      <c r="H394" s="28"/>
      <c r="I394" s="11"/>
      <c r="J394" s="11"/>
    </row>
    <row r="395" spans="1:10" hidden="1" x14ac:dyDescent="0.3">
      <c r="A395" s="23"/>
      <c r="B395" s="27"/>
      <c r="C395" s="21"/>
      <c r="D395" s="21"/>
      <c r="E395" s="21"/>
      <c r="F395" s="21"/>
      <c r="G395" s="21">
        <f>Table841419410132427323943485356711182530394649[[#This Row],[VỐN CP]]+Table841419410132427323943485356711182530394649[[#This Row],[LỢI NHUẬN RÒNG]]</f>
        <v>0</v>
      </c>
      <c r="H395" s="28"/>
      <c r="I395" s="11"/>
      <c r="J395" s="11"/>
    </row>
    <row r="396" spans="1:10" hidden="1" x14ac:dyDescent="0.3">
      <c r="A396" s="23"/>
      <c r="B396" s="27"/>
      <c r="C396" s="21"/>
      <c r="D396" s="21"/>
      <c r="E396" s="21"/>
      <c r="F396" s="21"/>
      <c r="G396" s="21">
        <f>Table841419410132427323943485356711182530394649[[#This Row],[VỐN CP]]+Table841419410132427323943485356711182530394649[[#This Row],[LỢI NHUẬN RÒNG]]</f>
        <v>0</v>
      </c>
      <c r="H396" s="28"/>
      <c r="I396" s="11"/>
      <c r="J396" s="11"/>
    </row>
    <row r="397" spans="1:10" hidden="1" x14ac:dyDescent="0.3">
      <c r="A397" s="23"/>
      <c r="B397" s="27"/>
      <c r="C397" s="21"/>
      <c r="D397" s="21"/>
      <c r="E397" s="21"/>
      <c r="F397" s="21"/>
      <c r="G397" s="21">
        <f>Table841419410132427323943485356711182530394649[[#This Row],[VỐN CP]]+Table841419410132427323943485356711182530394649[[#This Row],[LỢI NHUẬN RÒNG]]</f>
        <v>0</v>
      </c>
      <c r="H397" s="28"/>
      <c r="I397" s="11"/>
      <c r="J397" s="11"/>
    </row>
    <row r="398" spans="1:10" hidden="1" x14ac:dyDescent="0.3">
      <c r="A398" s="23"/>
      <c r="B398" s="27"/>
      <c r="C398" s="21"/>
      <c r="D398" s="21"/>
      <c r="E398" s="21"/>
      <c r="F398" s="21"/>
      <c r="G398" s="21">
        <f>Table841419410132427323943485356711182530394649[[#This Row],[VỐN CP]]+Table841419410132427323943485356711182530394649[[#This Row],[LỢI NHUẬN RÒNG]]</f>
        <v>0</v>
      </c>
      <c r="H398" s="28"/>
      <c r="I398" s="11"/>
      <c r="J398" s="11"/>
    </row>
    <row r="399" spans="1:10" hidden="1" x14ac:dyDescent="0.3">
      <c r="A399" s="23"/>
      <c r="B399" s="27"/>
      <c r="C399" s="21"/>
      <c r="D399" s="21"/>
      <c r="E399" s="21"/>
      <c r="F399" s="21"/>
      <c r="G399" s="21">
        <f>Table841419410132427323943485356711182530394649[[#This Row],[VỐN CP]]+Table841419410132427323943485356711182530394649[[#This Row],[LỢI NHUẬN RÒNG]]</f>
        <v>0</v>
      </c>
      <c r="H399" s="28"/>
      <c r="I399" s="11"/>
      <c r="J399" s="11"/>
    </row>
    <row r="400" spans="1:10" hidden="1" x14ac:dyDescent="0.3">
      <c r="A400" s="23"/>
      <c r="B400" s="27"/>
      <c r="C400" s="21"/>
      <c r="D400" s="21"/>
      <c r="E400" s="21"/>
      <c r="F400" s="21"/>
      <c r="G400" s="21">
        <f>Table841419410132427323943485356711182530394649[[#This Row],[VỐN CP]]+Table841419410132427323943485356711182530394649[[#This Row],[LỢI NHUẬN RÒNG]]</f>
        <v>0</v>
      </c>
      <c r="H400" s="28"/>
      <c r="I400" s="11"/>
      <c r="J400" s="11"/>
    </row>
    <row r="401" spans="1:10" hidden="1" x14ac:dyDescent="0.3">
      <c r="A401" s="23"/>
      <c r="B401" s="27"/>
      <c r="C401" s="21"/>
      <c r="D401" s="21"/>
      <c r="E401" s="21"/>
      <c r="F401" s="21"/>
      <c r="G401" s="21">
        <f>Table841419410132427323943485356711182530394649[[#This Row],[VỐN CP]]+Table841419410132427323943485356711182530394649[[#This Row],[LỢI NHUẬN RÒNG]]</f>
        <v>0</v>
      </c>
      <c r="H401" s="28"/>
      <c r="I401" s="11"/>
      <c r="J401" s="11"/>
    </row>
    <row r="402" spans="1:10" hidden="1" x14ac:dyDescent="0.3">
      <c r="A402" s="23"/>
      <c r="B402" s="27"/>
      <c r="C402" s="21"/>
      <c r="D402" s="21"/>
      <c r="E402" s="21"/>
      <c r="F402" s="21"/>
      <c r="G402" s="21">
        <f>Table841419410132427323943485356711182530394649[[#This Row],[VỐN CP]]+Table841419410132427323943485356711182530394649[[#This Row],[LỢI NHUẬN RÒNG]]</f>
        <v>0</v>
      </c>
      <c r="H402" s="28"/>
      <c r="I402" s="11"/>
      <c r="J402" s="11"/>
    </row>
    <row r="403" spans="1:10" hidden="1" x14ac:dyDescent="0.3">
      <c r="A403" s="23"/>
      <c r="B403" s="27"/>
      <c r="C403" s="21"/>
      <c r="D403" s="21"/>
      <c r="E403" s="21"/>
      <c r="F403" s="21"/>
      <c r="G403" s="21">
        <f>Table841419410132427323943485356711182530394649[[#This Row],[VỐN CP]]+Table841419410132427323943485356711182530394649[[#This Row],[LỢI NHUẬN RÒNG]]</f>
        <v>0</v>
      </c>
      <c r="H403" s="28"/>
      <c r="I403" s="11"/>
      <c r="J403" s="11"/>
    </row>
    <row r="404" spans="1:10" hidden="1" x14ac:dyDescent="0.3">
      <c r="A404" s="23"/>
      <c r="B404" s="27"/>
      <c r="C404" s="21"/>
      <c r="D404" s="21"/>
      <c r="E404" s="21"/>
      <c r="F404" s="21"/>
      <c r="G404" s="21">
        <f>Table841419410132427323943485356711182530394649[[#This Row],[VỐN CP]]+Table841419410132427323943485356711182530394649[[#This Row],[LỢI NHUẬN RÒNG]]</f>
        <v>0</v>
      </c>
      <c r="H404" s="28"/>
      <c r="I404" s="11"/>
      <c r="J404" s="11"/>
    </row>
    <row r="405" spans="1:10" hidden="1" x14ac:dyDescent="0.3">
      <c r="A405" s="23"/>
      <c r="B405" s="27"/>
      <c r="C405" s="21"/>
      <c r="D405" s="21"/>
      <c r="E405" s="21"/>
      <c r="F405" s="21"/>
      <c r="G405" s="21">
        <f>Table841419410132427323943485356711182530394649[[#This Row],[VỐN CP]]+Table841419410132427323943485356711182530394649[[#This Row],[LỢI NHUẬN RÒNG]]</f>
        <v>0</v>
      </c>
      <c r="H405" s="28"/>
      <c r="I405" s="11"/>
      <c r="J405" s="11"/>
    </row>
    <row r="406" spans="1:10" hidden="1" x14ac:dyDescent="0.3">
      <c r="A406" s="23"/>
      <c r="B406" s="27"/>
      <c r="C406" s="21"/>
      <c r="D406" s="21"/>
      <c r="E406" s="21"/>
      <c r="F406" s="21"/>
      <c r="G406" s="21">
        <f>Table841419410132427323943485356711182530394649[[#This Row],[VỐN CP]]+Table841419410132427323943485356711182530394649[[#This Row],[LỢI NHUẬN RÒNG]]</f>
        <v>0</v>
      </c>
      <c r="H406" s="28"/>
      <c r="I406" s="11"/>
      <c r="J406" s="11"/>
    </row>
    <row r="407" spans="1:10" hidden="1" x14ac:dyDescent="0.3">
      <c r="A407" s="23"/>
      <c r="B407" s="27"/>
      <c r="C407" s="21"/>
      <c r="D407" s="21"/>
      <c r="E407" s="21"/>
      <c r="F407" s="21"/>
      <c r="G407" s="21">
        <f>Table841419410132427323943485356711182530394649[[#This Row],[VỐN CP]]+Table841419410132427323943485356711182530394649[[#This Row],[LỢI NHUẬN RÒNG]]</f>
        <v>0</v>
      </c>
      <c r="H407" s="28"/>
      <c r="I407" s="11"/>
      <c r="J407" s="11"/>
    </row>
    <row r="408" spans="1:10" hidden="1" x14ac:dyDescent="0.3">
      <c r="A408" s="23"/>
      <c r="B408" s="27"/>
      <c r="C408" s="21"/>
      <c r="D408" s="21"/>
      <c r="E408" s="21"/>
      <c r="F408" s="21"/>
      <c r="G408" s="21">
        <f>Table841419410132427323943485356711182530394649[[#This Row],[VỐN CP]]+Table841419410132427323943485356711182530394649[[#This Row],[LỢI NHUẬN RÒNG]]</f>
        <v>0</v>
      </c>
      <c r="H408" s="28"/>
      <c r="I408" s="11"/>
      <c r="J408" s="11"/>
    </row>
    <row r="409" spans="1:10" hidden="1" x14ac:dyDescent="0.3">
      <c r="A409" s="23"/>
      <c r="B409" s="27"/>
      <c r="C409" s="21"/>
      <c r="D409" s="21"/>
      <c r="E409" s="21"/>
      <c r="F409" s="21"/>
      <c r="G409" s="21">
        <f>Table841419410132427323943485356711182530394649[[#This Row],[VỐN CP]]+Table841419410132427323943485356711182530394649[[#This Row],[LỢI NHUẬN RÒNG]]</f>
        <v>0</v>
      </c>
      <c r="H409" s="28"/>
      <c r="I409" s="11"/>
      <c r="J409" s="11"/>
    </row>
    <row r="410" spans="1:10" hidden="1" x14ac:dyDescent="0.3">
      <c r="A410" s="23"/>
      <c r="B410" s="27"/>
      <c r="C410" s="21"/>
      <c r="D410" s="21"/>
      <c r="E410" s="21"/>
      <c r="F410" s="21"/>
      <c r="G410" s="21">
        <f>Table841419410132427323943485356711182530394649[[#This Row],[VỐN CP]]+Table841419410132427323943485356711182530394649[[#This Row],[LỢI NHUẬN RÒNG]]</f>
        <v>0</v>
      </c>
      <c r="H410" s="28"/>
      <c r="I410" s="11"/>
      <c r="J410" s="11"/>
    </row>
    <row r="411" spans="1:10" hidden="1" x14ac:dyDescent="0.3">
      <c r="A411" s="23"/>
      <c r="B411" s="27"/>
      <c r="C411" s="21"/>
      <c r="D411" s="21"/>
      <c r="E411" s="21"/>
      <c r="F411" s="21"/>
      <c r="G411" s="21">
        <f>Table841419410132427323943485356711182530394649[[#This Row],[VỐN CP]]+Table841419410132427323943485356711182530394649[[#This Row],[LỢI NHUẬN RÒNG]]</f>
        <v>0</v>
      </c>
      <c r="H411" s="28"/>
      <c r="I411" s="11"/>
      <c r="J411" s="11"/>
    </row>
    <row r="412" spans="1:10" hidden="1" x14ac:dyDescent="0.3">
      <c r="A412" s="23"/>
      <c r="B412" s="27"/>
      <c r="C412" s="21"/>
      <c r="D412" s="21"/>
      <c r="E412" s="21"/>
      <c r="F412" s="21"/>
      <c r="G412" s="21">
        <f>Table841419410132427323943485356711182530394649[[#This Row],[VỐN CP]]+Table841419410132427323943485356711182530394649[[#This Row],[LỢI NHUẬN RÒNG]]</f>
        <v>0</v>
      </c>
      <c r="H412" s="28"/>
      <c r="I412" s="11"/>
      <c r="J412" s="11"/>
    </row>
    <row r="413" spans="1:10" hidden="1" x14ac:dyDescent="0.3">
      <c r="A413" s="23"/>
      <c r="B413" s="27"/>
      <c r="C413" s="21"/>
      <c r="D413" s="21"/>
      <c r="E413" s="21"/>
      <c r="F413" s="21"/>
      <c r="G413" s="21">
        <f>Table841419410132427323943485356711182530394649[[#This Row],[VỐN CP]]+Table841419410132427323943485356711182530394649[[#This Row],[LỢI NHUẬN RÒNG]]</f>
        <v>0</v>
      </c>
      <c r="H413" s="28"/>
      <c r="I413" s="11"/>
      <c r="J413" s="11"/>
    </row>
    <row r="414" spans="1:10" hidden="1" x14ac:dyDescent="0.3">
      <c r="A414" s="23"/>
      <c r="B414" s="27"/>
      <c r="C414" s="21"/>
      <c r="D414" s="21"/>
      <c r="E414" s="21"/>
      <c r="F414" s="21"/>
      <c r="G414" s="21">
        <f>Table841419410132427323943485356711182530394649[[#This Row],[VỐN CP]]+Table841419410132427323943485356711182530394649[[#This Row],[LỢI NHUẬN RÒNG]]</f>
        <v>0</v>
      </c>
      <c r="H414" s="28"/>
      <c r="I414" s="11"/>
      <c r="J414" s="11"/>
    </row>
    <row r="415" spans="1:10" hidden="1" x14ac:dyDescent="0.3">
      <c r="A415" s="23"/>
      <c r="B415" s="27"/>
      <c r="C415" s="21"/>
      <c r="D415" s="21"/>
      <c r="E415" s="21"/>
      <c r="F415" s="21"/>
      <c r="G415" s="21">
        <f>Table841419410132427323943485356711182530394649[[#This Row],[VỐN CP]]+Table841419410132427323943485356711182530394649[[#This Row],[LỢI NHUẬN RÒNG]]</f>
        <v>0</v>
      </c>
      <c r="H415" s="28"/>
      <c r="I415" s="11"/>
      <c r="J415" s="11"/>
    </row>
    <row r="416" spans="1:10" hidden="1" x14ac:dyDescent="0.3">
      <c r="A416" s="23"/>
      <c r="B416" s="27"/>
      <c r="C416" s="21"/>
      <c r="D416" s="21"/>
      <c r="E416" s="21"/>
      <c r="F416" s="21"/>
      <c r="G416" s="21">
        <f>Table841419410132427323943485356711182530394649[[#This Row],[VỐN CP]]+Table841419410132427323943485356711182530394649[[#This Row],[LỢI NHUẬN RÒNG]]</f>
        <v>0</v>
      </c>
      <c r="H416" s="28"/>
      <c r="I416" s="11"/>
      <c r="J416" s="11"/>
    </row>
    <row r="417" spans="1:11" hidden="1" x14ac:dyDescent="0.3">
      <c r="A417" s="23"/>
      <c r="B417" s="27"/>
      <c r="C417" s="21"/>
      <c r="D417" s="21"/>
      <c r="E417" s="21"/>
      <c r="F417" s="21"/>
      <c r="G417" s="21">
        <f>Table841419410132427323943485356711182530394649[[#This Row],[VỐN CP]]+Table841419410132427323943485356711182530394649[[#This Row],[LỢI NHUẬN RÒNG]]</f>
        <v>0</v>
      </c>
      <c r="H417" s="28"/>
      <c r="I417" s="11"/>
      <c r="J417" s="11"/>
    </row>
    <row r="418" spans="1:11" hidden="1" x14ac:dyDescent="0.3">
      <c r="A418" s="23"/>
      <c r="B418" s="27"/>
      <c r="C418" s="21"/>
      <c r="D418" s="21"/>
      <c r="E418" s="21"/>
      <c r="F418" s="21"/>
      <c r="G418" s="21">
        <f>Table841419410132427323943485356711182530394649[[#This Row],[VỐN CP]]+Table841419410132427323943485356711182530394649[[#This Row],[LỢI NHUẬN RÒNG]]</f>
        <v>0</v>
      </c>
      <c r="H418" s="28"/>
      <c r="I418" s="11"/>
      <c r="J418" s="11"/>
    </row>
    <row r="419" spans="1:11" hidden="1" x14ac:dyDescent="0.3">
      <c r="A419" s="23"/>
      <c r="B419" s="27"/>
      <c r="C419" s="21"/>
      <c r="D419" s="21"/>
      <c r="E419" s="21"/>
      <c r="F419" s="21"/>
      <c r="G419" s="21">
        <f>Table841419410132427323943485356711182530394649[[#This Row],[VỐN CP]]+Table841419410132427323943485356711182530394649[[#This Row],[LỢI NHUẬN RÒNG]]</f>
        <v>0</v>
      </c>
      <c r="H419" s="28"/>
      <c r="I419" s="11"/>
      <c r="J419" s="11"/>
    </row>
    <row r="420" spans="1:11" hidden="1" x14ac:dyDescent="0.3">
      <c r="A420" s="23"/>
      <c r="B420" s="27"/>
      <c r="C420" s="21"/>
      <c r="D420" s="21"/>
      <c r="E420" s="21"/>
      <c r="F420" s="21"/>
      <c r="G420" s="21">
        <f>Table841419410132427323943485356711182530394649[[#This Row],[VỐN CP]]+Table841419410132427323943485356711182530394649[[#This Row],[LỢI NHUẬN RÒNG]]</f>
        <v>0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SUBTOTAL(109,Table841419410132427323943485356711182530394649[VỐN CP])</f>
        <v>72425000</v>
      </c>
      <c r="E421" s="21">
        <f>SUBTOTAL(109,Table841419410132427323943485356711182530394649[LỢI NHUẬN GỘP])</f>
        <v>27176680.050000001</v>
      </c>
      <c r="F421" s="21">
        <f>SUBTOTAL(109,Table841419410132427323943485356711182530394649[LỢI NHUẬN RÒNG])</f>
        <v>18061554.523237064</v>
      </c>
      <c r="G421" s="21">
        <f>SUBTOTAL(109,Table841419410132427323943485356711182530394649[TỔNG NHẬN])</f>
        <v>113187091.0861893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honeticPr fontId="10" type="noConversion"/>
  <pageMargins left="0.7" right="0.7" top="0.75" bottom="0.75" header="0.3" footer="0.3"/>
  <tableParts count="2">
    <tablePart r:id="rId1"/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919B-AE32-4DBD-8789-12C09B671884}">
  <dimension ref="A1:J39"/>
  <sheetViews>
    <sheetView tabSelected="1" topLeftCell="A4" workbookViewId="0">
      <selection activeCell="I9" sqref="I9"/>
    </sheetView>
  </sheetViews>
  <sheetFormatPr defaultRowHeight="14" x14ac:dyDescent="0.3"/>
  <cols>
    <col min="1" max="1" width="14" style="46" customWidth="1"/>
    <col min="2" max="2" width="19" style="46" customWidth="1"/>
    <col min="3" max="3" width="17.54296875" style="46" customWidth="1"/>
    <col min="4" max="4" width="20.81640625" style="46" customWidth="1"/>
    <col min="5" max="5" width="17.08984375" style="46" customWidth="1"/>
    <col min="6" max="6" width="17.36328125" style="52" customWidth="1"/>
    <col min="7" max="8" width="8.7265625" style="46"/>
    <col min="9" max="9" width="10.7265625" style="46" bestFit="1" customWidth="1"/>
    <col min="10" max="10" width="9.7265625" style="46" bestFit="1" customWidth="1"/>
    <col min="11" max="16384" width="8.7265625" style="46"/>
  </cols>
  <sheetData>
    <row r="1" spans="1:10" ht="32" customHeight="1" x14ac:dyDescent="0.3">
      <c r="A1" s="55" t="s">
        <v>170</v>
      </c>
      <c r="B1" s="55"/>
      <c r="C1" s="55"/>
      <c r="D1" s="55"/>
      <c r="E1" s="55"/>
      <c r="F1" s="55"/>
    </row>
    <row r="2" spans="1:10" ht="19.5" customHeight="1" x14ac:dyDescent="0.3">
      <c r="A2" s="7" t="s">
        <v>1</v>
      </c>
      <c r="B2" s="8" t="s">
        <v>3</v>
      </c>
      <c r="C2" s="8" t="s">
        <v>4</v>
      </c>
      <c r="D2" s="8" t="s">
        <v>5</v>
      </c>
      <c r="E2" s="8" t="s">
        <v>6</v>
      </c>
      <c r="F2" s="47" t="s">
        <v>128</v>
      </c>
    </row>
    <row r="3" spans="1:10" x14ac:dyDescent="0.3">
      <c r="A3" s="48" t="s">
        <v>10</v>
      </c>
      <c r="B3" s="14">
        <f>Table7312187916233035384247525910172433384354[[#This Row],[VỐN CP]]+Table9515205111425283340444954578152229364552[[#This Row],[VỐN CP]]+Table951520511142528334044495457812192631404750[[#This Row],[VỐN CP]]</f>
        <v>83117500</v>
      </c>
      <c r="C3" s="14">
        <f>Table7312187916233035384247525910172433384354[[#This Row],[LỢI NHUẬN GỘP]]+Table9515205111425283340444954578152229364552[[#This Row],[LỢI NHUẬN GỘP]]+Table951520511142528334044495457812192631404750[[#This Row],[LỢI NHUẬN GỘP]]</f>
        <v>33619648.766666673</v>
      </c>
      <c r="D3" s="14">
        <f>Table7312187916233035384247525910172433384354[[#This Row],[LỢI NHUẬN RÒNG]]+Table9515205111425283340444954578152229364552[[#This Row],[LỢI NHUẬN RÒNG]]+Table951520511142528334044495457812192631404750[[#This Row],[LỢI NHUẬN RÒNG]]</f>
        <v>21534867.030535761</v>
      </c>
      <c r="E3" s="14">
        <f>Table7312187916233035384247525910172433384354[[#This Row],[TỔNG NHẬN]]+Table9515205111425283340444954578152229364552[[#This Row],[TỔNG NHẬN]]+Table951520511142528334044495457812192631404750[[#This Row],[TỔNG NHẬN]]</f>
        <v>111459597.29739538</v>
      </c>
      <c r="F3" s="49">
        <f t="shared" ref="F3:F29" si="0">D3/B3</f>
        <v>0.25908944603165113</v>
      </c>
    </row>
    <row r="4" spans="1:10" x14ac:dyDescent="0.3">
      <c r="A4" s="13" t="s">
        <v>87</v>
      </c>
      <c r="B4" s="14">
        <f>Table7312187916233035384247525910172433384354[[#This Row],[VỐN CP]]</f>
        <v>81893333.333333328</v>
      </c>
      <c r="C4" s="14">
        <f>Table7312187916233035384247525910172433384354[[#This Row],[LỢI NHUẬN GỘP]]</f>
        <v>34066051.56666667</v>
      </c>
      <c r="D4" s="14">
        <f>Table7312187916233035384247525910172433384354[[#This Row],[LỢI NHUẬN RÒNG]]</f>
        <v>19002529.886363599</v>
      </c>
      <c r="E4" s="14">
        <f>Table7312187916233035384247525910172433384354[[#This Row],[TỔNG NHẬN]]</f>
        <v>100895863.21969694</v>
      </c>
      <c r="F4" s="49">
        <f t="shared" si="0"/>
        <v>0.23204001000932434</v>
      </c>
      <c r="I4" s="50"/>
    </row>
    <row r="5" spans="1:10" x14ac:dyDescent="0.3">
      <c r="A5" s="13" t="s">
        <v>9</v>
      </c>
      <c r="B5" s="14">
        <f>Table7312187916233035384247525910172433384354[[#This Row],[VỐN CP]]+'Tháng 8 nhà S '!L4+'Tháng 8 nhà G  '!L4</f>
        <v>859525833.33333337</v>
      </c>
      <c r="C5" s="14">
        <f>Table7312187916233035384247525910172433384354[[#This Row],[LỢI NHUẬN GỘP]]+'Tháng 8 nhà S '!M4+'Tháng 8 nhà G  '!M4</f>
        <v>350754704.12749988</v>
      </c>
      <c r="D5" s="14">
        <f>Table7312187916233035384247525910172433384354[[#This Row],[LỢI NHUẬN RÒNG]]+'Tháng 8 nhà S '!N4+'Tháng 8 nhà G  '!N4</f>
        <v>201355334.9392243</v>
      </c>
      <c r="E5" s="14">
        <f>Table7312187916233035384247525910172433384354[[#This Row],[TỔNG NHẬN]]+'Tháng 8 nhà S '!O4+'Tháng 8 nhà G  '!O4</f>
        <v>1099641587.3673828</v>
      </c>
      <c r="F5" s="49">
        <f t="shared" si="0"/>
        <v>0.23426327299360708</v>
      </c>
      <c r="I5" s="50"/>
    </row>
    <row r="6" spans="1:10" x14ac:dyDescent="0.3">
      <c r="A6" s="13" t="s">
        <v>88</v>
      </c>
      <c r="B6" s="14">
        <f>Table7312187916233035384247525910172433384354[[#This Row],[VỐN CP]]+'Tháng 8 nhà S '!L5+'Tháng 8 nhà G  '!L5</f>
        <v>78785833.333333343</v>
      </c>
      <c r="C6" s="14">
        <f>Table7312187916233035384247525910172433384354[[#This Row],[LỢI NHUẬN GỘP]]+'Tháng 8 nhà S '!M5+'Tháng 8 nhà G  '!M5</f>
        <v>35397640.263333336</v>
      </c>
      <c r="D6" s="14">
        <f>Table7312187916233035384247525910172433384354[[#This Row],[LỢI NHUẬN RÒNG]]+'Tháng 8 nhà S '!N5+'Tháng 8 nhà G  '!N5</f>
        <v>20210599.907403596</v>
      </c>
      <c r="E6" s="14">
        <f>Table7312187916233035384247525910172433384354[[#This Row],[TỔNG NHẬN]]+'Tháng 8 nhà S '!O5+'Tháng 8 nhà G  '!O5</f>
        <v>113932444.60992372</v>
      </c>
      <c r="F6" s="49">
        <f t="shared" si="0"/>
        <v>0.25652581247563871</v>
      </c>
    </row>
    <row r="7" spans="1:10" x14ac:dyDescent="0.3">
      <c r="A7" s="13" t="s">
        <v>89</v>
      </c>
      <c r="B7" s="14">
        <f>Table7312187916233035384247525910172433384354[[#This Row],[VỐN CP]]+'Tháng 8 nhà S '!L6</f>
        <v>0</v>
      </c>
      <c r="C7" s="14">
        <f>Table7312187916233035384247525910172433384354[[#This Row],[LỢI NHUẬN GỘP]]+'Tháng 8 nhà S '!M6</f>
        <v>0</v>
      </c>
      <c r="D7" s="14">
        <f>Table7312187916233035384247525910172433384354[[#This Row],[LỢI NHUẬN RÒNG]]+'Tháng 8 nhà S '!N6</f>
        <v>0</v>
      </c>
      <c r="E7" s="14">
        <f>Table7312187916233035384247525910172433384354[[#This Row],[TỔNG NHẬN]]+'Tháng 8 nhà S '!O6</f>
        <v>0</v>
      </c>
      <c r="F7" s="49" t="e">
        <f t="shared" si="0"/>
        <v>#DIV/0!</v>
      </c>
      <c r="I7" s="50"/>
    </row>
    <row r="8" spans="1:10" x14ac:dyDescent="0.3">
      <c r="A8" s="13" t="s">
        <v>17</v>
      </c>
      <c r="B8" s="14">
        <f>'Tháng 8 nhà S '!L7</f>
        <v>6795000</v>
      </c>
      <c r="C8" s="14">
        <f>'Tháng 8 nhà S '!M7</f>
        <v>3585753.4499999997</v>
      </c>
      <c r="D8" s="14">
        <f>'Tháng 8 nhà S '!N7</f>
        <v>2349457.0106840683</v>
      </c>
      <c r="E8" s="14">
        <f>'Tháng 8 nhà S '!O7</f>
        <v>9144457.0106840692</v>
      </c>
      <c r="F8" s="49">
        <f t="shared" si="0"/>
        <v>0.34576262114555822</v>
      </c>
    </row>
    <row r="9" spans="1:10" x14ac:dyDescent="0.3">
      <c r="A9" s="13" t="s">
        <v>19</v>
      </c>
      <c r="B9" s="14">
        <f>'Tháng 8 nhà T '!L8+'Tháng 8 nhà S '!L8+'Tháng 8 nhà G  '!L8</f>
        <v>887560000</v>
      </c>
      <c r="C9" s="14">
        <f>'Tháng 8 nhà T '!M8+'Tháng 8 nhà S '!M8+'Tháng 8 nhà G  '!M8</f>
        <v>367251988.1583333</v>
      </c>
      <c r="D9" s="14">
        <f>'Tháng 8 nhà T '!N8+'Tháng 8 nhà S '!N8+'Tháng 8 nhà G  '!N8</f>
        <v>211362395.53527671</v>
      </c>
      <c r="E9" s="14">
        <f>'Tháng 8 nhà T '!O8+'Tháng 8 nhà S '!O8+'Tháng 8 nhà G  '!O8</f>
        <v>1132198033.4070799</v>
      </c>
      <c r="F9" s="49">
        <f t="shared" si="0"/>
        <v>0.23813871235215278</v>
      </c>
      <c r="I9" s="50"/>
    </row>
    <row r="10" spans="1:10" x14ac:dyDescent="0.3">
      <c r="A10" s="16" t="s">
        <v>21</v>
      </c>
      <c r="B10" s="14">
        <f>'Tháng 8 nhà T '!L9+'Tháng 8 nhà S '!L9+'Tháng 8 nhà G  '!L9</f>
        <v>475096666.66666669</v>
      </c>
      <c r="C10" s="14">
        <f>'Tháng 8 nhà T '!M9+'Tháng 8 nhà S '!M9+'Tháng 8 nhà G  '!M9</f>
        <v>202047128.76249999</v>
      </c>
      <c r="D10" s="14">
        <f>'Tháng 8 nhà T '!N9+'Tháng 8 nhà S '!N9+'Tháng 8 nhà G  '!N9</f>
        <v>125436215.73197275</v>
      </c>
      <c r="E10" s="14">
        <f>'Tháng 8 nhà T '!O9+'Tháng 8 nhà S '!O9+'Tháng 8 nhà G  '!O9</f>
        <v>630966840.71835613</v>
      </c>
      <c r="F10" s="49">
        <f t="shared" si="0"/>
        <v>0.26402251274892707</v>
      </c>
      <c r="J10" s="50"/>
    </row>
    <row r="11" spans="1:10" x14ac:dyDescent="0.3">
      <c r="A11" s="13" t="s">
        <v>23</v>
      </c>
      <c r="B11" s="14">
        <f>'Tháng 8 nhà T '!L10+'Tháng 8 nhà S '!L10</f>
        <v>51135000</v>
      </c>
      <c r="C11" s="14">
        <f>'Tháng 8 nhà T '!M10+'Tháng 8 nhà S '!M10</f>
        <v>21908610.283333335</v>
      </c>
      <c r="D11" s="14">
        <f>'Tháng 8 nhà T '!N10+'Tháng 8 nhà S '!N10</f>
        <v>12291003.887149829</v>
      </c>
      <c r="E11" s="14">
        <f>'Tháng 8 nhà T '!O10+'Tháng 8 nhà S '!O10</f>
        <v>63426003.887149826</v>
      </c>
      <c r="F11" s="49">
        <f t="shared" si="0"/>
        <v>0.24036381905054913</v>
      </c>
    </row>
    <row r="12" spans="1:10" x14ac:dyDescent="0.3">
      <c r="A12" s="13" t="s">
        <v>25</v>
      </c>
      <c r="B12" s="14">
        <f>'Tháng 8 nhà T '!L16+'Tháng 8 nhà S '!L11+'Tháng 8 nhà G  '!L11</f>
        <v>134347500</v>
      </c>
      <c r="C12" s="14">
        <f>'Tháng 8 nhà T '!M16+'Tháng 8 nhà S '!M11+'Tháng 8 nhà G  '!M11</f>
        <v>58658152.663333334</v>
      </c>
      <c r="D12" s="14">
        <f>'Tháng 8 nhà T '!N16+'Tháng 8 nhà S '!N11+'Tháng 8 nhà G  '!N11</f>
        <v>36530686.119139835</v>
      </c>
      <c r="E12" s="14">
        <f>'Tháng 8 nhà T '!O16+'Tháng 8 nhà S '!O11+'Tháng 8 nhà G  '!O11</f>
        <v>175041416.50669414</v>
      </c>
      <c r="F12" s="49">
        <f t="shared" si="0"/>
        <v>0.27191191588336094</v>
      </c>
    </row>
    <row r="13" spans="1:10" x14ac:dyDescent="0.3">
      <c r="A13" s="13" t="s">
        <v>27</v>
      </c>
      <c r="B13" s="14">
        <f>'Tháng 8 nhà T '!L11+'Tháng 8 nhà S '!L12+'Tháng 8 nhà G  '!L12</f>
        <v>413495000</v>
      </c>
      <c r="C13" s="14">
        <f>'Tháng 8 nhà T '!M11+'Tháng 8 nhà S '!M12+'Tháng 8 nhà G  '!M12</f>
        <v>185936020.5083333</v>
      </c>
      <c r="D13" s="14">
        <f>'Tháng 8 nhà T '!N11+'Tháng 8 nhà S '!N12+'Tháng 8 nhà G  '!N12</f>
        <v>109793597.66594201</v>
      </c>
      <c r="E13" s="14">
        <f>'Tháng 8 nhà T '!O11+'Tháng 8 nhà S '!O12+'Tháng 8 nhà G  '!O12</f>
        <v>538026929.36234748</v>
      </c>
      <c r="F13" s="49">
        <f t="shared" si="0"/>
        <v>0.26552581691663024</v>
      </c>
    </row>
    <row r="14" spans="1:10" x14ac:dyDescent="0.3">
      <c r="A14" s="13" t="s">
        <v>29</v>
      </c>
      <c r="B14" s="14">
        <f>'Tháng 8 nhà S '!L13+'Tháng 8 nhà G  '!L13</f>
        <v>74573333.333333328</v>
      </c>
      <c r="C14" s="14">
        <f>'Tháng 8 nhà S '!M13+'Tháng 8 nhà G  '!M13</f>
        <v>31254002.416666668</v>
      </c>
      <c r="D14" s="14">
        <f>'Tháng 8 nhà S '!N13+'Tháng 8 nhà G  '!N13</f>
        <v>19603872.808261488</v>
      </c>
      <c r="E14" s="14">
        <f>'Tháng 8 nhà S '!O13+'Tháng 8 nhà G  '!O13</f>
        <v>116482383.35898431</v>
      </c>
      <c r="F14" s="49">
        <f t="shared" si="0"/>
        <v>0.26288046855347963</v>
      </c>
    </row>
    <row r="15" spans="1:10" x14ac:dyDescent="0.3">
      <c r="A15" s="13" t="s">
        <v>31</v>
      </c>
      <c r="B15" s="14">
        <f>'Tháng 8 nhà T '!L12+'Tháng 8 nhà S '!L14+'Tháng 8 nhà G  '!L14</f>
        <v>293991666.66666669</v>
      </c>
      <c r="C15" s="14">
        <f>'Tháng 8 nhà T '!M12+'Tháng 8 nhà S '!M14+'Tháng 8 nhà G  '!M14</f>
        <v>120593846.25000001</v>
      </c>
      <c r="D15" s="14">
        <f>'Tháng 8 nhà T '!N12+'Tháng 8 nhà S '!N14+'Tháng 8 nhà G  '!N14</f>
        <v>71802488.795996368</v>
      </c>
      <c r="E15" s="14">
        <f>'Tháng 8 nhà T '!O12+'Tháng 8 nhà S '!O14+'Tháng 8 nhà G  '!O14</f>
        <v>388494692.02561522</v>
      </c>
      <c r="F15" s="49">
        <f t="shared" si="0"/>
        <v>0.24423307507354414</v>
      </c>
    </row>
    <row r="16" spans="1:10" x14ac:dyDescent="0.3">
      <c r="A16" s="13" t="s">
        <v>91</v>
      </c>
      <c r="B16" s="14">
        <f>'Tháng 8 nhà T '!L13</f>
        <v>8400000</v>
      </c>
      <c r="C16" s="14">
        <f>'Tháng 8 nhà T '!M13</f>
        <v>5627525.7666666675</v>
      </c>
      <c r="D16" s="14">
        <f>'Tháng 8 nhà T '!N13</f>
        <v>3982099.5432782974</v>
      </c>
      <c r="E16" s="14">
        <f>'Tháng 8 nhà T '!O13</f>
        <v>12382099.543278299</v>
      </c>
      <c r="F16" s="49">
        <f t="shared" si="0"/>
        <v>0.47405946943789257</v>
      </c>
    </row>
    <row r="17" spans="1:6" x14ac:dyDescent="0.3">
      <c r="A17" s="13" t="s">
        <v>33</v>
      </c>
      <c r="B17" s="14">
        <f>'Tháng 8 nhà T '!L14+'Tháng 8 nhà S '!L15+'Tháng 8 nhà G  '!L15</f>
        <v>112316666.66666667</v>
      </c>
      <c r="C17" s="14">
        <f>'Tháng 8 nhà T '!M14+'Tháng 8 nhà S '!M15+'Tháng 8 nhà G  '!M15</f>
        <v>45653824.516666673</v>
      </c>
      <c r="D17" s="14">
        <f>'Tháng 8 nhà T '!N14+'Tháng 8 nhà S '!N15+'Tháng 8 nhà G  '!N15</f>
        <v>27018012.44928965</v>
      </c>
      <c r="E17" s="14">
        <f>'Tháng 8 nhà T '!O14+'Tháng 8 nhà S '!O15+'Tháng 8 nhà G  '!O15</f>
        <v>161077920.75200272</v>
      </c>
      <c r="F17" s="49">
        <f t="shared" si="0"/>
        <v>0.24055212152505995</v>
      </c>
    </row>
    <row r="18" spans="1:6" x14ac:dyDescent="0.3">
      <c r="A18" s="13" t="s">
        <v>35</v>
      </c>
      <c r="B18" s="14">
        <f>'Tháng 8 nhà S '!L16+'Tháng 8 nhà G  '!L16</f>
        <v>51013333.333333336</v>
      </c>
      <c r="C18" s="14">
        <f>'Tháng 8 nhà S '!M16+'Tháng 8 nhà G  '!M16</f>
        <v>22781462.81666667</v>
      </c>
      <c r="D18" s="14">
        <f>'Tháng 8 nhà S '!N16+'Tháng 8 nhà G  '!N16</f>
        <v>14146866.825192038</v>
      </c>
      <c r="E18" s="14">
        <f>'Tháng 8 nhà S '!O16+'Tháng 8 nhà G  '!O16</f>
        <v>65160200.158525363</v>
      </c>
      <c r="F18" s="49">
        <f t="shared" si="0"/>
        <v>0.2773170444039213</v>
      </c>
    </row>
    <row r="19" spans="1:6" x14ac:dyDescent="0.3">
      <c r="A19" s="16" t="s">
        <v>37</v>
      </c>
      <c r="B19" s="14">
        <f>'Tháng 8 nhà T '!L15+'Tháng 8 nhà S '!L17+'Tháng 8 nhà G  '!L17</f>
        <v>277735000</v>
      </c>
      <c r="C19" s="14">
        <f>'Tháng 8 nhà T '!M15+'Tháng 8 nhà S '!M17+'Tháng 8 nhà G  '!M17</f>
        <v>117572919.53333333</v>
      </c>
      <c r="D19" s="14">
        <f>'Tháng 8 nhà T '!N15+'Tháng 8 nhà S '!N17+'Tháng 8 nhà G  '!N17</f>
        <v>74964281.255736977</v>
      </c>
      <c r="E19" s="14">
        <f>'Tháng 8 nhà T '!O15+'Tháng 8 nhà S '!O17+'Tháng 8 nhà G  '!O17</f>
        <v>398828866.1987648</v>
      </c>
      <c r="F19" s="51">
        <f t="shared" si="0"/>
        <v>0.26991297911943751</v>
      </c>
    </row>
    <row r="20" spans="1:6" x14ac:dyDescent="0.3">
      <c r="A20" s="13" t="s">
        <v>39</v>
      </c>
      <c r="B20" s="14">
        <f>'Tháng 8 nhà S '!L18</f>
        <v>1500000</v>
      </c>
      <c r="C20" s="14">
        <f>'Tháng 8 nhà S '!M18</f>
        <v>792637.75</v>
      </c>
      <c r="D20" s="14">
        <f>'Tháng 8 nhà S '!N18</f>
        <v>493449.50189017353</v>
      </c>
      <c r="E20" s="14">
        <f>'Tháng 8 nhà S '!O18</f>
        <v>1993449.5018901736</v>
      </c>
      <c r="F20" s="51">
        <f t="shared" si="0"/>
        <v>0.32896633459344904</v>
      </c>
    </row>
    <row r="21" spans="1:6" x14ac:dyDescent="0.3">
      <c r="A21" s="13" t="s">
        <v>41</v>
      </c>
      <c r="B21" s="14">
        <f>'Tháng 8 nhà S '!L19</f>
        <v>2450000</v>
      </c>
      <c r="C21" s="14">
        <f>'Tháng 8 nhà S '!M19</f>
        <v>1283839.8</v>
      </c>
      <c r="D21" s="14">
        <f>'Tháng 8 nhà S '!N19</f>
        <v>609690.95951585018</v>
      </c>
      <c r="E21" s="14">
        <f>'Tháng 8 nhà S '!O19</f>
        <v>3059690.9595158501</v>
      </c>
      <c r="F21" s="51">
        <f t="shared" si="0"/>
        <v>0.24885345286361232</v>
      </c>
    </row>
    <row r="22" spans="1:6" x14ac:dyDescent="0.3">
      <c r="A22" s="13" t="s">
        <v>42</v>
      </c>
      <c r="B22" s="14">
        <f>'Tháng 8 nhà S '!L20</f>
        <v>2000000</v>
      </c>
      <c r="C22" s="14">
        <f>'Tháng 8 nhà S '!M20</f>
        <v>1263759.25</v>
      </c>
      <c r="D22" s="14">
        <f>'Tháng 8 nhà S '!N20</f>
        <v>819269.25809793454</v>
      </c>
      <c r="E22" s="14">
        <f>'Tháng 8 nhà S '!O20</f>
        <v>2819269.2580979345</v>
      </c>
      <c r="F22" s="51">
        <f t="shared" si="0"/>
        <v>0.40963462904896725</v>
      </c>
    </row>
    <row r="23" spans="1:6" x14ac:dyDescent="0.3">
      <c r="A23" s="13" t="s">
        <v>43</v>
      </c>
      <c r="B23" s="14">
        <f>'Tháng 8 nhà S '!L21+'Tháng 8 nhà G  '!L21</f>
        <v>143476666.66666669</v>
      </c>
      <c r="C23" s="14">
        <f>'Tháng 8 nhà S '!M21+'Tháng 8 nhà G  '!M21</f>
        <v>58446984.5</v>
      </c>
      <c r="D23" s="14">
        <f>'Tháng 8 nhà S '!N21+'Tháng 8 nhà G  '!N21</f>
        <v>36431954.193989433</v>
      </c>
      <c r="E23" s="14">
        <f>'Tháng 8 nhà S '!O21+'Tháng 8 nhà G  '!O21</f>
        <v>201089926.91535944</v>
      </c>
      <c r="F23" s="51">
        <f t="shared" si="0"/>
        <v>0.25392250210712147</v>
      </c>
    </row>
    <row r="24" spans="1:6" x14ac:dyDescent="0.3">
      <c r="A24" s="13" t="s">
        <v>44</v>
      </c>
      <c r="B24" s="14">
        <f>'Tháng 8 nhà S '!L22+'Tháng 8 nhà G  '!L22</f>
        <v>4700000</v>
      </c>
      <c r="C24" s="14">
        <f>'Tháng 8 nhà S '!M22+'Tháng 8 nhà G  '!M22</f>
        <v>2939673.35</v>
      </c>
      <c r="D24" s="14">
        <f>'Tháng 8 nhà S '!N22+'Tháng 8 nhà G  '!N22</f>
        <v>1541041.903416614</v>
      </c>
      <c r="E24" s="14">
        <f>'Tháng 8 nhà S '!O22+'Tháng 8 nhà G  '!O22</f>
        <v>13048272.17027624</v>
      </c>
      <c r="F24" s="51">
        <f t="shared" si="0"/>
        <v>0.32788125604608809</v>
      </c>
    </row>
    <row r="25" spans="1:6" x14ac:dyDescent="0.3">
      <c r="A25" s="13" t="s">
        <v>45</v>
      </c>
      <c r="B25" s="14">
        <f>'Tháng 8 nhà S '!L23+'Tháng 8 nhà G  '!L23</f>
        <v>12925000</v>
      </c>
      <c r="C25" s="14">
        <f>'Tháng 8 nhà S '!M23+'Tháng 8 nhà G  '!M23</f>
        <v>5293846.6833333336</v>
      </c>
      <c r="D25" s="14">
        <f>'Tháng 8 nhà S '!N23+'Tháng 8 nhà G  '!N23</f>
        <v>3530363.4887821139</v>
      </c>
      <c r="E25" s="14">
        <f>'Tháng 8 nhà S '!O23+'Tháng 8 nhà G  '!O23</f>
        <v>16455363.488782113</v>
      </c>
      <c r="F25" s="49">
        <f t="shared" si="0"/>
        <v>0.27314224284581151</v>
      </c>
    </row>
    <row r="26" spans="1:6" s="52" customFormat="1" x14ac:dyDescent="0.3">
      <c r="A26" s="13" t="s">
        <v>46</v>
      </c>
      <c r="B26" s="14">
        <f>'Tháng 8 nhà S '!L24+'Tháng 8 nhà G  '!L24</f>
        <v>16150000</v>
      </c>
      <c r="C26" s="14">
        <f>'Tháng 8 nhà S '!M24+'Tháng 8 nhà G  '!M24</f>
        <v>7623555.5</v>
      </c>
      <c r="D26" s="14">
        <f>'Tháng 8 nhà S '!N24+'Tháng 8 nhà G  '!N24</f>
        <v>5212500.8935117768</v>
      </c>
      <c r="E26" s="14">
        <f>'Tháng 8 nhà S '!O24+'Tháng 8 nhà G  '!O24</f>
        <v>21362500.893511776</v>
      </c>
      <c r="F26" s="49">
        <f t="shared" si="0"/>
        <v>0.32275547328246296</v>
      </c>
    </row>
    <row r="27" spans="1:6" s="52" customFormat="1" x14ac:dyDescent="0.3">
      <c r="A27" s="13" t="s">
        <v>161</v>
      </c>
      <c r="B27" s="14">
        <f>'Tháng 8 nhà G  '!L6</f>
        <v>10200000</v>
      </c>
      <c r="C27" s="14">
        <f>'Tháng 8 nhà G  '!M6</f>
        <v>3467059.3</v>
      </c>
      <c r="D27" s="14">
        <f>'Tháng 8 nhà G  '!N6</f>
        <v>1227460.1514017833</v>
      </c>
      <c r="E27" s="14">
        <f>'Tháng 8 nhà G  '!O6</f>
        <v>26165791.847807176</v>
      </c>
      <c r="F27" s="49">
        <f t="shared" si="0"/>
        <v>0.1203392305295866</v>
      </c>
    </row>
    <row r="28" spans="1:6" s="52" customFormat="1" x14ac:dyDescent="0.3">
      <c r="A28" s="13" t="s">
        <v>166</v>
      </c>
      <c r="B28" s="14">
        <f>'Tháng 8 nhà G  '!L18</f>
        <v>2800000</v>
      </c>
      <c r="C28" s="14">
        <f>'Tháng 8 nhà G  '!M18</f>
        <v>1506828.1</v>
      </c>
      <c r="D28" s="14">
        <f>'Tháng 8 nhà G  '!N18</f>
        <v>1148945.5761394664</v>
      </c>
      <c r="E28" s="14">
        <f>'Tháng 8 nhà G  '!O18</f>
        <v>3948945.5761394664</v>
      </c>
      <c r="F28" s="49">
        <f>D28/B28</f>
        <v>0.41033770576409512</v>
      </c>
    </row>
    <row r="29" spans="1:6" x14ac:dyDescent="0.3">
      <c r="A29" s="16" t="s">
        <v>129</v>
      </c>
      <c r="B29" s="14">
        <f>'[1]Tháng 9 nhà S '!L25</f>
        <v>1745166666.6666663</v>
      </c>
      <c r="C29" s="17">
        <f>SUBTOTAL(109,C2:C28)</f>
        <v>1719327464.0833328</v>
      </c>
      <c r="D29" s="17">
        <f>SUBTOTAL(109,D2:D28)</f>
        <v>1022398985.3181924</v>
      </c>
      <c r="E29" s="17">
        <f>SUBTOTAL(109,E2:E28)</f>
        <v>5407102546.0352621</v>
      </c>
      <c r="F29" s="51">
        <f t="shared" si="0"/>
        <v>0.58584604258515471</v>
      </c>
    </row>
    <row r="30" spans="1:6" x14ac:dyDescent="0.3">
      <c r="A30" s="16"/>
      <c r="B30" s="17"/>
      <c r="C30" s="17"/>
      <c r="D30" s="17"/>
      <c r="E30" s="17"/>
      <c r="F30" s="51"/>
    </row>
    <row r="32" spans="1:6" x14ac:dyDescent="0.3">
      <c r="B32" s="50"/>
      <c r="C32" s="50"/>
      <c r="D32" s="50"/>
      <c r="E32" s="50"/>
    </row>
    <row r="33" spans="1:10" ht="14.5" x14ac:dyDescent="0.35">
      <c r="B33" s="53"/>
      <c r="C33" s="50"/>
      <c r="D33" s="50"/>
      <c r="E33" s="50"/>
    </row>
    <row r="34" spans="1:10" x14ac:dyDescent="0.3">
      <c r="B34" s="50"/>
      <c r="C34" s="50"/>
      <c r="D34" s="50"/>
      <c r="E34" s="50"/>
      <c r="F34" s="54"/>
    </row>
    <row r="35" spans="1:10" s="52" customFormat="1" x14ac:dyDescent="0.3">
      <c r="A35" s="46"/>
      <c r="B35" s="50"/>
      <c r="C35" s="50"/>
      <c r="D35" s="50"/>
      <c r="E35" s="50"/>
      <c r="G35" s="46"/>
      <c r="H35" s="46"/>
      <c r="I35" s="46"/>
      <c r="J35" s="46"/>
    </row>
    <row r="36" spans="1:10" s="52" customFormat="1" x14ac:dyDescent="0.3">
      <c r="A36" s="46"/>
      <c r="B36" s="50"/>
      <c r="C36" s="50"/>
      <c r="D36" s="50"/>
      <c r="E36" s="50"/>
      <c r="G36" s="46"/>
      <c r="H36" s="46"/>
      <c r="I36" s="46"/>
      <c r="J36" s="46"/>
    </row>
    <row r="38" spans="1:10" s="52" customFormat="1" x14ac:dyDescent="0.3">
      <c r="A38" s="46"/>
      <c r="B38" s="46"/>
      <c r="C38" s="46"/>
      <c r="D38" s="50"/>
      <c r="E38" s="46"/>
      <c r="G38" s="46"/>
      <c r="H38" s="46"/>
      <c r="I38" s="46"/>
      <c r="J38" s="46"/>
    </row>
    <row r="39" spans="1:10" s="52" customFormat="1" x14ac:dyDescent="0.3">
      <c r="A39" s="46"/>
      <c r="B39" s="46"/>
      <c r="C39" s="46"/>
      <c r="D39" s="50"/>
      <c r="E39" s="46"/>
      <c r="G39" s="46"/>
      <c r="H39" s="46"/>
      <c r="I39" s="46"/>
      <c r="J39" s="4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3A25-A050-4916-977B-01FCB7376F41}">
  <sheetPr codeName="Sheet3"/>
  <dimension ref="A1:O427"/>
  <sheetViews>
    <sheetView topLeftCell="A309" workbookViewId="0">
      <selection activeCell="F84" sqref="F84:F415"/>
    </sheetView>
  </sheetViews>
  <sheetFormatPr defaultColWidth="9.1796875" defaultRowHeight="13" x14ac:dyDescent="0.3"/>
  <cols>
    <col min="1" max="1" width="15.81640625" style="26" customWidth="1"/>
    <col min="2" max="2" width="17.81640625" style="11" customWidth="1"/>
    <col min="3" max="3" width="11.1796875" style="11" customWidth="1"/>
    <col min="4" max="4" width="12.81640625" style="11" customWidth="1"/>
    <col min="5" max="5" width="19.08984375" style="11" customWidth="1"/>
    <col min="6" max="6" width="18.90625" style="11" customWidth="1"/>
    <col min="7" max="7" width="20.6328125" style="11" customWidth="1"/>
    <col min="8" max="8" width="10.26953125" style="1" customWidth="1"/>
    <col min="9" max="9" width="11.26953125" style="1" bestFit="1" customWidth="1"/>
    <col min="10" max="10" width="9.1796875" style="1"/>
    <col min="11" max="11" width="13.7265625" style="1" customWidth="1"/>
    <col min="12" max="12" width="15" style="1" customWidth="1"/>
    <col min="13" max="13" width="17.453125" style="1" customWidth="1"/>
    <col min="14" max="14" width="19.81640625" style="1" customWidth="1"/>
    <col min="15" max="15" width="16" style="1" customWidth="1"/>
    <col min="16" max="16384" width="9.1796875" style="1"/>
  </cols>
  <sheetData>
    <row r="1" spans="1:15" ht="27" customHeight="1" x14ac:dyDescent="0.3">
      <c r="A1" s="59" t="s">
        <v>130</v>
      </c>
      <c r="B1" s="60"/>
      <c r="C1" s="60"/>
      <c r="D1" s="60"/>
      <c r="E1" s="60"/>
      <c r="F1" s="60"/>
      <c r="G1" s="61"/>
    </row>
    <row r="2" spans="1:15" s="6" customFormat="1" ht="27.7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K2" s="7" t="s">
        <v>1</v>
      </c>
      <c r="L2" s="8" t="s">
        <v>3</v>
      </c>
      <c r="M2" s="8" t="s">
        <v>4</v>
      </c>
      <c r="N2" s="8" t="s">
        <v>5</v>
      </c>
      <c r="O2" s="9" t="s">
        <v>6</v>
      </c>
    </row>
    <row r="3" spans="1:15" ht="18.5" hidden="1" customHeight="1" x14ac:dyDescent="0.3">
      <c r="A3" s="10" t="s">
        <v>8</v>
      </c>
      <c r="B3" s="11" t="s">
        <v>9</v>
      </c>
      <c r="C3" s="11">
        <v>35</v>
      </c>
      <c r="D3" s="11">
        <v>8400000</v>
      </c>
      <c r="E3" s="11">
        <v>2961700</v>
      </c>
      <c r="F3" s="11">
        <v>1772538.3863966102</v>
      </c>
      <c r="G3" s="12">
        <f>D3+Table841419410132427323943485356[[#This Row],[LỢI NHUẬN RÒNG]]</f>
        <v>10172538.386396609</v>
      </c>
      <c r="K3" s="13" t="s">
        <v>10</v>
      </c>
      <c r="L3" s="14">
        <f>SUMIF(Table841419410132427323943485356[CỔ ĐÔNG],K3,Table841419410132427323943485356[VỐN CP])</f>
        <v>48688333.333333336</v>
      </c>
      <c r="M3" s="14">
        <f>SUMIF(Table841419410132427323943485356[CỔ ĐÔNG],K3,Table841419410132427323943485356[LỢI NHUẬN GỘP])</f>
        <v>18097065.233333327</v>
      </c>
      <c r="N3" s="14">
        <f>SUMIF(Table841419410132427323943485356[CỔ ĐÔNG],K3,Table841419410132427323943485356[LỢI NHUẬN RÒNG])</f>
        <v>11516411.986335153</v>
      </c>
      <c r="O3" s="15">
        <f>SUMIF(Table841419410132427323943485356[CỔ ĐÔNG],K3,Table841419410132427323943485356[TỔNG NHẬN])</f>
        <v>60204745.319668487</v>
      </c>
    </row>
    <row r="4" spans="1:15" ht="20" hidden="1" customHeight="1" x14ac:dyDescent="0.3">
      <c r="A4" s="10" t="s">
        <v>11</v>
      </c>
      <c r="B4" s="11" t="s">
        <v>9</v>
      </c>
      <c r="C4" s="11">
        <v>35</v>
      </c>
      <c r="D4" s="11">
        <v>17266666.666666668</v>
      </c>
      <c r="E4" s="11">
        <v>3535117.8333333326</v>
      </c>
      <c r="F4" s="11">
        <v>1363848.4257860393</v>
      </c>
      <c r="G4" s="12">
        <f>D4+Table841419410132427323943485356[[#This Row],[LỢI NHUẬN RÒNG]]</f>
        <v>18630515.092452709</v>
      </c>
      <c r="K4" s="13" t="s">
        <v>9</v>
      </c>
      <c r="L4" s="14">
        <f>SUMIF(Table841419410132427323943485356[CỔ ĐÔNG],K4,Table841419410132427323943485356[VỐN CP])</f>
        <v>377076666.66666669</v>
      </c>
      <c r="M4" s="14">
        <f>SUMIF(Table841419410132427323943485356[CỔ ĐÔNG],K4,Table841419410132427323943485356[LỢI NHUẬN GỘP])</f>
        <v>132977080.62749997</v>
      </c>
      <c r="N4" s="14">
        <f>SUMIF(Table841419410132427323943485356[CỔ ĐÔNG],K4,Table841419410132427323943485356[LỢI NHUẬN RÒNG])</f>
        <v>90391251.481955826</v>
      </c>
      <c r="O4" s="15">
        <f>SUMIF(Table841419410132427323943485356[CỔ ĐÔNG],Table951520511142528334044495457[[#This Row],[CỔ ĐÔNG]],Table841419410132427323943485356[TỔNG NHẬN])</f>
        <v>467467918.14862251</v>
      </c>
    </row>
    <row r="5" spans="1:15" ht="20" hidden="1" customHeight="1" x14ac:dyDescent="0.3">
      <c r="A5" s="10" t="s">
        <v>12</v>
      </c>
      <c r="B5" s="11" t="s">
        <v>9</v>
      </c>
      <c r="C5" s="11">
        <v>30</v>
      </c>
      <c r="D5" s="11">
        <v>12600000</v>
      </c>
      <c r="E5" s="11">
        <v>4338522.3</v>
      </c>
      <c r="F5" s="11">
        <v>3001417.1127466727</v>
      </c>
      <c r="G5" s="12">
        <f>D5+Table841419410132427323943485356[[#This Row],[LỢI NHUẬN RÒNG]]</f>
        <v>15601417.112746673</v>
      </c>
      <c r="K5" s="13" t="s">
        <v>13</v>
      </c>
      <c r="L5" s="14">
        <f>SUMIF(Table841419410132427323943485356[CỔ ĐÔNG],K5,Table841419410132427323943485356[VỐN CP])</f>
        <v>64411666.666666672</v>
      </c>
      <c r="M5" s="14">
        <f>SUMIF(Table841419410132427323943485356[CỔ ĐÔNG],K5,Table841419410132427323943485356[LỢI NHUẬN GỘP])</f>
        <v>22470190.329999998</v>
      </c>
      <c r="N5" s="14">
        <f>SUMIF(Table841419410132427323943485356[CỔ ĐÔNG],K5,Table841419410132427323943485356[LỢI NHUẬN RÒNG])</f>
        <v>13955779.580955911</v>
      </c>
      <c r="O5" s="15">
        <f>SUMIF(Table841419410132427323943485356[CỔ ĐÔNG],Table951520511142528334044495457[[#This Row],[CỔ ĐÔNG]],Table841419410132427323943485356[TỔNG NHẬN])</f>
        <v>78367446.247622564</v>
      </c>
    </row>
    <row r="6" spans="1:15" ht="15" hidden="1" customHeight="1" x14ac:dyDescent="0.3">
      <c r="A6" s="10" t="s">
        <v>14</v>
      </c>
      <c r="B6" s="11" t="s">
        <v>9</v>
      </c>
      <c r="C6" s="11">
        <v>30</v>
      </c>
      <c r="D6" s="11">
        <v>18330000</v>
      </c>
      <c r="E6" s="11">
        <v>9894171</v>
      </c>
      <c r="F6" s="11">
        <v>6831249.6166924061</v>
      </c>
      <c r="G6" s="12">
        <f>D6+Table841419410132427323943485356[[#This Row],[LỢI NHUẬN RÒNG]]</f>
        <v>25161249.616692405</v>
      </c>
      <c r="K6" s="13" t="s">
        <v>15</v>
      </c>
      <c r="L6" s="14">
        <f>SUMIF(Table841419410132427323943485356[CỔ ĐÔNG],K6,Table841419410132427323943485356[VỐN CP])</f>
        <v>28546666.666666668</v>
      </c>
      <c r="M6" s="14">
        <f>SUMIF(Table841419410132427323943485356[CỔ ĐÔNG],K6,Table841419410132427323943485356[LỢI NHUẬN GỘP])</f>
        <v>12149564.983333332</v>
      </c>
      <c r="N6" s="14">
        <f>SUMIF(Table841419410132427323943485356[CỔ ĐÔNG],K6,Table841419410132427323943485356[LỢI NHUẬN RÒNG])</f>
        <v>8363796.4731134381</v>
      </c>
      <c r="O6" s="15">
        <f>SUMIF(Table841419410132427323943485356[CỔ ĐÔNG],K6,Table841419410132427323943485356[TỔNG NHẬN])</f>
        <v>36910463.139780112</v>
      </c>
    </row>
    <row r="7" spans="1:15" ht="15" hidden="1" customHeight="1" x14ac:dyDescent="0.3">
      <c r="A7" s="10" t="s">
        <v>16</v>
      </c>
      <c r="B7" s="11" t="s">
        <v>9</v>
      </c>
      <c r="C7" s="11">
        <v>40</v>
      </c>
      <c r="D7" s="11">
        <v>18000000</v>
      </c>
      <c r="E7" s="11">
        <v>3116449.6</v>
      </c>
      <c r="F7" s="11">
        <v>1228847.5263937651</v>
      </c>
      <c r="G7" s="12">
        <f>D7+Table841419410132427323943485356[[#This Row],[LỢI NHUẬN RÒNG]]</f>
        <v>19228847.526393764</v>
      </c>
      <c r="I7" s="11"/>
      <c r="K7" s="13" t="s">
        <v>17</v>
      </c>
      <c r="L7" s="14">
        <f>SUMIF(Table841419410132427323943485356[CỔ ĐÔNG],K7,Table841419410132427323943485356[VỐN CP])</f>
        <v>6795000</v>
      </c>
      <c r="M7" s="14">
        <f>SUMIF(Table841419410132427323943485356[CỔ ĐÔNG],K7,Table841419410132427323943485356[LỢI NHUẬN GỘP])</f>
        <v>3124019.85</v>
      </c>
      <c r="N7" s="14">
        <f>SUMIF(Table841419410132427323943485356[CỔ ĐÔNG],K7,Table841419410132427323943485356[LỢI NHUẬN RÒNG])</f>
        <v>2375974.3262969209</v>
      </c>
      <c r="O7" s="15">
        <f>SUMIF(Table841419410132427323943485356[CỔ ĐÔNG],Table951520511142528334044495457[[#This Row],[CỔ ĐÔNG]],Table841419410132427323943485356[TỔNG NHẬN])</f>
        <v>9170974.3262969218</v>
      </c>
    </row>
    <row r="8" spans="1:15" ht="15" hidden="1" customHeight="1" x14ac:dyDescent="0.3">
      <c r="A8" s="10" t="s">
        <v>18</v>
      </c>
      <c r="B8" s="11" t="s">
        <v>9</v>
      </c>
      <c r="C8" s="11">
        <v>25</v>
      </c>
      <c r="D8" s="11">
        <v>8250000</v>
      </c>
      <c r="E8" s="11">
        <v>2512945.7041666657</v>
      </c>
      <c r="F8" s="11">
        <v>1738106.274942277</v>
      </c>
      <c r="G8" s="12">
        <f>D8+Table841419410132427323943485356[[#This Row],[LỢI NHUẬN RÒNG]]</f>
        <v>9988106.274942277</v>
      </c>
      <c r="K8" s="13" t="s">
        <v>19</v>
      </c>
      <c r="L8" s="14">
        <f>SUMIF(Table841419410132427323943485356[CỔ ĐÔNG],K8,Table841419410132427323943485356[VỐN CP])</f>
        <v>393923333.33333337</v>
      </c>
      <c r="M8" s="14">
        <f>SUMIF(Table841419410132427323943485356[CỔ ĐÔNG],K8,Table841419410132427323943485356[LỢI NHUẬN GỘP])</f>
        <v>129018840.02499998</v>
      </c>
      <c r="N8" s="14">
        <f>SUMIF(Table841419410132427323943485356[CỔ ĐÔNG],K8,Table841419410132427323943485356[LỢI NHUẬN RÒNG])</f>
        <v>81284351.745043024</v>
      </c>
      <c r="O8" s="15">
        <f>SUMIF(Table841419410132427323943485356[CỔ ĐÔNG],Table951520511142528334044495457[[#This Row],[CỔ ĐÔNG]],Table841419410132427323943485356[TỔNG NHẬN])</f>
        <v>475207685.07837623</v>
      </c>
    </row>
    <row r="9" spans="1:15" ht="15" hidden="1" customHeight="1" x14ac:dyDescent="0.3">
      <c r="A9" s="10" t="s">
        <v>20</v>
      </c>
      <c r="B9" s="11" t="s">
        <v>9</v>
      </c>
      <c r="C9" s="11">
        <v>25</v>
      </c>
      <c r="D9" s="11">
        <v>9000000</v>
      </c>
      <c r="E9" s="11">
        <v>2850772.8166666664</v>
      </c>
      <c r="F9" s="11">
        <v>1844243.2122104894</v>
      </c>
      <c r="G9" s="12">
        <f>D9+Table841419410132427323943485356[[#This Row],[LỢI NHUẬN RÒNG]]</f>
        <v>10844243.212210489</v>
      </c>
      <c r="K9" s="13" t="s">
        <v>21</v>
      </c>
      <c r="L9" s="14">
        <f>SUMIF(Table841419410132427323943485356[CỔ ĐÔNG],K9,Table841419410132427323943485356[VỐN CP])</f>
        <v>346158333.33333337</v>
      </c>
      <c r="M9" s="14">
        <f>SUMIF(Table841419410132427323943485356[CỔ ĐÔNG],K9,Table841419410132427323943485356[LỢI NHUẬN GỘP])</f>
        <v>123376020.07916667</v>
      </c>
      <c r="N9" s="14">
        <f>SUMIF(Table841419410132427323943485356[CỔ ĐÔNG],K9,Table841419410132427323943485356[LỢI NHUẬN RÒNG])</f>
        <v>82595945.684548706</v>
      </c>
      <c r="O9" s="15">
        <f>SUMIF(Table841419410132427323943485356[CỔ ĐÔNG],Table951520511142528334044495457[[#This Row],[CỔ ĐÔNG]],Table841419410132427323943485356[TỔNG NHẬN])</f>
        <v>428754279.01788211</v>
      </c>
    </row>
    <row r="10" spans="1:15" ht="15" hidden="1" customHeight="1" x14ac:dyDescent="0.3">
      <c r="A10" s="10" t="s">
        <v>22</v>
      </c>
      <c r="B10" s="11" t="s">
        <v>9</v>
      </c>
      <c r="C10" s="11">
        <v>25</v>
      </c>
      <c r="D10" s="11">
        <v>5500000</v>
      </c>
      <c r="E10" s="11">
        <v>1276419.25</v>
      </c>
      <c r="F10" s="11">
        <v>568668.27751063742</v>
      </c>
      <c r="G10" s="12">
        <f>D10+Table841419410132427323943485356[[#This Row],[LỢI NHUẬN RÒNG]]</f>
        <v>6068668.2775106374</v>
      </c>
      <c r="I10" s="11"/>
      <c r="K10" s="13" t="s">
        <v>23</v>
      </c>
      <c r="L10" s="14">
        <f>SUMIF(Table841419410132427323943485356[CỔ ĐÔNG],K10,Table841419410132427323943485356[VỐN CP])</f>
        <v>35435000</v>
      </c>
      <c r="M10" s="14">
        <f>SUMIF(Table841419410132427323943485356[CỔ ĐÔNG],K10,Table841419410132427323943485356[LỢI NHUẬN GỘP])</f>
        <v>10269196.316666666</v>
      </c>
      <c r="N10" s="14">
        <f>SUMIF(Table841419410132427323943485356[CỔ ĐÔNG],K10,Table841419410132427323943485356[LỢI NHUẬN RÒNG])</f>
        <v>6048885.0188981704</v>
      </c>
      <c r="O10" s="15">
        <f>SUMIF(Table841419410132427323943485356[CỔ ĐÔNG],Table951520511142528334044495457[[#This Row],[CỔ ĐÔNG]],Table841419410132427323943485356[TỔNG NHẬN])</f>
        <v>41483885.018898174</v>
      </c>
    </row>
    <row r="11" spans="1:15" ht="15" hidden="1" customHeight="1" x14ac:dyDescent="0.3">
      <c r="A11" s="10" t="s">
        <v>24</v>
      </c>
      <c r="B11" s="11" t="s">
        <v>9</v>
      </c>
      <c r="C11" s="11">
        <v>20</v>
      </c>
      <c r="D11" s="11">
        <v>14780000</v>
      </c>
      <c r="E11" s="11">
        <v>4449155.5999999996</v>
      </c>
      <c r="F11" s="11">
        <v>3341778.3415377764</v>
      </c>
      <c r="G11" s="12">
        <f>D11+Table841419410132427323943485356[[#This Row],[LỢI NHUẬN RÒNG]]</f>
        <v>18121778.341537777</v>
      </c>
      <c r="K11" s="13" t="s">
        <v>25</v>
      </c>
      <c r="L11" s="14">
        <f>SUMIF(Table841419410132427323943485356[CỔ ĐÔNG],K11,Table841419410132427323943485356[VỐN CP])</f>
        <v>96351666.666666672</v>
      </c>
      <c r="M11" s="14">
        <f>SUMIF(Table841419410132427323943485356[CỔ ĐÔNG],K11,Table841419410132427323943485356[LỢI NHUẬN GỘP])</f>
        <v>34774055.913333334</v>
      </c>
      <c r="N11" s="14">
        <f>SUMIF(Table841419410132427323943485356[CỔ ĐÔNG],K11,Table841419410132427323943485356[LỢI NHUẬN RÒNG])</f>
        <v>24412653.49033672</v>
      </c>
      <c r="O11" s="15">
        <f>SUMIF(Table841419410132427323943485356[CỔ ĐÔNG],Table951520511142528334044495457[[#This Row],[CỔ ĐÔNG]],Table841419410132427323943485356[TỔNG NHẬN])</f>
        <v>120764320.1570034</v>
      </c>
    </row>
    <row r="12" spans="1:15" ht="15" hidden="1" customHeight="1" x14ac:dyDescent="0.3">
      <c r="A12" s="10" t="s">
        <v>26</v>
      </c>
      <c r="B12" s="11" t="s">
        <v>9</v>
      </c>
      <c r="C12" s="11">
        <v>30</v>
      </c>
      <c r="D12" s="11">
        <v>13830000</v>
      </c>
      <c r="E12" s="11">
        <v>4914986.4000000004</v>
      </c>
      <c r="F12" s="11">
        <v>3717340.351273533</v>
      </c>
      <c r="G12" s="12">
        <f>D12+Table841419410132427323943485356[[#This Row],[LỢI NHUẬN RÒNG]]</f>
        <v>17547340.351273533</v>
      </c>
      <c r="K12" s="13" t="s">
        <v>27</v>
      </c>
      <c r="L12" s="14">
        <f>SUMIF(Table841419410132427323943485356[CỔ ĐÔNG],K12,Table841419410132427323943485356[VỐN CP])</f>
        <v>78370000</v>
      </c>
      <c r="M12" s="14">
        <f>SUMIF(Table841419410132427323943485356[CỔ ĐÔNG],K12,Table841419410132427323943485356[LỢI NHUẬN GỘP])</f>
        <v>23281180.775000002</v>
      </c>
      <c r="N12" s="14">
        <f>SUMIF(Table841419410132427323943485356[CỔ ĐÔNG],K12,Table841419410132427323943485356[LỢI NHUẬN RÒNG])</f>
        <v>14747512.342946878</v>
      </c>
      <c r="O12" s="15">
        <f>SUMIF(Table841419410132427323943485356[CỔ ĐÔNG],Table951520511142528334044495457[[#This Row],[CỔ ĐÔNG]],Table841419410132427323943485356[TỔNG NHẬN])</f>
        <v>93117512.342946887</v>
      </c>
    </row>
    <row r="13" spans="1:15" ht="15" hidden="1" customHeight="1" x14ac:dyDescent="0.3">
      <c r="A13" s="10" t="s">
        <v>28</v>
      </c>
      <c r="B13" s="11" t="s">
        <v>9</v>
      </c>
      <c r="C13" s="11">
        <v>25</v>
      </c>
      <c r="G13" s="12"/>
      <c r="K13" s="13" t="s">
        <v>29</v>
      </c>
      <c r="L13" s="14">
        <f>SUMIF(Table841419410132427323943485356[CỔ ĐÔNG],K13,Table841419410132427323943485356[VỐN CP])</f>
        <v>38973333.333333328</v>
      </c>
      <c r="M13" s="14">
        <f>SUMIF(Table841419410132427323943485356[CỔ ĐÔNG],K13,Table841419410132427323943485356[LỢI NHUẬN GỘP])</f>
        <v>16571623.550000001</v>
      </c>
      <c r="N13" s="14">
        <f>SUMIF(Table841419410132427323943485356[CỔ ĐÔNG],K13,Table841419410132427323943485356[LỢI NHUẬN RÒNG])</f>
        <v>11190577.79508288</v>
      </c>
      <c r="O13" s="15">
        <f>SUMIF(Table841419410132427323943485356[CỔ ĐÔNG],Table951520511142528334044495457[[#This Row],[CỔ ĐÔNG]],Table841419410132427323943485356[TỔNG NHẬN])</f>
        <v>50163911.128416225</v>
      </c>
    </row>
    <row r="14" spans="1:15" ht="15" hidden="1" customHeight="1" x14ac:dyDescent="0.3">
      <c r="A14" s="10" t="s">
        <v>30</v>
      </c>
      <c r="B14" s="11" t="s">
        <v>9</v>
      </c>
      <c r="C14" s="11">
        <v>40</v>
      </c>
      <c r="D14" s="11">
        <v>20400000</v>
      </c>
      <c r="E14" s="11">
        <v>4614981.5999999996</v>
      </c>
      <c r="F14" s="11">
        <v>1502464.9046906293</v>
      </c>
      <c r="G14" s="12">
        <f>D14+Table841419410132427323943485356[[#This Row],[LỢI NHUẬN RÒNG]]</f>
        <v>21902464.904690631</v>
      </c>
      <c r="K14" s="13" t="s">
        <v>31</v>
      </c>
      <c r="L14" s="14">
        <f>SUMIF(Table841419410132427323943485356[CỔ ĐÔNG],K14,Table841419410132427323943485356[VỐN CP])</f>
        <v>146073333.33333334</v>
      </c>
      <c r="M14" s="14">
        <f>SUMIF(Table841419410132427323943485356[CỔ ĐÔNG],K14,Table841419410132427323943485356[LỢI NHUẬN GỘP])</f>
        <v>52347099.86666666</v>
      </c>
      <c r="N14" s="14">
        <f>SUMIF(Table841419410132427323943485356[CỔ ĐÔNG],K14,Table841419410132427323943485356[LỢI NHUẬN RÒNG])</f>
        <v>33861595.535869345</v>
      </c>
      <c r="O14" s="15">
        <f>SUMIF(Table841419410132427323943485356[CỔ ĐÔNG],Table951520511142528334044495457[[#This Row],[CỔ ĐÔNG]],Table841419410132427323943485356[TỔNG NHẬN])</f>
        <v>179934928.8692027</v>
      </c>
    </row>
    <row r="15" spans="1:15" ht="15" hidden="1" customHeight="1" x14ac:dyDescent="0.3">
      <c r="A15" s="10" t="s">
        <v>32</v>
      </c>
      <c r="B15" s="11" t="s">
        <v>9</v>
      </c>
      <c r="C15" s="11">
        <v>15</v>
      </c>
      <c r="D15" s="11">
        <v>9150000</v>
      </c>
      <c r="E15" s="11">
        <v>2379340.9500000002</v>
      </c>
      <c r="F15" s="11">
        <v>1358370.310707812</v>
      </c>
      <c r="G15" s="12">
        <f>D15+Table841419410132427323943485356[[#This Row],[LỢI NHUẬN RÒNG]]</f>
        <v>10508370.310707811</v>
      </c>
      <c r="K15" s="13" t="s">
        <v>33</v>
      </c>
      <c r="L15" s="14">
        <f>SUMIF(Table841419410132427323943485356[CỔ ĐÔNG],K15,Table841419410132427323943485356[VỐN CP])</f>
        <v>62258333.333333336</v>
      </c>
      <c r="M15" s="14">
        <f>SUMIF(Table841419410132427323943485356[CỔ ĐÔNG],K15,Table841419410132427323943485356[LỢI NHUẬN GỘP])</f>
        <v>23345783.633333329</v>
      </c>
      <c r="N15" s="14">
        <f>SUMIF(Table841419410132427323943485356[CỔ ĐÔNG],K15,Table841419410132427323943485356[LỢI NHUẬN RÒNG])</f>
        <v>16024622.938318882</v>
      </c>
      <c r="O15" s="15">
        <f>SUMIF(Table841419410132427323943485356[CỔ ĐÔNG],Table951520511142528334044495457[[#This Row],[CỔ ĐÔNG]],Table841419410132427323943485356[TỔNG NHẬN])</f>
        <v>78282956.271652192</v>
      </c>
    </row>
    <row r="16" spans="1:15" ht="15" hidden="1" customHeight="1" x14ac:dyDescent="0.3">
      <c r="A16" s="10" t="s">
        <v>34</v>
      </c>
      <c r="B16" s="11" t="s">
        <v>9</v>
      </c>
      <c r="C16" s="11">
        <v>20</v>
      </c>
      <c r="D16" s="11">
        <v>6160000</v>
      </c>
      <c r="E16" s="11">
        <v>2665528.4</v>
      </c>
      <c r="F16" s="11">
        <v>2063302.0079734221</v>
      </c>
      <c r="G16" s="12">
        <f>D16+Table841419410132427323943485356[[#This Row],[LỢI NHUẬN RÒNG]]</f>
        <v>8223302.0079734223</v>
      </c>
      <c r="K16" s="13" t="s">
        <v>35</v>
      </c>
      <c r="L16" s="14">
        <f>SUMIF(Table841419410132427323943485356[CỔ ĐÔNG],K16,Table841419410132427323943485356[VỐN CP])</f>
        <v>52721666.666666672</v>
      </c>
      <c r="M16" s="14">
        <f>SUMIF(Table841419410132427323943485356[CỔ ĐÔNG],K16,Table841419410132427323943485356[LỢI NHUẬN GỘP])</f>
        <v>19022347.733333331</v>
      </c>
      <c r="N16" s="14">
        <f>SUMIF(Table841419410132427323943485356[CỔ ĐÔNG],K16,Table841419410132427323943485356[LỢI NHUẬN RÒNG])</f>
        <v>12775747.035253441</v>
      </c>
      <c r="O16" s="15">
        <f>SUMIF(Table841419410132427323943485356[CỔ ĐÔNG],Table951520511142528334044495457[[#This Row],[CỔ ĐÔNG]],Table841419410132427323943485356[TỔNG NHẬN])</f>
        <v>65497413.701920107</v>
      </c>
    </row>
    <row r="17" spans="1:15" ht="15" hidden="1" customHeight="1" x14ac:dyDescent="0.3">
      <c r="A17" s="10" t="s">
        <v>36</v>
      </c>
      <c r="B17" s="11" t="s">
        <v>9</v>
      </c>
      <c r="C17" s="11">
        <v>20</v>
      </c>
      <c r="D17" s="11">
        <v>9000000</v>
      </c>
      <c r="E17" s="11">
        <v>3021644.4</v>
      </c>
      <c r="F17" s="11">
        <v>2220736.9751821412</v>
      </c>
      <c r="G17" s="12">
        <f>D17+Table841419410132427323943485356[[#This Row],[LỢI NHUẬN RÒNG]]</f>
        <v>11220736.975182142</v>
      </c>
      <c r="K17" s="16" t="s">
        <v>37</v>
      </c>
      <c r="L17" s="17">
        <f>SUMIF(Table841419410132427323943485356[CỔ ĐÔNG],K17,Table841419410132427323943485356[VỐN CP])</f>
        <v>163265000</v>
      </c>
      <c r="M17" s="17">
        <f>SUMIF(Table841419410132427323943485356[CỔ ĐÔNG],K17,Table841419410132427323943485356[LỢI NHUẬN GỘP])</f>
        <v>63424675.766666673</v>
      </c>
      <c r="N17" s="17">
        <f>SUMIF(Table841419410132427323943485356[CỔ ĐÔNG],K17,Table841419410132427323943485356[LỢI NHUẬN RÒNG])</f>
        <v>43999320.153708376</v>
      </c>
      <c r="O17" s="15">
        <f>SUMIF(Table841419410132427323943485356[CỔ ĐÔNG],Table951520511142528334044495457[[#This Row],[CỔ ĐÔNG]],Table841419410132427323943485356[TỔNG NHẬN])</f>
        <v>207264320.15370837</v>
      </c>
    </row>
    <row r="18" spans="1:15" ht="15" hidden="1" customHeight="1" x14ac:dyDescent="0.3">
      <c r="A18" s="10" t="s">
        <v>38</v>
      </c>
      <c r="B18" s="11" t="s">
        <v>9</v>
      </c>
      <c r="C18" s="11">
        <v>20</v>
      </c>
      <c r="D18" s="11">
        <v>5000000</v>
      </c>
      <c r="E18" s="11">
        <v>2893423.8666666662</v>
      </c>
      <c r="F18" s="11">
        <v>2338375.6361099528</v>
      </c>
      <c r="G18" s="12">
        <f>D18+Table841419410132427323943485356[[#This Row],[LỢI NHUẬN RÒNG]]</f>
        <v>7338375.6361099528</v>
      </c>
      <c r="K18" s="13" t="s">
        <v>39</v>
      </c>
      <c r="L18" s="17">
        <f>SUMIF(Table841419410132427323943485356[CỔ ĐÔNG],K18,Table841419410132427323943485356[VỐN CP])</f>
        <v>1583333.3333333335</v>
      </c>
      <c r="M18" s="17">
        <f>SUMIF(Table841419410132427323943485356[CỔ ĐÔNG],K18,Table841419410132427323943485356[LỢI NHUẬN GỘP])</f>
        <v>890396.96666666644</v>
      </c>
      <c r="N18" s="17">
        <f>SUMIF(Table841419410132427323943485356[CỔ ĐÔNG],K18,Table841419410132427323943485356[LỢI NHUẬN RÒNG])</f>
        <v>733654.19366630318</v>
      </c>
      <c r="O18" s="15">
        <f>SUMIF(Table841419410132427323943485356[CỔ ĐÔNG],Table951520511142528334044495457[[#This Row],[CỔ ĐÔNG]],Table841419410132427323943485356[TỔNG NHẬN])</f>
        <v>2316987.5269996366</v>
      </c>
    </row>
    <row r="19" spans="1:15" ht="15" hidden="1" customHeight="1" x14ac:dyDescent="0.3">
      <c r="A19" s="10" t="s">
        <v>40</v>
      </c>
      <c r="B19" s="11" t="s">
        <v>9</v>
      </c>
      <c r="C19" s="11">
        <v>10</v>
      </c>
      <c r="D19" s="11">
        <v>1100000</v>
      </c>
      <c r="E19" s="11">
        <v>1341646.7</v>
      </c>
      <c r="F19" s="11">
        <v>998935.33088797028</v>
      </c>
      <c r="G19" s="12">
        <f>D19+Table841419410132427323943485356[[#This Row],[LỢI NHUẬN RÒNG]]</f>
        <v>2098935.3308879705</v>
      </c>
      <c r="I19" s="11"/>
      <c r="K19" s="13" t="s">
        <v>41</v>
      </c>
      <c r="L19" s="17">
        <f>SUMIF(Table841419410132427323943485356[CỔ ĐÔNG],K19,Table841419410132427323943485356[VỐN CP])</f>
        <v>2533333.3333333335</v>
      </c>
      <c r="M19" s="17">
        <f>SUMIF(Table841419410132427323943485356[CỔ ĐÔNG],K19,Table841419410132427323943485356[LỢI NHUẬN GỘP])</f>
        <v>1317041.1666666665</v>
      </c>
      <c r="N19" s="17">
        <f>SUMIF(Table841419410132427323943485356[CỔ ĐÔNG],K19,Table841419410132427323943485356[LỢI NHUẬN RÒNG])</f>
        <v>1025904.7268664504</v>
      </c>
      <c r="O19" s="15">
        <f>SUMIF(Table841419410132427323943485356[CỔ ĐÔNG],Table951520511142528334044495457[[#This Row],[CỔ ĐÔNG]],Table841419410132427323943485356[TỔNG NHẬN])</f>
        <v>3559238.0601997836</v>
      </c>
    </row>
    <row r="20" spans="1:15" ht="15" hidden="1" customHeight="1" x14ac:dyDescent="0.3">
      <c r="A20" s="10" t="s">
        <v>8</v>
      </c>
      <c r="B20" s="11" t="s">
        <v>13</v>
      </c>
      <c r="C20" s="11">
        <v>10</v>
      </c>
      <c r="D20" s="11">
        <v>2400000</v>
      </c>
      <c r="E20" s="11">
        <v>846200</v>
      </c>
      <c r="F20" s="11">
        <v>506439.53897046001</v>
      </c>
      <c r="G20" s="12">
        <f>D20+Table841419410132427323943485356[[#This Row],[LỢI NHUẬN RÒNG]]</f>
        <v>2906439.5389704602</v>
      </c>
      <c r="K20" s="13" t="s">
        <v>42</v>
      </c>
      <c r="L20" s="17">
        <f>SUMIF(Table841419410132427323943485356[CỔ ĐÔNG],K20,Table841419410132427323943485356[VỐN CP])</f>
        <v>2083333.3333333335</v>
      </c>
      <c r="M20" s="17">
        <f>SUMIF(Table841419410132427323943485356[CỔ ĐÔNG],K20,Table841419410132427323943485356[LỢI NHUẬN GỘP])</f>
        <v>1330249.1666666665</v>
      </c>
      <c r="N20" s="17">
        <f>SUMIF(Table841419410132427323943485356[CỔ ĐÔNG],K20,Table841419410132427323943485356[LỢI NHUẬN RÒNG])</f>
        <v>932414.38177087577</v>
      </c>
      <c r="O20" s="15">
        <f>SUMIF(Table841419410132427323943485356[CỔ ĐÔNG],Table951520511142528334044495457[[#This Row],[CỔ ĐÔNG]],Table841419410132427323943485356[TỔNG NHẬN])</f>
        <v>3015747.7151042093</v>
      </c>
    </row>
    <row r="21" spans="1:15" ht="15" hidden="1" customHeight="1" x14ac:dyDescent="0.3">
      <c r="A21" s="10" t="s">
        <v>11</v>
      </c>
      <c r="B21" s="11" t="s">
        <v>13</v>
      </c>
      <c r="C21" s="11">
        <v>10</v>
      </c>
      <c r="D21" s="11">
        <v>4933333.333333334</v>
      </c>
      <c r="E21" s="11">
        <v>1010033.6666666664</v>
      </c>
      <c r="F21" s="11">
        <v>389670.97879601119</v>
      </c>
      <c r="G21" s="12">
        <f>D21+Table841419410132427323943485356[[#This Row],[LỢI NHUẬN RÒNG]]</f>
        <v>5323004.3121293448</v>
      </c>
      <c r="K21" s="13" t="s">
        <v>43</v>
      </c>
      <c r="L21" s="17">
        <f>SUMIF(Table841419410132427323943485356[CỔ ĐÔNG],K21,Table841419410132427323943485356[VỐN CP])</f>
        <v>89468333.333333343</v>
      </c>
      <c r="M21" s="17">
        <f>SUMIF(Table841419410132427323943485356[CỔ ĐÔNG],K21,Table841419410132427323943485356[LỢI NHUẬN GỘP])</f>
        <v>31659903.91666666</v>
      </c>
      <c r="N21" s="17">
        <f>SUMIF(Table841419410132427323943485356[CỔ ĐÔNG],K21,Table841419410132427323943485356[LỢI NHUẬN RÒNG])</f>
        <v>22401581.169962537</v>
      </c>
      <c r="O21" s="15">
        <f>SUMIF(Table841419410132427323943485356[CỔ ĐÔNG],Table951520511142528334044495457[[#This Row],[CỔ ĐÔNG]],Table841419410132427323943485356[TỔNG NHẬN])</f>
        <v>111869914.50329588</v>
      </c>
    </row>
    <row r="22" spans="1:15" ht="15" hidden="1" customHeight="1" x14ac:dyDescent="0.3">
      <c r="A22" s="10" t="s">
        <v>12</v>
      </c>
      <c r="B22" s="11" t="s">
        <v>13</v>
      </c>
      <c r="C22" s="18">
        <v>10</v>
      </c>
      <c r="D22" s="18">
        <v>4200000</v>
      </c>
      <c r="E22" s="18">
        <v>1446174.1</v>
      </c>
      <c r="F22" s="18">
        <v>1000472.3709155575</v>
      </c>
      <c r="G22" s="12">
        <f>D22+Table841419410132427323943485356[[#This Row],[LỢI NHUẬN RÒNG]]</f>
        <v>5200472.3709155573</v>
      </c>
      <c r="K22" s="13" t="s">
        <v>44</v>
      </c>
      <c r="L22" s="17">
        <f>SUMIF(Table841419410132427323943485356[CỔ ĐÔNG],K22,Table841419410132427323943485356[VỐN CP])</f>
        <v>4700000</v>
      </c>
      <c r="M22" s="17">
        <f>SUMIF(Table841419410132427323943485356[CỔ ĐÔNG],K22,Table841419410132427323943485356[LỢI NHUẬN GỘP])</f>
        <v>2696858.5833333335</v>
      </c>
      <c r="N22" s="17">
        <f>SUMIF(Table841419410132427323943485356[CỔ ĐÔNG],K22,Table841419410132427323943485356[LỢI NHUẬN RÒNG])</f>
        <v>1723105.4183786949</v>
      </c>
      <c r="O22" s="15">
        <f>SUMIF(Table841419410132427323943485356[CỔ ĐÔNG],Table951520511142528334044495457[[#This Row],[CỔ ĐÔNG]],Table841419410132427323943485356[TỔNG NHẬN])</f>
        <v>6423105.418378694</v>
      </c>
    </row>
    <row r="23" spans="1:15" ht="15" hidden="1" customHeight="1" x14ac:dyDescent="0.3">
      <c r="A23" s="10" t="s">
        <v>14</v>
      </c>
      <c r="B23" s="11" t="s">
        <v>13</v>
      </c>
      <c r="C23" s="11">
        <v>10</v>
      </c>
      <c r="D23" s="11">
        <v>6110000</v>
      </c>
      <c r="E23" s="11">
        <v>3298057</v>
      </c>
      <c r="F23" s="11">
        <v>2277083.2055641352</v>
      </c>
      <c r="G23" s="12">
        <f>D23+Table841419410132427323943485356[[#This Row],[LỢI NHUẬN RÒNG]]</f>
        <v>8387083.2055641357</v>
      </c>
      <c r="K23" s="13" t="s">
        <v>45</v>
      </c>
      <c r="L23" s="17">
        <f>SUMIF(Table841419410132427323943485356[CỔ ĐÔNG],K23,Table841419410132427323943485356[VỐN CP])</f>
        <v>13700000</v>
      </c>
      <c r="M23" s="17">
        <f>SUMIF(Table841419410132427323943485356[CỔ ĐÔNG],K23,Table841419410132427323943485356[LỢI NHUẬN GỘP])</f>
        <v>4908757.5999999996</v>
      </c>
      <c r="N23" s="17">
        <f>SUMIF(Table841419410132427323943485356[CỔ ĐÔNG],K23,Table841419410132427323943485356[LỢI NHUẬN RÒNG])</f>
        <v>3503690.1632093452</v>
      </c>
      <c r="O23" s="15">
        <f>SUMIF(Table841419410132427323943485356[CỔ ĐÔNG],Table951520511142528334044495457[[#This Row],[CỔ ĐÔNG]],Table841419410132427323943485356[TỔNG NHẬN])</f>
        <v>17203690.163209345</v>
      </c>
    </row>
    <row r="24" spans="1:15" ht="15" hidden="1" customHeight="1" x14ac:dyDescent="0.3">
      <c r="A24" s="10" t="s">
        <v>8</v>
      </c>
      <c r="B24" s="11" t="s">
        <v>19</v>
      </c>
      <c r="C24" s="11">
        <v>35</v>
      </c>
      <c r="D24" s="11">
        <v>8400000</v>
      </c>
      <c r="E24" s="11">
        <v>2961700</v>
      </c>
      <c r="F24" s="11">
        <v>1772538.3863966102</v>
      </c>
      <c r="G24" s="12">
        <f>D24+Table841419410132427323943485356[[#This Row],[LỢI NHUẬN RÒNG]]</f>
        <v>10172538.386396609</v>
      </c>
      <c r="K24" s="13" t="s">
        <v>46</v>
      </c>
      <c r="L24" s="17">
        <f>SUMIF(Table841419410132427323943485356[CỔ ĐÔNG],K24,Table841419410132427323943485356[VỐN CP])</f>
        <v>13350000</v>
      </c>
      <c r="M24" s="17">
        <f>SUMIF(Table841419410132427323943485356[CỔ ĐÔNG],K24,Table841419410132427323943485356[LỢI NHUẬN GỘP])</f>
        <v>4392079</v>
      </c>
      <c r="N24" s="17">
        <f>SUMIF(Table841419410132427323943485356[CỔ ĐÔNG],K24,Table841419410132427323943485356[LỢI NHUẬN RÒNG])</f>
        <v>2997536.4143975056</v>
      </c>
      <c r="O24" s="15">
        <f>SUMIF(Table841419410132427323943485356[CỔ ĐÔNG],Table951520511142528334044495457[[#This Row],[CỔ ĐÔNG]],Table841419410132427323943485356[TỔNG NHẬN])</f>
        <v>16347536.414397506</v>
      </c>
    </row>
    <row r="25" spans="1:15" ht="15" hidden="1" customHeight="1" x14ac:dyDescent="0.3">
      <c r="A25" s="10" t="s">
        <v>11</v>
      </c>
      <c r="B25" s="11" t="s">
        <v>19</v>
      </c>
      <c r="C25" s="11">
        <v>35</v>
      </c>
      <c r="D25" s="11">
        <v>17266666.666666668</v>
      </c>
      <c r="E25" s="11">
        <v>3535117.8333333326</v>
      </c>
      <c r="F25" s="11">
        <v>1363848.4257860393</v>
      </c>
      <c r="G25" s="12">
        <f>D25+Table841419410132427323943485356[[#This Row],[LỢI NHUẬN RÒNG]]</f>
        <v>18630515.092452709</v>
      </c>
      <c r="K25" s="13" t="s">
        <v>47</v>
      </c>
      <c r="L25" s="14">
        <f>SUM(L2:L24)</f>
        <v>2066466666.6666663</v>
      </c>
      <c r="M25" s="14">
        <f>SUM(M2:M24)</f>
        <v>731444031.08333313</v>
      </c>
      <c r="N25" s="14">
        <f>SUM(N2:N24)</f>
        <v>486862312.0569154</v>
      </c>
      <c r="O25" s="14">
        <f>SUM(O2:O24)</f>
        <v>2553328978.7235827</v>
      </c>
    </row>
    <row r="26" spans="1:15" ht="15" hidden="1" customHeight="1" x14ac:dyDescent="0.3">
      <c r="A26" s="10" t="s">
        <v>12</v>
      </c>
      <c r="B26" s="11" t="s">
        <v>19</v>
      </c>
      <c r="C26" s="11">
        <v>30</v>
      </c>
      <c r="D26" s="11">
        <v>12600000</v>
      </c>
      <c r="E26" s="11">
        <v>4338522.3</v>
      </c>
      <c r="F26" s="11">
        <v>3001417.1127466727</v>
      </c>
      <c r="G26" s="12">
        <f>D26+Table841419410132427323943485356[[#This Row],[LỢI NHUẬN RÒNG]]</f>
        <v>15601417.112746673</v>
      </c>
      <c r="K26" s="16"/>
      <c r="L26" s="17"/>
      <c r="M26" s="17"/>
      <c r="N26" s="17"/>
      <c r="O26" s="19"/>
    </row>
    <row r="27" spans="1:15" ht="15" hidden="1" customHeight="1" x14ac:dyDescent="0.3">
      <c r="A27" s="10" t="s">
        <v>14</v>
      </c>
      <c r="B27" s="11" t="s">
        <v>19</v>
      </c>
      <c r="C27" s="11">
        <v>30</v>
      </c>
      <c r="D27" s="11">
        <v>18330000</v>
      </c>
      <c r="E27" s="11">
        <v>9894171</v>
      </c>
      <c r="F27" s="11">
        <v>6831249.6166924061</v>
      </c>
      <c r="G27" s="12">
        <f>D27+Table841419410132427323943485356[[#This Row],[LỢI NHUẬN RÒNG]]</f>
        <v>25161249.616692405</v>
      </c>
    </row>
    <row r="28" spans="1:15" ht="15" hidden="1" customHeight="1" x14ac:dyDescent="0.3">
      <c r="A28" s="10" t="s">
        <v>16</v>
      </c>
      <c r="B28" s="11" t="s">
        <v>19</v>
      </c>
      <c r="C28" s="11">
        <v>40</v>
      </c>
      <c r="D28" s="11">
        <v>18000000</v>
      </c>
      <c r="E28" s="11">
        <v>3116449.6</v>
      </c>
      <c r="F28" s="11">
        <v>1228847.5263937651</v>
      </c>
      <c r="G28" s="12">
        <f>D28+Table841419410132427323943485356[[#This Row],[LỢI NHUẬN RÒNG]]</f>
        <v>19228847.526393764</v>
      </c>
      <c r="K28" s="11"/>
    </row>
    <row r="29" spans="1:15" ht="15" hidden="1" customHeight="1" x14ac:dyDescent="0.3">
      <c r="A29" s="10" t="s">
        <v>18</v>
      </c>
      <c r="B29" s="11" t="s">
        <v>19</v>
      </c>
      <c r="C29" s="11">
        <v>30</v>
      </c>
      <c r="D29" s="11">
        <v>9900000</v>
      </c>
      <c r="E29" s="11">
        <v>3015534.8449999988</v>
      </c>
      <c r="F29" s="11">
        <v>2085727.5299307322</v>
      </c>
      <c r="G29" s="12">
        <f>D29+Table841419410132427323943485356[[#This Row],[LỢI NHUẬN RÒNG]]</f>
        <v>11985727.529930733</v>
      </c>
    </row>
    <row r="30" spans="1:15" ht="15" hidden="1" customHeight="1" x14ac:dyDescent="0.3">
      <c r="A30" s="10" t="s">
        <v>20</v>
      </c>
      <c r="B30" s="11" t="s">
        <v>19</v>
      </c>
      <c r="C30" s="11">
        <v>30</v>
      </c>
      <c r="D30" s="11">
        <v>10800000</v>
      </c>
      <c r="E30" s="11">
        <v>3420927.38</v>
      </c>
      <c r="F30" s="11">
        <v>2213091.8546525873</v>
      </c>
      <c r="G30" s="12">
        <f>D30+Table841419410132427323943485356[[#This Row],[LỢI NHUẬN RÒNG]]</f>
        <v>13013091.854652587</v>
      </c>
      <c r="M30" s="11"/>
    </row>
    <row r="31" spans="1:15" ht="15" hidden="1" customHeight="1" x14ac:dyDescent="0.3">
      <c r="A31" s="10" t="s">
        <v>22</v>
      </c>
      <c r="B31" s="11" t="s">
        <v>19</v>
      </c>
      <c r="C31" s="11">
        <v>20</v>
      </c>
      <c r="D31" s="11">
        <v>4400000</v>
      </c>
      <c r="E31" s="11">
        <v>1021135.4</v>
      </c>
      <c r="F31" s="11">
        <v>454934.62200850993</v>
      </c>
      <c r="G31" s="12">
        <f>D31+Table841419410132427323943485356[[#This Row],[LỢI NHUẬN RÒNG]]</f>
        <v>4854934.6220085099</v>
      </c>
    </row>
    <row r="32" spans="1:15" ht="15" hidden="1" customHeight="1" x14ac:dyDescent="0.3">
      <c r="A32" s="10" t="s">
        <v>24</v>
      </c>
      <c r="B32" s="11" t="s">
        <v>19</v>
      </c>
      <c r="C32" s="11">
        <v>25</v>
      </c>
      <c r="D32" s="11">
        <v>18475000</v>
      </c>
      <c r="E32" s="11">
        <v>5561444.5</v>
      </c>
      <c r="F32" s="11">
        <v>4177222.9269222207</v>
      </c>
      <c r="G32" s="12">
        <f>D32+Table841419410132427323943485356[[#This Row],[LỢI NHUẬN RÒNG]]</f>
        <v>22652222.926922221</v>
      </c>
    </row>
    <row r="33" spans="1:12" ht="15" hidden="1" customHeight="1" x14ac:dyDescent="0.3">
      <c r="A33" s="10" t="s">
        <v>26</v>
      </c>
      <c r="B33" s="11" t="s">
        <v>19</v>
      </c>
      <c r="C33" s="11">
        <v>40</v>
      </c>
      <c r="D33" s="11">
        <v>18440000</v>
      </c>
      <c r="E33" s="11">
        <v>6553315.2000000002</v>
      </c>
      <c r="F33" s="11">
        <v>4956453.8016980439</v>
      </c>
      <c r="G33" s="12">
        <f>D33+Table841419410132427323943485356[[#This Row],[LỢI NHUẬN RÒNG]]</f>
        <v>23396453.801698044</v>
      </c>
    </row>
    <row r="34" spans="1:12" ht="15" hidden="1" customHeight="1" x14ac:dyDescent="0.3">
      <c r="A34" s="10" t="s">
        <v>28</v>
      </c>
      <c r="B34" s="11" t="s">
        <v>19</v>
      </c>
      <c r="C34" s="11">
        <v>25</v>
      </c>
      <c r="G34" s="12"/>
    </row>
    <row r="35" spans="1:12" ht="15" hidden="1" customHeight="1" x14ac:dyDescent="0.3">
      <c r="A35" s="10" t="s">
        <v>30</v>
      </c>
      <c r="B35" s="11" t="s">
        <v>19</v>
      </c>
      <c r="C35" s="11">
        <v>50</v>
      </c>
      <c r="D35" s="11">
        <v>25500000</v>
      </c>
      <c r="E35" s="11">
        <v>5768727</v>
      </c>
      <c r="F35" s="11">
        <v>1878081.1308632866</v>
      </c>
      <c r="G35" s="12">
        <f>D35+Table841419410132427323943485356[[#This Row],[LỢI NHUẬN RÒNG]]</f>
        <v>27378081.130863287</v>
      </c>
    </row>
    <row r="36" spans="1:12" ht="15" hidden="1" customHeight="1" x14ac:dyDescent="0.3">
      <c r="A36" s="10" t="s">
        <v>32</v>
      </c>
      <c r="B36" s="11" t="s">
        <v>19</v>
      </c>
      <c r="C36" s="11">
        <v>20</v>
      </c>
      <c r="D36" s="11">
        <v>12200000</v>
      </c>
      <c r="E36" s="11">
        <v>3172454.6</v>
      </c>
      <c r="F36" s="11">
        <v>1811160.4142770828</v>
      </c>
      <c r="G36" s="12">
        <f>D36+Table841419410132427323943485356[[#This Row],[LỢI NHUẬN RÒNG]]</f>
        <v>14011160.414277082</v>
      </c>
    </row>
    <row r="37" spans="1:12" ht="15" hidden="1" customHeight="1" x14ac:dyDescent="0.3">
      <c r="A37" s="10" t="s">
        <v>34</v>
      </c>
      <c r="B37" s="11" t="s">
        <v>19</v>
      </c>
      <c r="C37" s="11">
        <v>10</v>
      </c>
      <c r="D37" s="11">
        <v>3080000</v>
      </c>
      <c r="E37" s="11">
        <v>1332764.2</v>
      </c>
      <c r="F37" s="11">
        <v>1031651.003986711</v>
      </c>
      <c r="G37" s="12">
        <f>D37+Table841419410132427323943485356[[#This Row],[LỢI NHUẬN RÒNG]]</f>
        <v>4111651.0039867111</v>
      </c>
      <c r="L37" s="11">
        <f>N25+'Tháng 1 nhà T  '!N17</f>
        <v>764130971.50664163</v>
      </c>
    </row>
    <row r="38" spans="1:12" ht="15" hidden="1" customHeight="1" x14ac:dyDescent="0.3">
      <c r="A38" s="10" t="s">
        <v>36</v>
      </c>
      <c r="B38" s="11" t="s">
        <v>19</v>
      </c>
      <c r="C38" s="11">
        <v>20</v>
      </c>
      <c r="D38" s="11">
        <v>9000000</v>
      </c>
      <c r="E38" s="11">
        <v>3021644.4</v>
      </c>
      <c r="F38" s="11">
        <v>2220736.9751821412</v>
      </c>
      <c r="G38" s="12">
        <f>D38+Table841419410132427323943485356[[#This Row],[LỢI NHUẬN RÒNG]]</f>
        <v>11220736.975182142</v>
      </c>
    </row>
    <row r="39" spans="1:12" ht="15" hidden="1" customHeight="1" x14ac:dyDescent="0.3">
      <c r="A39" s="10" t="s">
        <v>38</v>
      </c>
      <c r="B39" s="11" t="s">
        <v>19</v>
      </c>
      <c r="C39" s="11">
        <v>20</v>
      </c>
      <c r="D39" s="11">
        <v>5000000</v>
      </c>
      <c r="E39" s="11">
        <v>2893423.8666666662</v>
      </c>
      <c r="F39" s="11">
        <v>2338375.6361099528</v>
      </c>
      <c r="G39" s="12">
        <f>D39+Table841419410132427323943485356[[#This Row],[LỢI NHUẬN RÒNG]]</f>
        <v>7338375.6361099528</v>
      </c>
    </row>
    <row r="40" spans="1:12" ht="15" hidden="1" customHeight="1" x14ac:dyDescent="0.3">
      <c r="A40" s="10" t="s">
        <v>40</v>
      </c>
      <c r="B40" s="11" t="s">
        <v>19</v>
      </c>
      <c r="C40" s="11">
        <v>10</v>
      </c>
      <c r="D40" s="11">
        <v>1100000</v>
      </c>
      <c r="E40" s="11">
        <v>1341646.7</v>
      </c>
      <c r="F40" s="11">
        <v>998935.33088797028</v>
      </c>
      <c r="G40" s="12">
        <f>D40+Table841419410132427323943485356[[#This Row],[LỢI NHUẬN RÒNG]]</f>
        <v>2098935.3308879705</v>
      </c>
    </row>
    <row r="41" spans="1:12" ht="15" hidden="1" customHeight="1" x14ac:dyDescent="0.3">
      <c r="A41" s="10" t="s">
        <v>8</v>
      </c>
      <c r="B41" s="11" t="s">
        <v>21</v>
      </c>
      <c r="C41" s="11">
        <v>20</v>
      </c>
      <c r="D41" s="11">
        <v>4800000</v>
      </c>
      <c r="E41" s="11">
        <v>1692400</v>
      </c>
      <c r="F41" s="11">
        <v>1012879.07794092</v>
      </c>
      <c r="G41" s="12">
        <f>D41+Table841419410132427323943485356[[#This Row],[LỢI NHUẬN RÒNG]]</f>
        <v>5812879.0779409204</v>
      </c>
    </row>
    <row r="42" spans="1:12" ht="15" hidden="1" customHeight="1" x14ac:dyDescent="0.3">
      <c r="A42" s="10" t="s">
        <v>11</v>
      </c>
      <c r="B42" s="11" t="s">
        <v>21</v>
      </c>
      <c r="C42" s="11">
        <v>10</v>
      </c>
      <c r="D42" s="11">
        <v>4933333.333333334</v>
      </c>
      <c r="E42" s="11">
        <v>1010033.6666666664</v>
      </c>
      <c r="F42" s="11">
        <v>389670.97879601119</v>
      </c>
      <c r="G42" s="12">
        <f>D42+Table841419410132427323943485356[[#This Row],[LỢI NHUẬN RÒNG]]</f>
        <v>5323004.3121293448</v>
      </c>
    </row>
    <row r="43" spans="1:12" ht="15" hidden="1" customHeight="1" x14ac:dyDescent="0.3">
      <c r="A43" s="10" t="s">
        <v>14</v>
      </c>
      <c r="B43" s="11" t="s">
        <v>21</v>
      </c>
      <c r="C43" s="11">
        <v>10</v>
      </c>
      <c r="D43" s="11">
        <v>6110000</v>
      </c>
      <c r="E43" s="11">
        <v>3298057</v>
      </c>
      <c r="F43" s="11">
        <v>2277083.2055641352</v>
      </c>
      <c r="G43" s="12">
        <f>D43+Table841419410132427323943485356[[#This Row],[LỢI NHUẬN RÒNG]]</f>
        <v>8387083.2055641357</v>
      </c>
    </row>
    <row r="44" spans="1:12" ht="15" hidden="1" customHeight="1" x14ac:dyDescent="0.3">
      <c r="A44" s="10" t="s">
        <v>16</v>
      </c>
      <c r="B44" s="11" t="s">
        <v>21</v>
      </c>
      <c r="C44" s="11">
        <v>20</v>
      </c>
      <c r="D44" s="11">
        <v>9000000</v>
      </c>
      <c r="E44" s="11">
        <v>1558224.8</v>
      </c>
      <c r="F44" s="11">
        <v>614423.76319688256</v>
      </c>
      <c r="G44" s="12">
        <f>D44+Table841419410132427323943485356[[#This Row],[LỢI NHUẬN RÒNG]]</f>
        <v>9614423.7631968819</v>
      </c>
    </row>
    <row r="45" spans="1:12" ht="15" hidden="1" customHeight="1" x14ac:dyDescent="0.3">
      <c r="A45" s="10" t="s">
        <v>18</v>
      </c>
      <c r="B45" s="11" t="s">
        <v>21</v>
      </c>
      <c r="C45" s="11">
        <v>15</v>
      </c>
      <c r="D45" s="11">
        <v>4950000</v>
      </c>
      <c r="E45" s="11">
        <v>1507767.4224999994</v>
      </c>
      <c r="F45" s="11">
        <v>1042863.7649653661</v>
      </c>
      <c r="G45" s="12">
        <f>D45+Table841419410132427323943485356[[#This Row],[LỢI NHUẬN RÒNG]]</f>
        <v>5992863.7649653666</v>
      </c>
    </row>
    <row r="46" spans="1:12" ht="15" hidden="1" customHeight="1" x14ac:dyDescent="0.3">
      <c r="A46" s="10" t="s">
        <v>20</v>
      </c>
      <c r="B46" s="11" t="s">
        <v>21</v>
      </c>
      <c r="C46" s="11">
        <v>15</v>
      </c>
      <c r="D46" s="11">
        <v>5400000</v>
      </c>
      <c r="E46" s="11">
        <v>1710463.69</v>
      </c>
      <c r="F46" s="11">
        <v>1106545.9273262937</v>
      </c>
      <c r="G46" s="12">
        <f>D46+Table841419410132427323943485356[[#This Row],[LỢI NHUẬN RÒNG]]</f>
        <v>6506545.9273262937</v>
      </c>
    </row>
    <row r="47" spans="1:12" ht="15" hidden="1" customHeight="1" x14ac:dyDescent="0.3">
      <c r="A47" s="10" t="s">
        <v>22</v>
      </c>
      <c r="B47" s="11" t="s">
        <v>21</v>
      </c>
      <c r="C47" s="11">
        <v>15</v>
      </c>
      <c r="D47" s="11">
        <v>3300000</v>
      </c>
      <c r="E47" s="11">
        <v>765851.55</v>
      </c>
      <c r="F47" s="11">
        <v>341200.96650638245</v>
      </c>
      <c r="G47" s="12">
        <f>D47+Table841419410132427323943485356[[#This Row],[LỢI NHUẬN RÒNG]]</f>
        <v>3641200.9665063825</v>
      </c>
    </row>
    <row r="48" spans="1:12" ht="15" hidden="1" customHeight="1" x14ac:dyDescent="0.3">
      <c r="A48" s="10" t="s">
        <v>24</v>
      </c>
      <c r="B48" s="11" t="s">
        <v>21</v>
      </c>
      <c r="C48" s="11">
        <v>15</v>
      </c>
      <c r="D48" s="11">
        <v>11085000</v>
      </c>
      <c r="E48" s="11">
        <v>3336866.7</v>
      </c>
      <c r="F48" s="11">
        <v>2506333.7561533325</v>
      </c>
      <c r="G48" s="12">
        <f>D48+Table841419410132427323943485356[[#This Row],[LỢI NHUẬN RÒNG]]</f>
        <v>13591333.756153332</v>
      </c>
    </row>
    <row r="49" spans="1:7" ht="15" hidden="1" customHeight="1" x14ac:dyDescent="0.3">
      <c r="A49" s="10" t="s">
        <v>26</v>
      </c>
      <c r="B49" s="11" t="s">
        <v>21</v>
      </c>
      <c r="C49" s="11">
        <v>30</v>
      </c>
      <c r="D49" s="11">
        <v>13830000</v>
      </c>
      <c r="E49" s="11">
        <v>4914986.4000000004</v>
      </c>
      <c r="F49" s="11">
        <v>3717340.351273533</v>
      </c>
      <c r="G49" s="12">
        <f>D49+Table841419410132427323943485356[[#This Row],[LỢI NHUẬN RÒNG]]</f>
        <v>17547340.351273533</v>
      </c>
    </row>
    <row r="50" spans="1:7" ht="15" hidden="1" customHeight="1" x14ac:dyDescent="0.3">
      <c r="A50" s="10" t="s">
        <v>28</v>
      </c>
      <c r="B50" s="11" t="s">
        <v>21</v>
      </c>
      <c r="C50" s="11">
        <v>30</v>
      </c>
      <c r="G50" s="12"/>
    </row>
    <row r="51" spans="1:7" ht="15" hidden="1" customHeight="1" x14ac:dyDescent="0.3">
      <c r="A51" s="10" t="s">
        <v>32</v>
      </c>
      <c r="B51" s="11" t="s">
        <v>21</v>
      </c>
      <c r="C51" s="11">
        <v>30</v>
      </c>
      <c r="D51" s="11">
        <v>18300000</v>
      </c>
      <c r="E51" s="11">
        <v>4758681.9000000004</v>
      </c>
      <c r="F51" s="11">
        <v>2716740.6214156239</v>
      </c>
      <c r="G51" s="12">
        <f>D51+Table841419410132427323943485356[[#This Row],[LỢI NHUẬN RÒNG]]</f>
        <v>21016740.621415623</v>
      </c>
    </row>
    <row r="52" spans="1:7" ht="15" hidden="1" customHeight="1" x14ac:dyDescent="0.3">
      <c r="A52" s="10" t="s">
        <v>34</v>
      </c>
      <c r="B52" s="11" t="s">
        <v>21</v>
      </c>
      <c r="C52" s="11">
        <v>20</v>
      </c>
      <c r="D52" s="11">
        <v>6160000</v>
      </c>
      <c r="E52" s="11">
        <v>2665528.4</v>
      </c>
      <c r="F52" s="11">
        <v>2063302.0079734221</v>
      </c>
      <c r="G52" s="12">
        <f>D52+Table841419410132427323943485356[[#This Row],[LỢI NHUẬN RÒNG]]</f>
        <v>8223302.0079734223</v>
      </c>
    </row>
    <row r="53" spans="1:7" ht="12" hidden="1" customHeight="1" x14ac:dyDescent="0.3">
      <c r="A53" s="10" t="s">
        <v>36</v>
      </c>
      <c r="B53" s="11" t="s">
        <v>21</v>
      </c>
      <c r="C53" s="11">
        <v>30</v>
      </c>
      <c r="D53" s="11">
        <v>13500000</v>
      </c>
      <c r="E53" s="11">
        <v>4532466.5999999996</v>
      </c>
      <c r="F53" s="11">
        <v>3331105.4627732122</v>
      </c>
      <c r="G53" s="12">
        <f>D53+Table841419410132427323943485356[[#This Row],[LỢI NHUẬN RÒNG]]</f>
        <v>16831105.462773211</v>
      </c>
    </row>
    <row r="54" spans="1:7" ht="15" hidden="1" customHeight="1" x14ac:dyDescent="0.3">
      <c r="A54" s="10" t="s">
        <v>38</v>
      </c>
      <c r="B54" s="11" t="s">
        <v>21</v>
      </c>
      <c r="C54" s="11">
        <v>30</v>
      </c>
      <c r="D54" s="11">
        <v>7500000</v>
      </c>
      <c r="E54" s="11">
        <v>4340135.8</v>
      </c>
      <c r="F54" s="11">
        <v>3507563.4541649288</v>
      </c>
      <c r="G54" s="12">
        <f>D54+Table841419410132427323943485356[[#This Row],[LỢI NHUẬN RÒNG]]</f>
        <v>11007563.45416493</v>
      </c>
    </row>
    <row r="55" spans="1:7" ht="15" hidden="1" customHeight="1" x14ac:dyDescent="0.3">
      <c r="A55" s="10" t="s">
        <v>40</v>
      </c>
      <c r="B55" s="11" t="s">
        <v>21</v>
      </c>
      <c r="C55" s="11">
        <v>30</v>
      </c>
      <c r="D55" s="11">
        <v>3300000</v>
      </c>
      <c r="E55" s="11">
        <v>4024940.1</v>
      </c>
      <c r="F55" s="11">
        <v>2996805.9926639111</v>
      </c>
      <c r="G55" s="12">
        <f>D55+Table841419410132427323943485356[[#This Row],[LỢI NHUẬN RÒNG]]</f>
        <v>6296805.9926639106</v>
      </c>
    </row>
    <row r="56" spans="1:7" ht="15" hidden="1" customHeight="1" x14ac:dyDescent="0.3">
      <c r="A56" s="10" t="s">
        <v>12</v>
      </c>
      <c r="B56" s="11" t="s">
        <v>21</v>
      </c>
      <c r="C56" s="18">
        <v>10</v>
      </c>
      <c r="D56" s="18">
        <v>4200000</v>
      </c>
      <c r="E56" s="18">
        <v>1446174.1</v>
      </c>
      <c r="F56" s="18">
        <v>1000472.3709155575</v>
      </c>
      <c r="G56" s="12">
        <f>D56+Table841419410132427323943485356[[#This Row],[LỢI NHUẬN RÒNG]]</f>
        <v>5200472.3709155573</v>
      </c>
    </row>
    <row r="57" spans="1:7" ht="15" hidden="1" customHeight="1" x14ac:dyDescent="0.3">
      <c r="A57" s="10" t="s">
        <v>34</v>
      </c>
      <c r="B57" s="11" t="s">
        <v>23</v>
      </c>
      <c r="C57" s="11">
        <v>10</v>
      </c>
      <c r="D57" s="11">
        <v>3080000</v>
      </c>
      <c r="E57" s="11">
        <v>1332764.2</v>
      </c>
      <c r="F57" s="11">
        <v>1031651.003986711</v>
      </c>
      <c r="G57" s="12">
        <f>D57+Table841419410132427323943485356[[#This Row],[LỢI NHUẬN RÒNG]]</f>
        <v>4111651.0039867111</v>
      </c>
    </row>
    <row r="58" spans="1:7" ht="15" hidden="1" customHeight="1" x14ac:dyDescent="0.3">
      <c r="A58" s="10" t="s">
        <v>36</v>
      </c>
      <c r="B58" s="11" t="s">
        <v>25</v>
      </c>
      <c r="C58" s="11">
        <v>5</v>
      </c>
      <c r="D58" s="11">
        <v>2250000</v>
      </c>
      <c r="E58" s="11">
        <v>755411.1</v>
      </c>
      <c r="F58" s="11">
        <v>555184.24379553529</v>
      </c>
      <c r="G58" s="12">
        <f>D58+Table841419410132427323943485356[[#This Row],[LỢI NHUẬN RÒNG]]</f>
        <v>2805184.2437955355</v>
      </c>
    </row>
    <row r="59" spans="1:7" ht="15" hidden="1" customHeight="1" x14ac:dyDescent="0.3">
      <c r="A59" s="10" t="s">
        <v>12</v>
      </c>
      <c r="B59" s="11" t="s">
        <v>25</v>
      </c>
      <c r="C59" s="11">
        <v>10</v>
      </c>
      <c r="D59" s="11">
        <v>4200000</v>
      </c>
      <c r="E59" s="11">
        <v>1446174.1</v>
      </c>
      <c r="F59" s="11">
        <v>1000472.3709155575</v>
      </c>
      <c r="G59" s="12">
        <f>D59+Table841419410132427323943485356[[#This Row],[LỢI NHUẬN RÒNG]]</f>
        <v>5200472.3709155573</v>
      </c>
    </row>
    <row r="60" spans="1:7" ht="15" hidden="1" customHeight="1" x14ac:dyDescent="0.3">
      <c r="A60" s="10" t="s">
        <v>38</v>
      </c>
      <c r="B60" s="11" t="s">
        <v>25</v>
      </c>
      <c r="C60" s="11">
        <v>10</v>
      </c>
      <c r="D60" s="11">
        <v>2500000</v>
      </c>
      <c r="E60" s="11">
        <v>1446711.9333333331</v>
      </c>
      <c r="F60" s="11">
        <v>1169187.8180549764</v>
      </c>
      <c r="G60" s="12">
        <f>D60+Table841419410132427323943485356[[#This Row],[LỢI NHUẬN RÒNG]]</f>
        <v>3669187.8180549764</v>
      </c>
    </row>
    <row r="61" spans="1:7" ht="15" hidden="1" customHeight="1" x14ac:dyDescent="0.3">
      <c r="A61" s="10" t="s">
        <v>18</v>
      </c>
      <c r="B61" s="11" t="s">
        <v>27</v>
      </c>
      <c r="C61" s="11">
        <v>30</v>
      </c>
      <c r="D61" s="11">
        <v>9900000</v>
      </c>
      <c r="E61" s="11">
        <v>3015534.8449999988</v>
      </c>
      <c r="F61" s="11">
        <v>2085727.5299307322</v>
      </c>
      <c r="G61" s="12">
        <f>D61+Table841419410132427323943485356[[#This Row],[LỢI NHUẬN RÒNG]]</f>
        <v>11985727.529930733</v>
      </c>
    </row>
    <row r="62" spans="1:7" ht="15" hidden="1" customHeight="1" x14ac:dyDescent="0.3">
      <c r="A62" s="10" t="s">
        <v>20</v>
      </c>
      <c r="B62" s="11" t="s">
        <v>27</v>
      </c>
      <c r="C62" s="11">
        <v>30</v>
      </c>
      <c r="D62" s="11">
        <v>10800000</v>
      </c>
      <c r="E62" s="11">
        <v>3420927.38</v>
      </c>
      <c r="F62" s="11">
        <v>2213091.8546525873</v>
      </c>
      <c r="G62" s="12">
        <f>D62+Table841419410132427323943485356[[#This Row],[LỢI NHUẬN RÒNG]]</f>
        <v>13013091.854652587</v>
      </c>
    </row>
    <row r="63" spans="1:7" ht="15" hidden="1" customHeight="1" x14ac:dyDescent="0.3">
      <c r="A63" s="10" t="s">
        <v>22</v>
      </c>
      <c r="B63" s="11" t="s">
        <v>27</v>
      </c>
      <c r="C63" s="11">
        <v>30</v>
      </c>
      <c r="D63" s="11">
        <v>6600000</v>
      </c>
      <c r="E63" s="11">
        <v>1531703.1</v>
      </c>
      <c r="F63" s="11">
        <v>682401.9330127649</v>
      </c>
      <c r="G63" s="12">
        <f>D63+Table841419410132427323943485356[[#This Row],[LỢI NHUẬN RÒNG]]</f>
        <v>7282401.9330127649</v>
      </c>
    </row>
    <row r="64" spans="1:7" ht="15" hidden="1" customHeight="1" x14ac:dyDescent="0.3">
      <c r="A64" s="10" t="s">
        <v>24</v>
      </c>
      <c r="B64" s="11" t="s">
        <v>27</v>
      </c>
      <c r="C64" s="11">
        <v>30</v>
      </c>
      <c r="D64" s="11">
        <v>22170000</v>
      </c>
      <c r="E64" s="11">
        <v>6673733.4000000004</v>
      </c>
      <c r="F64" s="11">
        <v>5012667.5123066651</v>
      </c>
      <c r="G64" s="12">
        <f>D64+Table841419410132427323943485356[[#This Row],[LỢI NHUẬN RÒNG]]</f>
        <v>27182667.512306664</v>
      </c>
    </row>
    <row r="65" spans="1:7" ht="15" hidden="1" customHeight="1" x14ac:dyDescent="0.3">
      <c r="A65" s="10" t="s">
        <v>28</v>
      </c>
      <c r="B65" s="11" t="s">
        <v>29</v>
      </c>
      <c r="C65" s="11">
        <v>10</v>
      </c>
      <c r="G65" s="12"/>
    </row>
    <row r="66" spans="1:7" ht="15" hidden="1" customHeight="1" x14ac:dyDescent="0.3">
      <c r="A66" s="10" t="s">
        <v>40</v>
      </c>
      <c r="B66" s="11" t="s">
        <v>29</v>
      </c>
      <c r="C66" s="11">
        <v>20</v>
      </c>
      <c r="D66" s="11">
        <v>2200000</v>
      </c>
      <c r="E66" s="11">
        <v>2683293.4</v>
      </c>
      <c r="F66" s="11">
        <v>1997870.6617759406</v>
      </c>
      <c r="G66" s="12">
        <f>D66+Table841419410132427323943485356[[#This Row],[LỢI NHUẬN RÒNG]]</f>
        <v>4197870.661775941</v>
      </c>
    </row>
    <row r="67" spans="1:7" ht="15" hidden="1" customHeight="1" x14ac:dyDescent="0.3">
      <c r="A67" s="10" t="s">
        <v>11</v>
      </c>
      <c r="B67" s="11" t="s">
        <v>31</v>
      </c>
      <c r="C67" s="11">
        <v>10</v>
      </c>
      <c r="D67" s="18">
        <v>4933333.333333334</v>
      </c>
      <c r="E67" s="18">
        <v>1010033.6666666664</v>
      </c>
      <c r="F67" s="18">
        <v>389670.97879601119</v>
      </c>
      <c r="G67" s="12">
        <f>D67+Table841419410132427323943485356[[#This Row],[LỢI NHUẬN RÒNG]]</f>
        <v>5323004.3121293448</v>
      </c>
    </row>
    <row r="68" spans="1:7" ht="15" hidden="1" customHeight="1" x14ac:dyDescent="0.3">
      <c r="A68" s="10" t="s">
        <v>12</v>
      </c>
      <c r="B68" s="11" t="s">
        <v>31</v>
      </c>
      <c r="C68" s="11">
        <v>10</v>
      </c>
      <c r="D68" s="11">
        <v>4200000</v>
      </c>
      <c r="E68" s="11">
        <v>1446174.1</v>
      </c>
      <c r="F68" s="11">
        <v>1000472.3709155575</v>
      </c>
      <c r="G68" s="12">
        <f>D68+Table841419410132427323943485356[[#This Row],[LỢI NHUẬN RÒNG]]</f>
        <v>5200472.3709155573</v>
      </c>
    </row>
    <row r="69" spans="1:7" ht="15" hidden="1" customHeight="1" x14ac:dyDescent="0.3">
      <c r="A69" s="10" t="s">
        <v>14</v>
      </c>
      <c r="B69" s="11" t="s">
        <v>31</v>
      </c>
      <c r="C69" s="11">
        <v>10</v>
      </c>
      <c r="D69" s="11">
        <v>6110000</v>
      </c>
      <c r="E69" s="11">
        <v>3298057</v>
      </c>
      <c r="F69" s="11">
        <v>2277083.2055641352</v>
      </c>
      <c r="G69" s="12">
        <f>D69+Table841419410132427323943485356[[#This Row],[LỢI NHUẬN RÒNG]]</f>
        <v>8387083.2055641357</v>
      </c>
    </row>
    <row r="70" spans="1:7" ht="15" hidden="1" customHeight="1" x14ac:dyDescent="0.3">
      <c r="A70" s="10" t="s">
        <v>30</v>
      </c>
      <c r="B70" s="11" t="s">
        <v>31</v>
      </c>
      <c r="C70" s="11">
        <v>10</v>
      </c>
      <c r="D70" s="11">
        <v>5100000</v>
      </c>
      <c r="E70" s="11">
        <v>1153745.3999999999</v>
      </c>
      <c r="F70" s="11">
        <v>375616.22617265733</v>
      </c>
      <c r="G70" s="12">
        <f>D70+Table841419410132427323943485356[[#This Row],[LỢI NHUẬN RÒNG]]</f>
        <v>5475616.2261726577</v>
      </c>
    </row>
    <row r="71" spans="1:7" ht="15" hidden="1" customHeight="1" x14ac:dyDescent="0.3">
      <c r="A71" s="10" t="s">
        <v>32</v>
      </c>
      <c r="B71" s="11" t="s">
        <v>31</v>
      </c>
      <c r="C71" s="11">
        <v>10</v>
      </c>
      <c r="D71" s="11">
        <v>6100000</v>
      </c>
      <c r="E71" s="11">
        <v>1586227.3</v>
      </c>
      <c r="F71" s="11">
        <v>905580.20713854139</v>
      </c>
      <c r="G71" s="12">
        <f>D71+Table841419410132427323943485356[[#This Row],[LỢI NHUẬN RÒNG]]</f>
        <v>7005580.2071385412</v>
      </c>
    </row>
    <row r="72" spans="1:7" ht="15" hidden="1" customHeight="1" x14ac:dyDescent="0.3">
      <c r="A72" s="10" t="s">
        <v>34</v>
      </c>
      <c r="B72" s="11" t="s">
        <v>31</v>
      </c>
      <c r="C72" s="11">
        <v>10</v>
      </c>
      <c r="D72" s="11">
        <v>3080000</v>
      </c>
      <c r="E72" s="11">
        <v>1332764.2</v>
      </c>
      <c r="F72" s="11">
        <v>1031651.003986711</v>
      </c>
      <c r="G72" s="12">
        <f>D72+Table841419410132427323943485356[[#This Row],[LỢI NHUẬN RÒNG]]</f>
        <v>4111651.0039867111</v>
      </c>
    </row>
    <row r="73" spans="1:7" ht="15" hidden="1" customHeight="1" x14ac:dyDescent="0.3">
      <c r="A73" s="10" t="s">
        <v>36</v>
      </c>
      <c r="B73" s="11" t="s">
        <v>31</v>
      </c>
      <c r="C73" s="11">
        <v>10</v>
      </c>
      <c r="D73" s="11">
        <v>4500000</v>
      </c>
      <c r="E73" s="11">
        <v>1510822.2</v>
      </c>
      <c r="F73" s="11">
        <v>1110368.4875910706</v>
      </c>
      <c r="G73" s="12">
        <f>D73+Table841419410132427323943485356[[#This Row],[LỢI NHUẬN RÒNG]]</f>
        <v>5610368.4875910711</v>
      </c>
    </row>
    <row r="74" spans="1:7" ht="15" hidden="1" customHeight="1" x14ac:dyDescent="0.3">
      <c r="A74" s="10" t="s">
        <v>38</v>
      </c>
      <c r="B74" s="11" t="s">
        <v>31</v>
      </c>
      <c r="C74" s="11">
        <v>10</v>
      </c>
      <c r="D74" s="11">
        <v>2500000</v>
      </c>
      <c r="E74" s="11">
        <v>1446711.9333333331</v>
      </c>
      <c r="F74" s="11">
        <v>1169187.8180549764</v>
      </c>
      <c r="G74" s="12">
        <f>D74+Table841419410132427323943485356[[#This Row],[LỢI NHUẬN RÒNG]]</f>
        <v>3669187.8180549764</v>
      </c>
    </row>
    <row r="75" spans="1:7" ht="15" hidden="1" customHeight="1" x14ac:dyDescent="0.3">
      <c r="A75" s="10" t="s">
        <v>40</v>
      </c>
      <c r="B75" s="11" t="s">
        <v>31</v>
      </c>
      <c r="C75" s="11">
        <v>20</v>
      </c>
      <c r="D75" s="11">
        <v>2200000</v>
      </c>
      <c r="E75" s="11">
        <v>2683293.4</v>
      </c>
      <c r="F75" s="11">
        <v>1997870.6617759406</v>
      </c>
      <c r="G75" s="12">
        <f>D75+Table841419410132427323943485356[[#This Row],[LỢI NHUẬN RÒNG]]</f>
        <v>4197870.661775941</v>
      </c>
    </row>
    <row r="76" spans="1:7" ht="15" hidden="1" customHeight="1" x14ac:dyDescent="0.3">
      <c r="A76" s="10" t="s">
        <v>22</v>
      </c>
      <c r="B76" s="11" t="s">
        <v>33</v>
      </c>
      <c r="C76" s="11">
        <v>10</v>
      </c>
      <c r="D76" s="11">
        <v>2200000</v>
      </c>
      <c r="E76" s="11">
        <v>510567.7</v>
      </c>
      <c r="F76" s="11">
        <v>227467.31100425497</v>
      </c>
      <c r="G76" s="12">
        <f>D76+Table841419410132427323943485356[[#This Row],[LỢI NHUẬN RÒNG]]</f>
        <v>2427467.311004255</v>
      </c>
    </row>
    <row r="77" spans="1:7" ht="15" hidden="1" customHeight="1" x14ac:dyDescent="0.3">
      <c r="A77" s="10" t="s">
        <v>24</v>
      </c>
      <c r="B77" s="11" t="s">
        <v>33</v>
      </c>
      <c r="C77" s="11">
        <v>10</v>
      </c>
      <c r="D77" s="11">
        <v>7390000</v>
      </c>
      <c r="E77" s="11">
        <v>2224577.7999999998</v>
      </c>
      <c r="F77" s="11">
        <v>1670889.1707688882</v>
      </c>
      <c r="G77" s="12">
        <f>D77+Table841419410132427323943485356[[#This Row],[LỢI NHUẬN RÒNG]]</f>
        <v>9060889.1707688887</v>
      </c>
    </row>
    <row r="78" spans="1:7" ht="15" hidden="1" customHeight="1" x14ac:dyDescent="0.3">
      <c r="A78" s="10" t="s">
        <v>28</v>
      </c>
      <c r="B78" s="11" t="s">
        <v>33</v>
      </c>
      <c r="C78" s="11">
        <v>10</v>
      </c>
      <c r="G78" s="12"/>
    </row>
    <row r="79" spans="1:7" ht="15" hidden="1" customHeight="1" x14ac:dyDescent="0.3">
      <c r="A79" s="10" t="s">
        <v>32</v>
      </c>
      <c r="B79" s="11" t="s">
        <v>33</v>
      </c>
      <c r="C79" s="11">
        <v>10</v>
      </c>
      <c r="D79" s="11">
        <v>6100000</v>
      </c>
      <c r="E79" s="11">
        <v>1586227.3</v>
      </c>
      <c r="F79" s="11">
        <v>905580.20713854139</v>
      </c>
      <c r="G79" s="12">
        <f>D79+Table841419410132427323943485356[[#This Row],[LỢI NHUẬN RÒNG]]</f>
        <v>7005580.2071385412</v>
      </c>
    </row>
    <row r="80" spans="1:7" ht="15" hidden="1" customHeight="1" x14ac:dyDescent="0.3">
      <c r="A80" s="10" t="s">
        <v>34</v>
      </c>
      <c r="B80" s="11" t="s">
        <v>33</v>
      </c>
      <c r="C80" s="11">
        <v>10</v>
      </c>
      <c r="D80" s="11">
        <v>3080000</v>
      </c>
      <c r="E80" s="11">
        <v>1332764.2</v>
      </c>
      <c r="F80" s="11">
        <v>1031651.003986711</v>
      </c>
      <c r="G80" s="12">
        <f>D80+Table841419410132427323943485356[[#This Row],[LỢI NHUẬN RÒNG]]</f>
        <v>4111651.0039867111</v>
      </c>
    </row>
    <row r="81" spans="1:7" ht="15" hidden="1" customHeight="1" x14ac:dyDescent="0.3">
      <c r="A81" s="10" t="s">
        <v>36</v>
      </c>
      <c r="B81" s="11" t="s">
        <v>33</v>
      </c>
      <c r="C81" s="11">
        <v>15</v>
      </c>
      <c r="D81" s="11">
        <v>6750000</v>
      </c>
      <c r="E81" s="11">
        <v>2266233.2999999998</v>
      </c>
      <c r="F81" s="11">
        <v>1665552.7313866061</v>
      </c>
      <c r="G81" s="12">
        <f>D81+Table841419410132427323943485356[[#This Row],[LỢI NHUẬN RÒNG]]</f>
        <v>8415552.7313866057</v>
      </c>
    </row>
    <row r="82" spans="1:7" ht="15" hidden="1" customHeight="1" x14ac:dyDescent="0.3">
      <c r="A82" s="10" t="s">
        <v>38</v>
      </c>
      <c r="B82" s="11" t="s">
        <v>33</v>
      </c>
      <c r="C82" s="11">
        <v>10</v>
      </c>
      <c r="D82" s="11">
        <v>2500000</v>
      </c>
      <c r="E82" s="11">
        <v>1446711.9333333331</v>
      </c>
      <c r="F82" s="11">
        <v>1169187.8180549764</v>
      </c>
      <c r="G82" s="12">
        <f>D82+Table841419410132427323943485356[[#This Row],[LỢI NHUẬN RÒNG]]</f>
        <v>3669187.8180549764</v>
      </c>
    </row>
    <row r="83" spans="1:7" ht="15" hidden="1" customHeight="1" x14ac:dyDescent="0.3">
      <c r="A83" s="10" t="s">
        <v>40</v>
      </c>
      <c r="B83" s="11" t="s">
        <v>33</v>
      </c>
      <c r="C83" s="11">
        <v>10</v>
      </c>
      <c r="D83" s="11">
        <v>1100000</v>
      </c>
      <c r="E83" s="11">
        <v>1341646.7</v>
      </c>
      <c r="F83" s="11">
        <v>998935.33088797028</v>
      </c>
      <c r="G83" s="12">
        <f>D83+Table841419410132427323943485356[[#This Row],[LỢI NHUẬN RÒNG]]</f>
        <v>2098935.3308879705</v>
      </c>
    </row>
    <row r="84" spans="1:7" ht="15" customHeight="1" x14ac:dyDescent="0.3">
      <c r="A84" s="10" t="s">
        <v>14</v>
      </c>
      <c r="B84" s="11" t="s">
        <v>37</v>
      </c>
      <c r="C84" s="11">
        <v>10</v>
      </c>
      <c r="D84" s="11">
        <v>6110000</v>
      </c>
      <c r="E84" s="11">
        <v>3298057</v>
      </c>
      <c r="F84" s="11">
        <v>2277083.2055641352</v>
      </c>
      <c r="G84" s="12">
        <f>D84+Table841419410132427323943485356[[#This Row],[LỢI NHUẬN RÒNG]]</f>
        <v>8387083.2055641357</v>
      </c>
    </row>
    <row r="85" spans="1:7" ht="15" customHeight="1" x14ac:dyDescent="0.3">
      <c r="A85" s="10" t="s">
        <v>32</v>
      </c>
      <c r="B85" s="11" t="s">
        <v>37</v>
      </c>
      <c r="C85" s="11">
        <v>15</v>
      </c>
      <c r="D85" s="11">
        <v>9150000</v>
      </c>
      <c r="E85" s="11">
        <v>2379340.9500000002</v>
      </c>
      <c r="F85" s="11">
        <v>1358370.310707812</v>
      </c>
      <c r="G85" s="12">
        <f>D85+Table841419410132427323943485356[[#This Row],[LỢI NHUẬN RÒNG]]</f>
        <v>10508370.310707811</v>
      </c>
    </row>
    <row r="86" spans="1:7" ht="15" customHeight="1" x14ac:dyDescent="0.3">
      <c r="A86" s="20" t="s">
        <v>34</v>
      </c>
      <c r="B86" s="21" t="s">
        <v>37</v>
      </c>
      <c r="C86" s="21">
        <v>10</v>
      </c>
      <c r="D86" s="21">
        <v>3080000</v>
      </c>
      <c r="E86" s="21">
        <v>1332764.2</v>
      </c>
      <c r="F86" s="21">
        <v>1031651.003986711</v>
      </c>
      <c r="G86" s="12">
        <f>D86+Table841419410132427323943485356[[#This Row],[LỢI NHUẬN RÒNG]]</f>
        <v>4111651.0039867111</v>
      </c>
    </row>
    <row r="87" spans="1:7" ht="15" hidden="1" customHeight="1" x14ac:dyDescent="0.3">
      <c r="A87" s="22" t="s">
        <v>48</v>
      </c>
      <c r="B87" s="21" t="s">
        <v>27</v>
      </c>
      <c r="C87" s="21">
        <v>40</v>
      </c>
      <c r="D87" s="21">
        <v>24000000</v>
      </c>
      <c r="E87" s="21">
        <v>5867512</v>
      </c>
      <c r="F87" s="21">
        <v>2805251.5506655872</v>
      </c>
      <c r="G87" s="12">
        <f>D87+Table841419410132427323943485356[[#This Row],[LỢI NHUẬN RÒNG]]</f>
        <v>26805251.550665587</v>
      </c>
    </row>
    <row r="88" spans="1:7" hidden="1" x14ac:dyDescent="0.3">
      <c r="A88" s="23" t="s">
        <v>48</v>
      </c>
      <c r="B88" s="11" t="s">
        <v>19</v>
      </c>
      <c r="C88" s="21">
        <v>30</v>
      </c>
      <c r="D88" s="21">
        <v>18000000</v>
      </c>
      <c r="E88" s="21">
        <v>4400634</v>
      </c>
      <c r="F88" s="21">
        <v>2103938.6629991904</v>
      </c>
      <c r="G88" s="12">
        <f>D88+Table841419410132427323943485356[[#This Row],[LỢI NHUẬN RÒNG]]</f>
        <v>20103938.66299919</v>
      </c>
    </row>
    <row r="89" spans="1:7" hidden="1" x14ac:dyDescent="0.3">
      <c r="A89" s="23" t="s">
        <v>48</v>
      </c>
      <c r="B89" s="21" t="s">
        <v>23</v>
      </c>
      <c r="C89" s="21">
        <v>5</v>
      </c>
      <c r="D89" s="21">
        <v>3000000</v>
      </c>
      <c r="E89" s="21">
        <v>733439</v>
      </c>
      <c r="F89" s="21">
        <v>350656.4438331984</v>
      </c>
      <c r="G89" s="12">
        <f>D89+Table841419410132427323943485356[[#This Row],[LỢI NHUẬN RÒNG]]</f>
        <v>3350656.4438331984</v>
      </c>
    </row>
    <row r="90" spans="1:7" hidden="1" x14ac:dyDescent="0.3">
      <c r="A90" s="23" t="s">
        <v>48</v>
      </c>
      <c r="B90" s="21" t="s">
        <v>31</v>
      </c>
      <c r="C90" s="21">
        <v>10</v>
      </c>
      <c r="D90" s="21">
        <v>6000000</v>
      </c>
      <c r="E90" s="21">
        <v>1466878</v>
      </c>
      <c r="F90" s="21">
        <v>701312.8876663968</v>
      </c>
      <c r="G90" s="12">
        <f>D90+Table841419410132427323943485356[[#This Row],[LỢI NHUẬN RÒNG]]</f>
        <v>6701312.8876663968</v>
      </c>
    </row>
    <row r="91" spans="1:7" hidden="1" x14ac:dyDescent="0.3">
      <c r="A91" s="23" t="s">
        <v>48</v>
      </c>
      <c r="B91" s="24" t="s">
        <v>15</v>
      </c>
      <c r="C91" s="21">
        <v>5</v>
      </c>
      <c r="D91" s="21">
        <v>3000000</v>
      </c>
      <c r="E91" s="21">
        <v>733439</v>
      </c>
      <c r="F91" s="21">
        <v>350656.4438331984</v>
      </c>
      <c r="G91" s="12">
        <f>D91+Table841419410132427323943485356[[#This Row],[LỢI NHUẬN RÒNG]]</f>
        <v>3350656.4438331984</v>
      </c>
    </row>
    <row r="92" spans="1:7" hidden="1" x14ac:dyDescent="0.3">
      <c r="A92" s="23" t="s">
        <v>48</v>
      </c>
      <c r="B92" s="11" t="s">
        <v>13</v>
      </c>
      <c r="C92" s="21">
        <v>5</v>
      </c>
      <c r="D92" s="21">
        <v>3000000</v>
      </c>
      <c r="E92" s="21">
        <v>733439</v>
      </c>
      <c r="F92" s="21">
        <v>350656.4438331984</v>
      </c>
      <c r="G92" s="12">
        <f>D92+Table841419410132427323943485356[[#This Row],[LỢI NHUẬN RÒNG]]</f>
        <v>3350656.4438331984</v>
      </c>
    </row>
    <row r="93" spans="1:7" hidden="1" x14ac:dyDescent="0.3">
      <c r="A93" s="23" t="s">
        <v>48</v>
      </c>
      <c r="B93" s="25" t="s">
        <v>10</v>
      </c>
      <c r="C93" s="21">
        <v>5</v>
      </c>
      <c r="D93" s="21">
        <v>3000000</v>
      </c>
      <c r="E93" s="21">
        <v>733439</v>
      </c>
      <c r="F93" s="21">
        <v>350656.4438331984</v>
      </c>
      <c r="G93" s="12">
        <f>D93+Table841419410132427323943485356[[#This Row],[LỢI NHUẬN RÒNG]]</f>
        <v>3350656.4438331984</v>
      </c>
    </row>
    <row r="94" spans="1:7" x14ac:dyDescent="0.3">
      <c r="A94" s="23" t="s">
        <v>49</v>
      </c>
      <c r="B94" s="21" t="s">
        <v>37</v>
      </c>
      <c r="C94" s="21">
        <v>5</v>
      </c>
      <c r="D94" s="21">
        <v>1650000</v>
      </c>
      <c r="E94" s="21">
        <v>619742.38333333354</v>
      </c>
      <c r="F94" s="21">
        <v>369815.58037684782</v>
      </c>
      <c r="G94" s="12">
        <f>D94+Table841419410132427323943485356[[#This Row],[LỢI NHUẬN RÒNG]]</f>
        <v>2019815.5803768479</v>
      </c>
    </row>
    <row r="95" spans="1:7" hidden="1" x14ac:dyDescent="0.3">
      <c r="A95" s="23" t="s">
        <v>49</v>
      </c>
      <c r="B95" s="11" t="s">
        <v>19</v>
      </c>
      <c r="C95" s="21">
        <v>30</v>
      </c>
      <c r="D95" s="21">
        <v>9900000</v>
      </c>
      <c r="E95" s="21">
        <v>3718454.3000000012</v>
      </c>
      <c r="F95" s="21">
        <v>2218893.4822610868</v>
      </c>
      <c r="G95" s="12">
        <f>D95+Table841419410132427323943485356[[#This Row],[LỢI NHUẬN RÒNG]]</f>
        <v>12118893.482261088</v>
      </c>
    </row>
    <row r="96" spans="1:7" hidden="1" x14ac:dyDescent="0.3">
      <c r="A96" s="23" t="s">
        <v>49</v>
      </c>
      <c r="B96" s="21" t="s">
        <v>23</v>
      </c>
      <c r="C96" s="21">
        <v>5</v>
      </c>
      <c r="D96" s="21">
        <v>1650000</v>
      </c>
      <c r="E96" s="21">
        <v>619742.38333333354</v>
      </c>
      <c r="F96" s="21">
        <v>369815.58037684782</v>
      </c>
      <c r="G96" s="12">
        <f>D96+Table841419410132427323943485356[[#This Row],[LỢI NHUẬN RÒNG]]</f>
        <v>2019815.5803768479</v>
      </c>
    </row>
    <row r="97" spans="1:7" hidden="1" x14ac:dyDescent="0.3">
      <c r="A97" s="23" t="s">
        <v>49</v>
      </c>
      <c r="B97" s="11" t="s">
        <v>31</v>
      </c>
      <c r="C97" s="21">
        <v>10</v>
      </c>
      <c r="D97" s="21">
        <v>3300000</v>
      </c>
      <c r="E97" s="21">
        <v>1239484.7666666671</v>
      </c>
      <c r="F97" s="21">
        <v>739631.16075369564</v>
      </c>
      <c r="G97" s="12">
        <f>D97+Table841419410132427323943485356[[#This Row],[LỢI NHUẬN RÒNG]]</f>
        <v>4039631.1607536958</v>
      </c>
    </row>
    <row r="98" spans="1:7" hidden="1" x14ac:dyDescent="0.3">
      <c r="A98" s="23" t="s">
        <v>49</v>
      </c>
      <c r="B98" s="11" t="s">
        <v>33</v>
      </c>
      <c r="C98" s="21">
        <v>5</v>
      </c>
      <c r="D98" s="21">
        <v>1650000</v>
      </c>
      <c r="E98" s="21">
        <v>619742.38333333354</v>
      </c>
      <c r="F98" s="21">
        <v>369815.58037684782</v>
      </c>
      <c r="G98" s="12">
        <f>D98+Table841419410132427323943485356[[#This Row],[LỢI NHUẬN RÒNG]]</f>
        <v>2019815.5803768479</v>
      </c>
    </row>
    <row r="99" spans="1:7" hidden="1" x14ac:dyDescent="0.3">
      <c r="A99" s="23" t="s">
        <v>49</v>
      </c>
      <c r="B99" s="11" t="s">
        <v>21</v>
      </c>
      <c r="C99" s="21">
        <v>30</v>
      </c>
      <c r="D99" s="21">
        <v>9900000</v>
      </c>
      <c r="E99" s="21">
        <v>3718454.3000000012</v>
      </c>
      <c r="F99" s="21">
        <v>2218893.4822610868</v>
      </c>
      <c r="G99" s="12">
        <f>D99+Table841419410132427323943485356[[#This Row],[LỢI NHUẬN RÒNG]]</f>
        <v>12118893.482261088</v>
      </c>
    </row>
    <row r="100" spans="1:7" hidden="1" x14ac:dyDescent="0.3">
      <c r="A100" s="23" t="s">
        <v>49</v>
      </c>
      <c r="B100" s="11" t="s">
        <v>13</v>
      </c>
      <c r="C100" s="21">
        <v>5</v>
      </c>
      <c r="D100" s="21">
        <v>1650000</v>
      </c>
      <c r="E100" s="21">
        <v>619742.38333333354</v>
      </c>
      <c r="F100" s="21">
        <v>369815.58037684782</v>
      </c>
      <c r="G100" s="12">
        <f>D100+Table841419410132427323943485356[[#This Row],[LỢI NHUẬN RÒNG]]</f>
        <v>2019815.5803768479</v>
      </c>
    </row>
    <row r="101" spans="1:7" hidden="1" x14ac:dyDescent="0.3">
      <c r="A101" s="23" t="s">
        <v>49</v>
      </c>
      <c r="B101" s="11" t="s">
        <v>35</v>
      </c>
      <c r="C101" s="21">
        <v>5</v>
      </c>
      <c r="D101" s="21">
        <v>1650000</v>
      </c>
      <c r="E101" s="21">
        <v>619742.38333333354</v>
      </c>
      <c r="F101" s="21">
        <v>369815.58037684782</v>
      </c>
      <c r="G101" s="12">
        <f>D101+Table841419410132427323943485356[[#This Row],[LỢI NHUẬN RÒNG]]</f>
        <v>2019815.5803768479</v>
      </c>
    </row>
    <row r="102" spans="1:7" hidden="1" x14ac:dyDescent="0.3">
      <c r="A102" s="23" t="s">
        <v>49</v>
      </c>
      <c r="B102" s="21" t="s">
        <v>10</v>
      </c>
      <c r="C102" s="21">
        <v>5</v>
      </c>
      <c r="D102" s="21">
        <v>1650000</v>
      </c>
      <c r="E102" s="21">
        <v>619742.38333333354</v>
      </c>
      <c r="F102" s="21">
        <v>369815.58037684782</v>
      </c>
      <c r="G102" s="12">
        <f>D102+Table841419410132427323943485356[[#This Row],[LỢI NHUẬN RÒNG]]</f>
        <v>2019815.5803768479</v>
      </c>
    </row>
    <row r="103" spans="1:7" x14ac:dyDescent="0.3">
      <c r="A103" s="23" t="s">
        <v>50</v>
      </c>
      <c r="B103" s="21" t="s">
        <v>37</v>
      </c>
      <c r="C103" s="21">
        <v>5</v>
      </c>
      <c r="D103" s="21">
        <v>1925000</v>
      </c>
      <c r="E103" s="21">
        <v>106735.61666666679</v>
      </c>
      <c r="F103" s="21">
        <v>-152294.80157911815</v>
      </c>
      <c r="G103" s="12">
        <f>D103+Table841419410132427323943485356[[#This Row],[LỢI NHUẬN RÒNG]]</f>
        <v>1772705.1984208818</v>
      </c>
    </row>
    <row r="104" spans="1:7" hidden="1" x14ac:dyDescent="0.3">
      <c r="A104" s="23" t="s">
        <v>50</v>
      </c>
      <c r="B104" s="11" t="s">
        <v>19</v>
      </c>
      <c r="C104" s="21">
        <v>30</v>
      </c>
      <c r="D104" s="21">
        <v>11550000</v>
      </c>
      <c r="E104" s="21">
        <v>640413.70000000077</v>
      </c>
      <c r="F104" s="21">
        <v>-913768.80947470886</v>
      </c>
      <c r="G104" s="12">
        <f>D104+Table841419410132427323943485356[[#This Row],[LỢI NHUẬN RÒNG]]</f>
        <v>10636231.190525291</v>
      </c>
    </row>
    <row r="105" spans="1:7" hidden="1" x14ac:dyDescent="0.3">
      <c r="A105" s="23" t="s">
        <v>50</v>
      </c>
      <c r="B105" s="21" t="s">
        <v>23</v>
      </c>
      <c r="C105" s="21">
        <v>5</v>
      </c>
      <c r="D105" s="21">
        <v>1925000</v>
      </c>
      <c r="E105" s="21">
        <v>106735.61666666679</v>
      </c>
      <c r="F105" s="21">
        <v>-152294.80157911815</v>
      </c>
      <c r="G105" s="12">
        <f>D105+Table841419410132427323943485356[[#This Row],[LỢI NHUẬN RÒNG]]</f>
        <v>1772705.1984208818</v>
      </c>
    </row>
    <row r="106" spans="1:7" hidden="1" x14ac:dyDescent="0.3">
      <c r="A106" s="23" t="s">
        <v>50</v>
      </c>
      <c r="B106" s="11" t="s">
        <v>31</v>
      </c>
      <c r="C106" s="21">
        <v>10</v>
      </c>
      <c r="D106" s="21">
        <v>3850000</v>
      </c>
      <c r="E106" s="21">
        <v>213471.23333333357</v>
      </c>
      <c r="F106" s="21">
        <v>-304589.60315823631</v>
      </c>
      <c r="G106" s="12">
        <f>D106+Table841419410132427323943485356[[#This Row],[LỢI NHUẬN RÒNG]]</f>
        <v>3545410.3968417635</v>
      </c>
    </row>
    <row r="107" spans="1:7" hidden="1" x14ac:dyDescent="0.3">
      <c r="A107" s="23" t="s">
        <v>50</v>
      </c>
      <c r="B107" s="11" t="s">
        <v>33</v>
      </c>
      <c r="C107" s="21">
        <v>5</v>
      </c>
      <c r="D107" s="21">
        <v>1925000</v>
      </c>
      <c r="E107" s="21">
        <v>106735.61666666679</v>
      </c>
      <c r="F107" s="21">
        <v>-152294.80157911815</v>
      </c>
      <c r="G107" s="12">
        <f>D107+Table841419410132427323943485356[[#This Row],[LỢI NHUẬN RÒNG]]</f>
        <v>1772705.1984208818</v>
      </c>
    </row>
    <row r="108" spans="1:7" hidden="1" x14ac:dyDescent="0.3">
      <c r="A108" s="23" t="s">
        <v>50</v>
      </c>
      <c r="B108" s="11" t="s">
        <v>21</v>
      </c>
      <c r="C108" s="21">
        <v>30</v>
      </c>
      <c r="D108" s="21">
        <v>11550000</v>
      </c>
      <c r="E108" s="21">
        <v>640413.70000000077</v>
      </c>
      <c r="F108" s="21">
        <v>-913768.80947470886</v>
      </c>
      <c r="G108" s="12">
        <f>D108+Table841419410132427323943485356[[#This Row],[LỢI NHUẬN RÒNG]]</f>
        <v>10636231.190525291</v>
      </c>
    </row>
    <row r="109" spans="1:7" hidden="1" x14ac:dyDescent="0.3">
      <c r="A109" s="23" t="s">
        <v>50</v>
      </c>
      <c r="B109" s="11" t="s">
        <v>13</v>
      </c>
      <c r="C109" s="21">
        <v>5</v>
      </c>
      <c r="D109" s="21">
        <v>1925000</v>
      </c>
      <c r="E109" s="21">
        <v>106735.61666666679</v>
      </c>
      <c r="F109" s="21">
        <v>-152294.80157911815</v>
      </c>
      <c r="G109" s="12">
        <f>D109+Table841419410132427323943485356[[#This Row],[LỢI NHUẬN RÒNG]]</f>
        <v>1772705.1984208818</v>
      </c>
    </row>
    <row r="110" spans="1:7" hidden="1" x14ac:dyDescent="0.3">
      <c r="A110" s="23" t="s">
        <v>50</v>
      </c>
      <c r="B110" s="11" t="s">
        <v>35</v>
      </c>
      <c r="C110" s="21">
        <v>5</v>
      </c>
      <c r="D110" s="21">
        <v>1925000</v>
      </c>
      <c r="E110" s="21">
        <v>106735.61666666679</v>
      </c>
      <c r="F110" s="21">
        <v>-152294.80157911815</v>
      </c>
      <c r="G110" s="12">
        <f>D110+Table841419410132427323943485356[[#This Row],[LỢI NHUẬN RÒNG]]</f>
        <v>1772705.1984208818</v>
      </c>
    </row>
    <row r="111" spans="1:7" hidden="1" x14ac:dyDescent="0.3">
      <c r="A111" s="23" t="s">
        <v>50</v>
      </c>
      <c r="B111" s="21" t="s">
        <v>10</v>
      </c>
      <c r="C111" s="21">
        <v>5</v>
      </c>
      <c r="D111" s="21">
        <v>1925000</v>
      </c>
      <c r="E111" s="21">
        <v>106735.61666666679</v>
      </c>
      <c r="F111" s="21">
        <v>-152294.80157911815</v>
      </c>
      <c r="G111" s="12">
        <f>D111+Table841419410132427323943485356[[#This Row],[LỢI NHUẬN RÒNG]]</f>
        <v>1772705.1984208818</v>
      </c>
    </row>
    <row r="112" spans="1:7" x14ac:dyDescent="0.3">
      <c r="A112" s="23" t="s">
        <v>51</v>
      </c>
      <c r="B112" s="21" t="s">
        <v>37</v>
      </c>
      <c r="C112" s="21">
        <v>5</v>
      </c>
      <c r="D112" s="21">
        <v>1200000</v>
      </c>
      <c r="E112" s="21">
        <v>91613.016666666605</v>
      </c>
      <c r="F112" s="21">
        <v>-150996.26173864902</v>
      </c>
      <c r="G112" s="12">
        <f>D112+Table841419410132427323943485356[[#This Row],[LỢI NHUẬN RÒNG]]</f>
        <v>1049003.7382613509</v>
      </c>
    </row>
    <row r="113" spans="1:7" hidden="1" x14ac:dyDescent="0.3">
      <c r="A113" s="23" t="s">
        <v>51</v>
      </c>
      <c r="B113" s="11" t="s">
        <v>19</v>
      </c>
      <c r="C113" s="21">
        <v>30</v>
      </c>
      <c r="D113" s="21">
        <v>7200000</v>
      </c>
      <c r="E113" s="21">
        <v>549678.09999999963</v>
      </c>
      <c r="F113" s="21">
        <v>-905977.57043189404</v>
      </c>
      <c r="G113" s="12">
        <f>D113+Table841419410132427323943485356[[#This Row],[LỢI NHUẬN RÒNG]]</f>
        <v>6294022.4295681063</v>
      </c>
    </row>
    <row r="114" spans="1:7" hidden="1" x14ac:dyDescent="0.3">
      <c r="A114" s="23" t="s">
        <v>51</v>
      </c>
      <c r="B114" s="21" t="s">
        <v>23</v>
      </c>
      <c r="C114" s="21">
        <v>5</v>
      </c>
      <c r="D114" s="21">
        <v>1200000</v>
      </c>
      <c r="E114" s="21">
        <v>91613.016666666605</v>
      </c>
      <c r="F114" s="21">
        <v>-150996.26173864902</v>
      </c>
      <c r="G114" s="12">
        <f>D114+Table841419410132427323943485356[[#This Row],[LỢI NHUẬN RÒNG]]</f>
        <v>1049003.7382613509</v>
      </c>
    </row>
    <row r="115" spans="1:7" hidden="1" x14ac:dyDescent="0.3">
      <c r="A115" s="23" t="s">
        <v>51</v>
      </c>
      <c r="B115" s="11" t="s">
        <v>31</v>
      </c>
      <c r="C115" s="11">
        <v>10</v>
      </c>
      <c r="D115" s="11">
        <v>2400000</v>
      </c>
      <c r="E115" s="11">
        <v>183226.03333333321</v>
      </c>
      <c r="F115" s="11">
        <v>-301992.52347729803</v>
      </c>
      <c r="G115" s="12">
        <f>D115+Table841419410132427323943485356[[#This Row],[LỢI NHUẬN RÒNG]]</f>
        <v>2098007.4765227018</v>
      </c>
    </row>
    <row r="116" spans="1:7" hidden="1" x14ac:dyDescent="0.3">
      <c r="A116" s="23" t="s">
        <v>51</v>
      </c>
      <c r="B116" s="11" t="s">
        <v>33</v>
      </c>
      <c r="C116" s="11">
        <v>5</v>
      </c>
      <c r="D116" s="11">
        <v>1200000</v>
      </c>
      <c r="E116" s="11">
        <v>91613.016666666605</v>
      </c>
      <c r="F116" s="11">
        <v>-150996.26173864902</v>
      </c>
      <c r="G116" s="12">
        <f>D116+Table841419410132427323943485356[[#This Row],[LỢI NHUẬN RÒNG]]</f>
        <v>1049003.7382613509</v>
      </c>
    </row>
    <row r="117" spans="1:7" hidden="1" x14ac:dyDescent="0.3">
      <c r="A117" s="23" t="s">
        <v>51</v>
      </c>
      <c r="B117" s="11" t="s">
        <v>21</v>
      </c>
      <c r="C117" s="11">
        <v>30</v>
      </c>
      <c r="D117" s="11">
        <v>7200000</v>
      </c>
      <c r="E117" s="11">
        <v>549678.09999999963</v>
      </c>
      <c r="F117" s="11">
        <v>-905977.57043189404</v>
      </c>
      <c r="G117" s="12">
        <f>D117+Table841419410132427323943485356[[#This Row],[LỢI NHUẬN RÒNG]]</f>
        <v>6294022.4295681063</v>
      </c>
    </row>
    <row r="118" spans="1:7" hidden="1" x14ac:dyDescent="0.3">
      <c r="A118" s="23" t="s">
        <v>51</v>
      </c>
      <c r="B118" s="11" t="s">
        <v>13</v>
      </c>
      <c r="C118" s="11">
        <v>5</v>
      </c>
      <c r="D118" s="11">
        <v>1200000</v>
      </c>
      <c r="E118" s="11">
        <v>91613.016666666605</v>
      </c>
      <c r="F118" s="11">
        <v>-150996.26173864902</v>
      </c>
      <c r="G118" s="12">
        <f>D118+Table841419410132427323943485356[[#This Row],[LỢI NHUẬN RÒNG]]</f>
        <v>1049003.7382613509</v>
      </c>
    </row>
    <row r="119" spans="1:7" hidden="1" x14ac:dyDescent="0.3">
      <c r="A119" s="23" t="s">
        <v>51</v>
      </c>
      <c r="B119" s="11" t="s">
        <v>35</v>
      </c>
      <c r="C119" s="11">
        <v>5</v>
      </c>
      <c r="D119" s="11">
        <v>1200000</v>
      </c>
      <c r="E119" s="11">
        <v>91613.016666666605</v>
      </c>
      <c r="F119" s="11">
        <v>-150996.26173864902</v>
      </c>
      <c r="G119" s="12">
        <f>D119+Table841419410132427323943485356[[#This Row],[LỢI NHUẬN RÒNG]]</f>
        <v>1049003.7382613509</v>
      </c>
    </row>
    <row r="120" spans="1:7" hidden="1" x14ac:dyDescent="0.3">
      <c r="A120" s="23" t="s">
        <v>51</v>
      </c>
      <c r="B120" s="21" t="s">
        <v>10</v>
      </c>
      <c r="C120" s="21">
        <v>5</v>
      </c>
      <c r="D120" s="21">
        <v>1200000</v>
      </c>
      <c r="E120" s="21">
        <v>91613.016666666605</v>
      </c>
      <c r="F120" s="21">
        <v>-150996.26173864902</v>
      </c>
      <c r="G120" s="12">
        <f>D120+Table841419410132427323943485356[[#This Row],[LỢI NHUẬN RÒNG]]</f>
        <v>1049003.7382613509</v>
      </c>
    </row>
    <row r="121" spans="1:7" hidden="1" x14ac:dyDescent="0.3">
      <c r="A121" s="26" t="s">
        <v>52</v>
      </c>
      <c r="B121" s="11" t="s">
        <v>27</v>
      </c>
      <c r="C121" s="11">
        <v>35</v>
      </c>
      <c r="D121" s="11">
        <v>4900000</v>
      </c>
      <c r="E121" s="11">
        <v>2771770.05</v>
      </c>
      <c r="F121" s="11">
        <v>1948371.9623785415</v>
      </c>
      <c r="G121" s="12">
        <f>D121+Table841419410132427323943485356[[#This Row],[LỢI NHUẬN RÒNG]]</f>
        <v>6848371.962378541</v>
      </c>
    </row>
    <row r="122" spans="1:7" hidden="1" x14ac:dyDescent="0.3">
      <c r="A122" s="26" t="s">
        <v>52</v>
      </c>
      <c r="B122" s="11" t="s">
        <v>19</v>
      </c>
      <c r="C122" s="11">
        <v>10</v>
      </c>
      <c r="D122" s="11">
        <v>1400000</v>
      </c>
      <c r="E122" s="11">
        <v>791934.3</v>
      </c>
      <c r="F122" s="11">
        <v>556677.70353672619</v>
      </c>
      <c r="G122" s="12">
        <f>D122+Table841419410132427323943485356[[#This Row],[LỢI NHUẬN RÒNG]]</f>
        <v>1956677.7035367261</v>
      </c>
    </row>
    <row r="123" spans="1:7" hidden="1" x14ac:dyDescent="0.3">
      <c r="A123" s="26" t="s">
        <v>52</v>
      </c>
      <c r="B123" s="11" t="s">
        <v>23</v>
      </c>
      <c r="C123" s="11">
        <v>10</v>
      </c>
      <c r="D123" s="11">
        <v>1400000</v>
      </c>
      <c r="E123" s="11">
        <v>791934.3</v>
      </c>
      <c r="F123" s="11">
        <v>556677.70353672619</v>
      </c>
      <c r="G123" s="12">
        <f>D123+Table841419410132427323943485356[[#This Row],[LỢI NHUẬN RÒNG]]</f>
        <v>1956677.7035367261</v>
      </c>
    </row>
    <row r="124" spans="1:7" hidden="1" x14ac:dyDescent="0.3">
      <c r="A124" s="26" t="s">
        <v>52</v>
      </c>
      <c r="B124" s="11" t="s">
        <v>31</v>
      </c>
      <c r="C124" s="11">
        <v>10</v>
      </c>
      <c r="D124" s="11">
        <v>1400000</v>
      </c>
      <c r="E124" s="11">
        <v>791934.3</v>
      </c>
      <c r="F124" s="11">
        <v>556677.70353672619</v>
      </c>
      <c r="G124" s="12">
        <f>D124+Table841419410132427323943485356[[#This Row],[LỢI NHUẬN RÒNG]]</f>
        <v>1956677.7035367261</v>
      </c>
    </row>
    <row r="125" spans="1:7" hidden="1" x14ac:dyDescent="0.3">
      <c r="A125" s="26" t="s">
        <v>52</v>
      </c>
      <c r="B125" s="24" t="s">
        <v>15</v>
      </c>
      <c r="C125" s="11">
        <v>5</v>
      </c>
      <c r="D125" s="11">
        <v>700000</v>
      </c>
      <c r="E125" s="11">
        <v>395967.15</v>
      </c>
      <c r="F125" s="11">
        <v>278338.85176836309</v>
      </c>
      <c r="G125" s="12">
        <f>D125+Table841419410132427323943485356[[#This Row],[LỢI NHUẬN RÒNG]]</f>
        <v>978338.85176836303</v>
      </c>
    </row>
    <row r="126" spans="1:7" hidden="1" x14ac:dyDescent="0.3">
      <c r="A126" s="26" t="s">
        <v>52</v>
      </c>
      <c r="B126" s="11" t="s">
        <v>13</v>
      </c>
      <c r="C126" s="11">
        <v>20</v>
      </c>
      <c r="D126" s="11">
        <v>2800000</v>
      </c>
      <c r="E126" s="11">
        <v>1583868.6</v>
      </c>
      <c r="F126" s="11">
        <v>1113355.4070734524</v>
      </c>
      <c r="G126" s="12">
        <f>D126+Table841419410132427323943485356[[#This Row],[LỢI NHUẬN RÒNG]]</f>
        <v>3913355.4070734521</v>
      </c>
    </row>
    <row r="127" spans="1:7" hidden="1" x14ac:dyDescent="0.3">
      <c r="A127" s="26" t="s">
        <v>52</v>
      </c>
      <c r="B127" s="21" t="s">
        <v>25</v>
      </c>
      <c r="C127" s="21">
        <v>10</v>
      </c>
      <c r="D127" s="21">
        <v>1400000</v>
      </c>
      <c r="E127" s="21">
        <v>791934.3</v>
      </c>
      <c r="F127" s="21">
        <v>556677.70353672619</v>
      </c>
      <c r="G127" s="12">
        <f>D127+Table841419410132427323943485356[[#This Row],[LỢI NHUẬN RÒNG]]</f>
        <v>1956677.7035367261</v>
      </c>
    </row>
    <row r="128" spans="1:7" hidden="1" x14ac:dyDescent="0.3">
      <c r="A128" s="26" t="s">
        <v>53</v>
      </c>
      <c r="B128" s="11" t="s">
        <v>21</v>
      </c>
      <c r="C128" s="11">
        <v>20</v>
      </c>
      <c r="D128" s="11">
        <v>8660000</v>
      </c>
      <c r="E128" s="11">
        <v>1921159.4</v>
      </c>
      <c r="F128" s="11">
        <v>1213198.3266149119</v>
      </c>
      <c r="G128" s="12">
        <f>D128+Table841419410132427323943485356[[#This Row],[LỢI NHUẬN RÒNG]]</f>
        <v>9873198.3266149126</v>
      </c>
    </row>
    <row r="129" spans="1:7" hidden="1" x14ac:dyDescent="0.3">
      <c r="A129" s="26" t="s">
        <v>53</v>
      </c>
      <c r="B129" s="11" t="s">
        <v>19</v>
      </c>
      <c r="C129" s="11">
        <v>10</v>
      </c>
      <c r="D129" s="11">
        <v>4330000</v>
      </c>
      <c r="E129" s="11">
        <v>960579.7</v>
      </c>
      <c r="F129" s="11">
        <v>606599.16330745595</v>
      </c>
      <c r="G129" s="12">
        <f>D129+Table841419410132427323943485356[[#This Row],[LỢI NHUẬN RÒNG]]</f>
        <v>4936599.1633074563</v>
      </c>
    </row>
    <row r="130" spans="1:7" hidden="1" x14ac:dyDescent="0.3">
      <c r="A130" s="26" t="s">
        <v>53</v>
      </c>
      <c r="B130" s="11" t="s">
        <v>23</v>
      </c>
      <c r="C130" s="11">
        <v>10</v>
      </c>
      <c r="D130" s="11">
        <v>4330000</v>
      </c>
      <c r="E130" s="11">
        <v>960579.7</v>
      </c>
      <c r="F130" s="11">
        <v>606599.16330745595</v>
      </c>
      <c r="G130" s="12">
        <f>D130+Table841419410132427323943485356[[#This Row],[LỢI NHUẬN RÒNG]]</f>
        <v>4936599.1633074563</v>
      </c>
    </row>
    <row r="131" spans="1:7" hidden="1" x14ac:dyDescent="0.3">
      <c r="A131" s="26" t="s">
        <v>53</v>
      </c>
      <c r="B131" s="11" t="s">
        <v>31</v>
      </c>
      <c r="C131" s="11">
        <v>20</v>
      </c>
      <c r="D131" s="11">
        <v>8660000</v>
      </c>
      <c r="E131" s="11">
        <v>1921159.4</v>
      </c>
      <c r="F131" s="11">
        <v>1213198.3266149119</v>
      </c>
      <c r="G131" s="12">
        <f>D131+Table841419410132427323943485356[[#This Row],[LỢI NHUẬN RÒNG]]</f>
        <v>9873198.3266149126</v>
      </c>
    </row>
    <row r="132" spans="1:7" hidden="1" x14ac:dyDescent="0.3">
      <c r="A132" s="26" t="s">
        <v>53</v>
      </c>
      <c r="B132" s="24" t="s">
        <v>15</v>
      </c>
      <c r="C132" s="11">
        <v>5</v>
      </c>
      <c r="D132" s="11">
        <v>2165000</v>
      </c>
      <c r="E132" s="11">
        <v>480289.85</v>
      </c>
      <c r="F132" s="11">
        <v>303299.58165372798</v>
      </c>
      <c r="G132" s="12">
        <f>D132+Table841419410132427323943485356[[#This Row],[LỢI NHUẬN RÒNG]]</f>
        <v>2468299.5816537281</v>
      </c>
    </row>
    <row r="133" spans="1:7" hidden="1" x14ac:dyDescent="0.3">
      <c r="A133" s="26" t="s">
        <v>53</v>
      </c>
      <c r="B133" s="11" t="s">
        <v>13</v>
      </c>
      <c r="C133" s="11">
        <v>10</v>
      </c>
      <c r="D133" s="11">
        <v>4330000</v>
      </c>
      <c r="E133" s="11">
        <v>960579.7</v>
      </c>
      <c r="F133" s="11">
        <v>606599.16330745595</v>
      </c>
      <c r="G133" s="12">
        <f>D133+Table841419410132427323943485356[[#This Row],[LỢI NHUẬN RÒNG]]</f>
        <v>4936599.1633074563</v>
      </c>
    </row>
    <row r="134" spans="1:7" hidden="1" x14ac:dyDescent="0.3">
      <c r="A134" s="26" t="s">
        <v>53</v>
      </c>
      <c r="B134" s="11" t="s">
        <v>33</v>
      </c>
      <c r="C134" s="11">
        <v>5</v>
      </c>
      <c r="D134" s="11">
        <v>2165000</v>
      </c>
      <c r="E134" s="11">
        <v>480289.85</v>
      </c>
      <c r="F134" s="11">
        <v>303299.58165372798</v>
      </c>
      <c r="G134" s="12">
        <f>D134+Table841419410132427323943485356[[#This Row],[LỢI NHUẬN RÒNG]]</f>
        <v>2468299.5816537281</v>
      </c>
    </row>
    <row r="135" spans="1:7" hidden="1" x14ac:dyDescent="0.3">
      <c r="A135" s="26" t="s">
        <v>53</v>
      </c>
      <c r="B135" s="11" t="s">
        <v>10</v>
      </c>
      <c r="C135" s="11">
        <v>5</v>
      </c>
      <c r="D135" s="11">
        <v>2165000</v>
      </c>
      <c r="E135" s="11">
        <v>480289.85</v>
      </c>
      <c r="F135" s="11">
        <v>303299.58165372798</v>
      </c>
      <c r="G135" s="12">
        <f>D135+Table841419410132427323943485356[[#This Row],[LỢI NHUẬN RÒNG]]</f>
        <v>2468299.5816537281</v>
      </c>
    </row>
    <row r="136" spans="1:7" x14ac:dyDescent="0.3">
      <c r="A136" s="26" t="s">
        <v>53</v>
      </c>
      <c r="B136" s="21" t="s">
        <v>37</v>
      </c>
      <c r="C136" s="11">
        <v>15</v>
      </c>
      <c r="D136" s="11">
        <v>6495000</v>
      </c>
      <c r="E136" s="11">
        <v>1440869.55</v>
      </c>
      <c r="F136" s="11">
        <v>909898.74496118398</v>
      </c>
      <c r="G136" s="12">
        <f>D136+Table841419410132427323943485356[[#This Row],[LỢI NHUẬN RÒNG]]</f>
        <v>7404898.7449611835</v>
      </c>
    </row>
    <row r="137" spans="1:7" hidden="1" x14ac:dyDescent="0.3">
      <c r="A137" s="26" t="s">
        <v>54</v>
      </c>
      <c r="B137" s="11" t="s">
        <v>19</v>
      </c>
      <c r="C137" s="11">
        <v>10</v>
      </c>
      <c r="D137" s="11">
        <v>1050000</v>
      </c>
      <c r="E137" s="11">
        <v>863048.3</v>
      </c>
      <c r="F137" s="11">
        <v>641292.58175563603</v>
      </c>
      <c r="G137" s="12">
        <f>D137+Table841419410132427323943485356[[#This Row],[LỢI NHUẬN RÒNG]]</f>
        <v>1691292.581755636</v>
      </c>
    </row>
    <row r="138" spans="1:7" hidden="1" x14ac:dyDescent="0.3">
      <c r="A138" s="26" t="s">
        <v>54</v>
      </c>
      <c r="B138" s="11" t="s">
        <v>33</v>
      </c>
      <c r="C138" s="11">
        <v>10</v>
      </c>
      <c r="D138" s="11">
        <v>1050000</v>
      </c>
      <c r="E138" s="11">
        <v>863048.3</v>
      </c>
      <c r="F138" s="11">
        <v>641292.58175563603</v>
      </c>
      <c r="G138" s="12">
        <f>D138+Table841419410132427323943485356[[#This Row],[LỢI NHUẬN RÒNG]]</f>
        <v>1691292.581755636</v>
      </c>
    </row>
    <row r="139" spans="1:7" hidden="1" x14ac:dyDescent="0.3">
      <c r="A139" s="26" t="s">
        <v>54</v>
      </c>
      <c r="B139" s="11" t="s">
        <v>31</v>
      </c>
      <c r="C139" s="11">
        <v>45</v>
      </c>
      <c r="D139" s="11">
        <v>4725000</v>
      </c>
      <c r="E139" s="11">
        <v>3883717.35</v>
      </c>
      <c r="F139" s="11">
        <v>2885816.6179003627</v>
      </c>
      <c r="G139" s="12">
        <f>D139+Table841419410132427323943485356[[#This Row],[LỢI NHUẬN RÒNG]]</f>
        <v>7610816.6179003622</v>
      </c>
    </row>
    <row r="140" spans="1:7" hidden="1" x14ac:dyDescent="0.3">
      <c r="A140" s="26" t="s">
        <v>54</v>
      </c>
      <c r="B140" s="24" t="s">
        <v>15</v>
      </c>
      <c r="C140" s="11">
        <v>10</v>
      </c>
      <c r="D140" s="11">
        <v>1050000</v>
      </c>
      <c r="E140" s="11">
        <v>863048.3</v>
      </c>
      <c r="F140" s="11">
        <v>641292.58175563603</v>
      </c>
      <c r="G140" s="12">
        <f>D140+Table841419410132427323943485356[[#This Row],[LỢI NHUẬN RÒNG]]</f>
        <v>1691292.581755636</v>
      </c>
    </row>
    <row r="141" spans="1:7" hidden="1" x14ac:dyDescent="0.3">
      <c r="A141" s="26" t="s">
        <v>34</v>
      </c>
      <c r="B141" s="24" t="s">
        <v>17</v>
      </c>
      <c r="C141" s="21">
        <v>10</v>
      </c>
      <c r="D141" s="21">
        <v>3080000</v>
      </c>
      <c r="E141" s="21">
        <v>1332764.2</v>
      </c>
      <c r="F141" s="21">
        <v>1031651.003986711</v>
      </c>
      <c r="G141" s="12">
        <f>D141+Table841419410132427323943485356[[#This Row],[LỢI NHUẬN RÒNG]]</f>
        <v>4111651.0039867111</v>
      </c>
    </row>
    <row r="142" spans="1:7" hidden="1" x14ac:dyDescent="0.3">
      <c r="A142" s="26" t="s">
        <v>54</v>
      </c>
      <c r="B142" s="24" t="s">
        <v>17</v>
      </c>
      <c r="C142" s="21">
        <v>10</v>
      </c>
      <c r="D142" s="21">
        <v>1050000</v>
      </c>
      <c r="E142" s="21">
        <v>863048.3</v>
      </c>
      <c r="F142" s="21">
        <v>641292.58175563603</v>
      </c>
      <c r="G142" s="12">
        <f>D142+Table841419410132427323943485356[[#This Row],[LỢI NHUẬN RÒNG]]</f>
        <v>1691292.581755636</v>
      </c>
    </row>
    <row r="143" spans="1:7" hidden="1" x14ac:dyDescent="0.3">
      <c r="A143" s="26" t="s">
        <v>54</v>
      </c>
      <c r="B143" s="21" t="s">
        <v>25</v>
      </c>
      <c r="C143" s="21">
        <v>15</v>
      </c>
      <c r="D143" s="21">
        <v>1575000</v>
      </c>
      <c r="E143" s="21">
        <v>1294572.45</v>
      </c>
      <c r="F143" s="21">
        <v>961938.87263345404</v>
      </c>
      <c r="G143" s="12">
        <f>D143+Table841419410132427323943485356[[#This Row],[LỢI NHUẬN RÒNG]]</f>
        <v>2536938.8726334539</v>
      </c>
    </row>
    <row r="144" spans="1:7" hidden="1" x14ac:dyDescent="0.3">
      <c r="A144" s="23" t="s">
        <v>55</v>
      </c>
      <c r="B144" s="11" t="s">
        <v>9</v>
      </c>
      <c r="C144" s="21">
        <v>20</v>
      </c>
      <c r="D144" s="21">
        <v>8400000</v>
      </c>
      <c r="E144" s="21">
        <v>3587465.1333333324</v>
      </c>
      <c r="F144" s="21">
        <v>2513243.0511917174</v>
      </c>
      <c r="G144" s="12">
        <f>D144+Table841419410132427323943485356[[#This Row],[LỢI NHUẬN RÒNG]]</f>
        <v>10913243.051191717</v>
      </c>
    </row>
    <row r="145" spans="1:10" hidden="1" x14ac:dyDescent="0.3">
      <c r="A145" s="23" t="s">
        <v>55</v>
      </c>
      <c r="B145" s="21" t="s">
        <v>19</v>
      </c>
      <c r="C145" s="21">
        <v>15</v>
      </c>
      <c r="D145" s="21">
        <v>6300000</v>
      </c>
      <c r="E145" s="21">
        <v>2690598.8499999996</v>
      </c>
      <c r="F145" s="21">
        <v>1884932.288393788</v>
      </c>
      <c r="G145" s="12">
        <f>D145+Table841419410132427323943485356[[#This Row],[LỢI NHUẬN RÒNG]]</f>
        <v>8184932.288393788</v>
      </c>
    </row>
    <row r="146" spans="1:10" hidden="1" x14ac:dyDescent="0.3">
      <c r="A146" s="23" t="s">
        <v>55</v>
      </c>
      <c r="B146" s="24" t="s">
        <v>15</v>
      </c>
      <c r="C146" s="21">
        <v>10</v>
      </c>
      <c r="D146" s="21">
        <v>4200000</v>
      </c>
      <c r="E146" s="21">
        <v>1793732.5666666662</v>
      </c>
      <c r="F146" s="21">
        <v>1256621.5255958587</v>
      </c>
      <c r="G146" s="12">
        <f>D146+Table841419410132427323943485356[[#This Row],[LỢI NHUẬN RÒNG]]</f>
        <v>5456621.5255958587</v>
      </c>
      <c r="I146" s="11"/>
    </row>
    <row r="147" spans="1:10" hidden="1" x14ac:dyDescent="0.3">
      <c r="A147" s="23" t="s">
        <v>55</v>
      </c>
      <c r="B147" s="11" t="s">
        <v>21</v>
      </c>
      <c r="C147" s="21">
        <v>30</v>
      </c>
      <c r="D147" s="21">
        <v>12600000</v>
      </c>
      <c r="E147" s="21">
        <v>5381197.6999999993</v>
      </c>
      <c r="F147" s="21">
        <v>3769864.5767875761</v>
      </c>
      <c r="G147" s="12">
        <f>D147+Table841419410132427323943485356[[#This Row],[LỢI NHUẬN RÒNG]]</f>
        <v>16369864.576787576</v>
      </c>
    </row>
    <row r="148" spans="1:10" hidden="1" x14ac:dyDescent="0.3">
      <c r="A148" s="23" t="s">
        <v>55</v>
      </c>
      <c r="B148" s="21" t="s">
        <v>10</v>
      </c>
      <c r="C148" s="21">
        <v>10</v>
      </c>
      <c r="D148" s="21">
        <v>4200000</v>
      </c>
      <c r="E148" s="21">
        <v>1793732.5666666662</v>
      </c>
      <c r="F148" s="21">
        <v>1256621.5255958587</v>
      </c>
      <c r="G148" s="12">
        <f>D148+Table841419410132427323943485356[[#This Row],[LỢI NHUẬN RÒNG]]</f>
        <v>5456621.5255958587</v>
      </c>
    </row>
    <row r="149" spans="1:10" hidden="1" x14ac:dyDescent="0.3">
      <c r="A149" s="23" t="s">
        <v>55</v>
      </c>
      <c r="B149" s="11" t="s">
        <v>13</v>
      </c>
      <c r="C149" s="21">
        <v>15</v>
      </c>
      <c r="D149" s="21">
        <v>6300000</v>
      </c>
      <c r="E149" s="21">
        <v>2690598.8499999996</v>
      </c>
      <c r="F149" s="21">
        <v>1884932.288393788</v>
      </c>
      <c r="G149" s="12">
        <f>D149+Table841419410132427323943485356[[#This Row],[LỢI NHUẬN RÒNG]]</f>
        <v>8184932.288393788</v>
      </c>
      <c r="H149" s="11"/>
    </row>
    <row r="150" spans="1:10" hidden="1" x14ac:dyDescent="0.3">
      <c r="A150" s="23" t="s">
        <v>56</v>
      </c>
      <c r="B150" s="11" t="s">
        <v>9</v>
      </c>
      <c r="C150" s="21">
        <v>10</v>
      </c>
      <c r="D150" s="21">
        <v>2850000</v>
      </c>
      <c r="E150" s="21">
        <v>1295557.3</v>
      </c>
      <c r="F150" s="21">
        <v>534175.2328951254</v>
      </c>
      <c r="G150" s="12">
        <f>D150+Table841419410132427323943485356[[#This Row],[LỢI NHUẬN RÒNG]]</f>
        <v>3384175.2328951256</v>
      </c>
      <c r="H150" s="11"/>
    </row>
    <row r="151" spans="1:10" hidden="1" x14ac:dyDescent="0.3">
      <c r="A151" s="23" t="s">
        <v>56</v>
      </c>
      <c r="B151" s="21" t="s">
        <v>19</v>
      </c>
      <c r="C151" s="21">
        <v>10</v>
      </c>
      <c r="D151" s="21">
        <v>2850000</v>
      </c>
      <c r="E151" s="21">
        <v>1295557.3</v>
      </c>
      <c r="F151" s="21">
        <v>534175.2328951254</v>
      </c>
      <c r="G151" s="12">
        <f>D151+Table841419410132427323943485356[[#This Row],[LỢI NHUẬN RÒNG]]</f>
        <v>3384175.2328951256</v>
      </c>
      <c r="H151" s="11"/>
    </row>
    <row r="152" spans="1:10" hidden="1" x14ac:dyDescent="0.3">
      <c r="A152" s="23" t="s">
        <v>56</v>
      </c>
      <c r="B152" s="21" t="s">
        <v>23</v>
      </c>
      <c r="C152" s="21">
        <v>10</v>
      </c>
      <c r="D152" s="21">
        <v>2850000</v>
      </c>
      <c r="E152" s="21">
        <v>1295557.3</v>
      </c>
      <c r="F152" s="21">
        <v>534175.2328951254</v>
      </c>
      <c r="G152" s="12">
        <f>D152+Table841419410132427323943485356[[#This Row],[LỢI NHUẬN RÒNG]]</f>
        <v>3384175.2328951256</v>
      </c>
      <c r="H152" s="11"/>
      <c r="J152" s="11"/>
    </row>
    <row r="153" spans="1:10" hidden="1" x14ac:dyDescent="0.3">
      <c r="A153" s="23" t="s">
        <v>56</v>
      </c>
      <c r="B153" s="21" t="s">
        <v>31</v>
      </c>
      <c r="C153" s="21">
        <v>20</v>
      </c>
      <c r="D153" s="21">
        <v>5700000</v>
      </c>
      <c r="E153" s="21">
        <v>2591114.6</v>
      </c>
      <c r="F153" s="21">
        <v>1068350.4657902508</v>
      </c>
      <c r="G153" s="12">
        <f>D153+Table841419410132427323943485356[[#This Row],[LỢI NHUẬN RÒNG]]</f>
        <v>6768350.4657902513</v>
      </c>
      <c r="H153" s="11"/>
    </row>
    <row r="154" spans="1:10" hidden="1" x14ac:dyDescent="0.3">
      <c r="A154" s="23" t="s">
        <v>56</v>
      </c>
      <c r="B154" s="11" t="s">
        <v>21</v>
      </c>
      <c r="C154" s="21">
        <v>20</v>
      </c>
      <c r="D154" s="21">
        <v>5700000</v>
      </c>
      <c r="E154" s="21">
        <v>2591114.6</v>
      </c>
      <c r="F154" s="21">
        <v>1068350.4657902508</v>
      </c>
      <c r="G154" s="12">
        <f>D154+Table841419410132427323943485356[[#This Row],[LỢI NHUẬN RÒNG]]</f>
        <v>6768350.4657902513</v>
      </c>
      <c r="H154" s="11"/>
    </row>
    <row r="155" spans="1:10" hidden="1" x14ac:dyDescent="0.3">
      <c r="A155" s="23" t="s">
        <v>56</v>
      </c>
      <c r="B155" s="11" t="s">
        <v>13</v>
      </c>
      <c r="C155" s="21">
        <v>10</v>
      </c>
      <c r="D155" s="21">
        <v>2850000</v>
      </c>
      <c r="E155" s="21">
        <v>1295557.3</v>
      </c>
      <c r="F155" s="21">
        <v>534175.2328951254</v>
      </c>
      <c r="G155" s="12">
        <f>D155+Table841419410132427323943485356[[#This Row],[LỢI NHUẬN RÒNG]]</f>
        <v>3384175.2328951256</v>
      </c>
      <c r="H155" s="11"/>
    </row>
    <row r="156" spans="1:10" hidden="1" x14ac:dyDescent="0.3">
      <c r="A156" s="23" t="s">
        <v>56</v>
      </c>
      <c r="B156" s="21" t="s">
        <v>10</v>
      </c>
      <c r="C156" s="21">
        <v>10</v>
      </c>
      <c r="D156" s="21">
        <v>2850000</v>
      </c>
      <c r="E156" s="21">
        <v>1295557.3</v>
      </c>
      <c r="F156" s="21">
        <v>534175.2328951254</v>
      </c>
      <c r="G156" s="12">
        <f>D156+Table841419410132427323943485356[[#This Row],[LỢI NHUẬN RÒNG]]</f>
        <v>3384175.2328951256</v>
      </c>
      <c r="H156" s="11"/>
    </row>
    <row r="157" spans="1:10" hidden="1" x14ac:dyDescent="0.3">
      <c r="A157" s="23" t="s">
        <v>56</v>
      </c>
      <c r="B157" s="21" t="s">
        <v>29</v>
      </c>
      <c r="C157" s="21">
        <v>10</v>
      </c>
      <c r="D157" s="21">
        <v>2850000</v>
      </c>
      <c r="E157" s="21">
        <v>1295557.3</v>
      </c>
      <c r="F157" s="21">
        <v>534175.2328951254</v>
      </c>
      <c r="G157" s="12">
        <f>D157+Table841419410132427323943485356[[#This Row],[LỢI NHUẬN RÒNG]]</f>
        <v>3384175.2328951256</v>
      </c>
      <c r="H157" s="11"/>
    </row>
    <row r="158" spans="1:10" hidden="1" x14ac:dyDescent="0.3">
      <c r="A158" s="23" t="s">
        <v>57</v>
      </c>
      <c r="B158" s="21" t="s">
        <v>19</v>
      </c>
      <c r="C158" s="21">
        <v>30</v>
      </c>
      <c r="D158" s="21">
        <v>12000000</v>
      </c>
      <c r="E158" s="21">
        <v>3183534.4199999995</v>
      </c>
      <c r="F158" s="21">
        <v>2301809.5328041501</v>
      </c>
      <c r="G158" s="12">
        <f>D158+Table841419410132427323943485356[[#This Row],[LỢI NHUẬN RÒNG]]</f>
        <v>14301809.53280415</v>
      </c>
      <c r="H158" s="11"/>
    </row>
    <row r="159" spans="1:10" x14ac:dyDescent="0.3">
      <c r="A159" s="23" t="s">
        <v>57</v>
      </c>
      <c r="B159" s="21" t="s">
        <v>37</v>
      </c>
      <c r="C159" s="21">
        <v>5</v>
      </c>
      <c r="D159" s="21">
        <v>2000000</v>
      </c>
      <c r="E159" s="21">
        <v>530589.06999999995</v>
      </c>
      <c r="F159" s="21">
        <v>383634.92213402502</v>
      </c>
      <c r="G159" s="12">
        <f>D159+Table841419410132427323943485356[[#This Row],[LỢI NHUẬN RÒNG]]</f>
        <v>2383634.922134025</v>
      </c>
      <c r="H159" s="11"/>
    </row>
    <row r="160" spans="1:10" hidden="1" x14ac:dyDescent="0.3">
      <c r="A160" s="23" t="s">
        <v>57</v>
      </c>
      <c r="B160" s="21" t="s">
        <v>33</v>
      </c>
      <c r="C160" s="21">
        <v>5</v>
      </c>
      <c r="D160" s="21">
        <v>2000000</v>
      </c>
      <c r="E160" s="21">
        <v>530589.06999999995</v>
      </c>
      <c r="F160" s="21">
        <v>383634.92213402502</v>
      </c>
      <c r="G160" s="12">
        <f>D160+Table841419410132427323943485356[[#This Row],[LỢI NHUẬN RÒNG]]</f>
        <v>2383634.922134025</v>
      </c>
      <c r="H160" s="11"/>
    </row>
    <row r="161" spans="1:10" hidden="1" x14ac:dyDescent="0.3">
      <c r="A161" s="23" t="s">
        <v>57</v>
      </c>
      <c r="B161" s="21" t="s">
        <v>31</v>
      </c>
      <c r="C161" s="21">
        <v>10</v>
      </c>
      <c r="D161" s="21">
        <v>4000000</v>
      </c>
      <c r="E161" s="21">
        <v>1061178.1399999999</v>
      </c>
      <c r="F161" s="21">
        <v>767269.84426805004</v>
      </c>
      <c r="G161" s="12">
        <f>D161+Table841419410132427323943485356[[#This Row],[LỢI NHUẬN RÒNG]]</f>
        <v>4767269.84426805</v>
      </c>
      <c r="H161" s="11"/>
      <c r="J161" s="11"/>
    </row>
    <row r="162" spans="1:10" hidden="1" x14ac:dyDescent="0.3">
      <c r="A162" s="23" t="s">
        <v>57</v>
      </c>
      <c r="B162" s="11" t="s">
        <v>21</v>
      </c>
      <c r="C162" s="21">
        <v>20</v>
      </c>
      <c r="D162" s="21">
        <v>8000000</v>
      </c>
      <c r="E162" s="21">
        <v>2122356.2799999998</v>
      </c>
      <c r="F162" s="21">
        <v>1534539.6885361001</v>
      </c>
      <c r="G162" s="12">
        <f>D162+Table841419410132427323943485356[[#This Row],[LỢI NHUẬN RÒNG]]</f>
        <v>9534539.6885361001</v>
      </c>
      <c r="H162" s="11"/>
    </row>
    <row r="163" spans="1:10" hidden="1" x14ac:dyDescent="0.3">
      <c r="A163" s="23" t="s">
        <v>57</v>
      </c>
      <c r="B163" s="24" t="s">
        <v>35</v>
      </c>
      <c r="C163" s="21">
        <v>5</v>
      </c>
      <c r="D163" s="21">
        <v>2000000</v>
      </c>
      <c r="E163" s="21">
        <v>530589.06999999995</v>
      </c>
      <c r="F163" s="21">
        <v>383634.92213402502</v>
      </c>
      <c r="G163" s="12">
        <f>D163+Table841419410132427323943485356[[#This Row],[LỢI NHUẬN RÒNG]]</f>
        <v>2383634.922134025</v>
      </c>
      <c r="H163" s="11"/>
    </row>
    <row r="164" spans="1:10" hidden="1" x14ac:dyDescent="0.3">
      <c r="A164" s="23" t="s">
        <v>57</v>
      </c>
      <c r="B164" s="11" t="s">
        <v>9</v>
      </c>
      <c r="C164" s="21">
        <v>25</v>
      </c>
      <c r="D164" s="21">
        <v>10000000</v>
      </c>
      <c r="E164" s="21">
        <v>2652945.3499999996</v>
      </c>
      <c r="F164" s="21">
        <v>1918174.6106701251</v>
      </c>
      <c r="G164" s="12">
        <f>D164+Table841419410132427323943485356[[#This Row],[LỢI NHUẬN RÒNG]]</f>
        <v>11918174.610670125</v>
      </c>
      <c r="H164" s="11"/>
    </row>
    <row r="165" spans="1:10" hidden="1" x14ac:dyDescent="0.3">
      <c r="A165" s="23" t="s">
        <v>58</v>
      </c>
      <c r="B165" s="11" t="s">
        <v>9</v>
      </c>
      <c r="C165" s="21">
        <v>15</v>
      </c>
      <c r="D165" s="21">
        <v>1875000</v>
      </c>
      <c r="E165" s="21">
        <v>664378.14000000025</v>
      </c>
      <c r="F165" s="21">
        <v>168477.46839657315</v>
      </c>
      <c r="G165" s="12">
        <f>D165+Table841419410132427323943485356[[#This Row],[LỢI NHUẬN RÒNG]]</f>
        <v>2043477.4683965731</v>
      </c>
      <c r="H165" s="11"/>
    </row>
    <row r="166" spans="1:10" hidden="1" x14ac:dyDescent="0.3">
      <c r="A166" s="23" t="s">
        <v>58</v>
      </c>
      <c r="B166" s="21" t="s">
        <v>19</v>
      </c>
      <c r="C166" s="21">
        <v>30</v>
      </c>
      <c r="D166" s="21">
        <v>3750000</v>
      </c>
      <c r="E166" s="21">
        <v>1328756.2800000005</v>
      </c>
      <c r="F166" s="21">
        <v>336954.93679314631</v>
      </c>
      <c r="G166" s="12">
        <f>D166+Table841419410132427323943485356[[#This Row],[LỢI NHUẬN RÒNG]]</f>
        <v>4086954.9367931462</v>
      </c>
      <c r="H166" s="11"/>
    </row>
    <row r="167" spans="1:10" x14ac:dyDescent="0.3">
      <c r="A167" s="23" t="s">
        <v>58</v>
      </c>
      <c r="B167" s="21" t="s">
        <v>37</v>
      </c>
      <c r="C167" s="18">
        <v>5</v>
      </c>
      <c r="D167" s="18">
        <v>625000</v>
      </c>
      <c r="E167" s="18">
        <v>221459.38000000006</v>
      </c>
      <c r="F167" s="18">
        <v>56159.156132191049</v>
      </c>
      <c r="G167" s="12">
        <f>D167+Table841419410132427323943485356[[#This Row],[LỢI NHUẬN RÒNG]]</f>
        <v>681159.15613219107</v>
      </c>
      <c r="H167" s="11"/>
    </row>
    <row r="168" spans="1:10" hidden="1" x14ac:dyDescent="0.3">
      <c r="A168" s="23" t="s">
        <v>58</v>
      </c>
      <c r="B168" s="21" t="s">
        <v>33</v>
      </c>
      <c r="C168" s="21">
        <v>5</v>
      </c>
      <c r="D168" s="21">
        <v>625000</v>
      </c>
      <c r="E168" s="21">
        <v>221459.38000000006</v>
      </c>
      <c r="F168" s="21">
        <v>56159.156132191049</v>
      </c>
      <c r="G168" s="12">
        <f>D168+Table841419410132427323943485356[[#This Row],[LỢI NHUẬN RÒNG]]</f>
        <v>681159.15613219107</v>
      </c>
      <c r="H168" s="11"/>
    </row>
    <row r="169" spans="1:10" hidden="1" x14ac:dyDescent="0.3">
      <c r="A169" s="23" t="s">
        <v>58</v>
      </c>
      <c r="B169" s="21" t="s">
        <v>31</v>
      </c>
      <c r="C169" s="21">
        <v>10</v>
      </c>
      <c r="D169" s="21">
        <v>1250000</v>
      </c>
      <c r="E169" s="21">
        <v>442918.76000000013</v>
      </c>
      <c r="F169" s="21">
        <v>112318.3122643821</v>
      </c>
      <c r="G169" s="12">
        <f>D169+Table841419410132427323943485356[[#This Row],[LỢI NHUẬN RÒNG]]</f>
        <v>1362318.3122643821</v>
      </c>
      <c r="H169" s="11"/>
    </row>
    <row r="170" spans="1:10" hidden="1" x14ac:dyDescent="0.3">
      <c r="A170" s="23" t="s">
        <v>58</v>
      </c>
      <c r="B170" s="11" t="s">
        <v>21</v>
      </c>
      <c r="C170" s="21">
        <v>20</v>
      </c>
      <c r="D170" s="21">
        <v>2500000</v>
      </c>
      <c r="E170" s="21">
        <v>885837.52000000025</v>
      </c>
      <c r="F170" s="21">
        <v>224636.62452876419</v>
      </c>
      <c r="G170" s="12">
        <f>D170+Table841419410132427323943485356[[#This Row],[LỢI NHUẬN RÒNG]]</f>
        <v>2724636.6245287643</v>
      </c>
      <c r="H170" s="11"/>
      <c r="J170" s="11"/>
    </row>
    <row r="171" spans="1:10" hidden="1" x14ac:dyDescent="0.3">
      <c r="A171" s="23" t="s">
        <v>58</v>
      </c>
      <c r="B171" s="11" t="s">
        <v>13</v>
      </c>
      <c r="C171" s="21">
        <v>5</v>
      </c>
      <c r="D171" s="21">
        <v>625000</v>
      </c>
      <c r="E171" s="21">
        <v>221459.38000000006</v>
      </c>
      <c r="F171" s="21">
        <v>56159.156132191049</v>
      </c>
      <c r="G171" s="12">
        <f>D171+Table841419410132427323943485356[[#This Row],[LỢI NHUẬN RÒNG]]</f>
        <v>681159.15613219107</v>
      </c>
      <c r="H171" s="11"/>
    </row>
    <row r="172" spans="1:10" hidden="1" x14ac:dyDescent="0.3">
      <c r="A172" s="23" t="s">
        <v>58</v>
      </c>
      <c r="B172" s="24" t="s">
        <v>35</v>
      </c>
      <c r="C172" s="21">
        <v>5</v>
      </c>
      <c r="D172" s="21">
        <v>625000</v>
      </c>
      <c r="E172" s="21">
        <v>221459.38000000006</v>
      </c>
      <c r="F172" s="21">
        <v>56159.156132191049</v>
      </c>
      <c r="G172" s="12">
        <f>D172+Table841419410132427323943485356[[#This Row],[LỢI NHUẬN RÒNG]]</f>
        <v>681159.15613219107</v>
      </c>
      <c r="H172" s="11"/>
    </row>
    <row r="173" spans="1:10" hidden="1" x14ac:dyDescent="0.3">
      <c r="A173" s="23" t="s">
        <v>58</v>
      </c>
      <c r="B173" s="11" t="s">
        <v>25</v>
      </c>
      <c r="C173" s="21">
        <v>5</v>
      </c>
      <c r="D173" s="21">
        <v>625000</v>
      </c>
      <c r="E173" s="21">
        <v>221459.38000000006</v>
      </c>
      <c r="F173" s="21">
        <v>56159.156132191049</v>
      </c>
      <c r="G173" s="12">
        <f>D173+Table841419410132427323943485356[[#This Row],[LỢI NHUẬN RÒNG]]</f>
        <v>681159.15613219107</v>
      </c>
      <c r="H173" s="11"/>
    </row>
    <row r="174" spans="1:10" hidden="1" x14ac:dyDescent="0.3">
      <c r="A174" s="23" t="s">
        <v>59</v>
      </c>
      <c r="B174" s="21" t="s">
        <v>19</v>
      </c>
      <c r="C174" s="21">
        <v>20</v>
      </c>
      <c r="D174" s="21">
        <v>7400000</v>
      </c>
      <c r="E174" s="21">
        <v>3355650.6</v>
      </c>
      <c r="F174" s="21">
        <v>2237043.2753314003</v>
      </c>
      <c r="G174" s="12">
        <f>D174+Table841419410132427323943485356[[#This Row],[LỢI NHUẬN RÒNG]]</f>
        <v>9637043.2753314003</v>
      </c>
      <c r="H174" s="11"/>
    </row>
    <row r="175" spans="1:10" x14ac:dyDescent="0.3">
      <c r="A175" s="23" t="s">
        <v>59</v>
      </c>
      <c r="B175" s="21" t="s">
        <v>37</v>
      </c>
      <c r="C175" s="21">
        <v>5</v>
      </c>
      <c r="D175" s="21">
        <v>1850000</v>
      </c>
      <c r="E175" s="21">
        <v>838912.65</v>
      </c>
      <c r="F175" s="21">
        <v>559260.81883285008</v>
      </c>
      <c r="G175" s="12">
        <f>D175+Table841419410132427323943485356[[#This Row],[LỢI NHUẬN RÒNG]]</f>
        <v>2409260.8188328501</v>
      </c>
      <c r="H175" s="11"/>
    </row>
    <row r="176" spans="1:10" hidden="1" x14ac:dyDescent="0.3">
      <c r="A176" s="23" t="s">
        <v>59</v>
      </c>
      <c r="B176" s="21" t="s">
        <v>33</v>
      </c>
      <c r="C176" s="21">
        <v>10</v>
      </c>
      <c r="D176" s="21">
        <v>3700000</v>
      </c>
      <c r="E176" s="21">
        <v>1677825.3</v>
      </c>
      <c r="F176" s="21">
        <v>1118521.6376657002</v>
      </c>
      <c r="G176" s="12">
        <f>D176+Table841419410132427323943485356[[#This Row],[LỢI NHUẬN RÒNG]]</f>
        <v>4818521.6376657002</v>
      </c>
      <c r="H176" s="11"/>
    </row>
    <row r="177" spans="1:9" hidden="1" x14ac:dyDescent="0.3">
      <c r="A177" s="23" t="s">
        <v>59</v>
      </c>
      <c r="B177" s="21" t="s">
        <v>31</v>
      </c>
      <c r="C177" s="21">
        <v>10</v>
      </c>
      <c r="D177" s="21">
        <v>3700000</v>
      </c>
      <c r="E177" s="21">
        <v>1677825.3</v>
      </c>
      <c r="F177" s="21">
        <v>1118521.6376657002</v>
      </c>
      <c r="G177" s="12">
        <f>D177+Table841419410132427323943485356[[#This Row],[LỢI NHUẬN RÒNG]]</f>
        <v>4818521.6376657002</v>
      </c>
      <c r="H177" s="11"/>
    </row>
    <row r="178" spans="1:9" hidden="1" x14ac:dyDescent="0.3">
      <c r="A178" s="23" t="s">
        <v>59</v>
      </c>
      <c r="B178" s="24" t="s">
        <v>15</v>
      </c>
      <c r="C178" s="21">
        <v>5</v>
      </c>
      <c r="D178" s="21">
        <v>1850000</v>
      </c>
      <c r="E178" s="21">
        <v>838912.65</v>
      </c>
      <c r="F178" s="21">
        <v>559260.81883285008</v>
      </c>
      <c r="G178" s="12">
        <f>D178+Table841419410132427323943485356[[#This Row],[LỢI NHUẬN RÒNG]]</f>
        <v>2409260.8188328501</v>
      </c>
      <c r="H178" s="11"/>
    </row>
    <row r="179" spans="1:9" hidden="1" x14ac:dyDescent="0.3">
      <c r="A179" s="23" t="s">
        <v>59</v>
      </c>
      <c r="B179" s="11" t="s">
        <v>21</v>
      </c>
      <c r="C179" s="21">
        <v>20</v>
      </c>
      <c r="D179" s="21">
        <v>7400000</v>
      </c>
      <c r="E179" s="21">
        <v>3355650.6</v>
      </c>
      <c r="F179" s="21">
        <v>2237043.2753314003</v>
      </c>
      <c r="G179" s="12">
        <f>D179+Table841419410132427323943485356[[#This Row],[LỢI NHUẬN RÒNG]]</f>
        <v>9637043.2753314003</v>
      </c>
      <c r="H179" s="11"/>
      <c r="I179" s="11"/>
    </row>
    <row r="180" spans="1:9" hidden="1" x14ac:dyDescent="0.3">
      <c r="A180" s="23" t="s">
        <v>59</v>
      </c>
      <c r="B180" s="21" t="s">
        <v>29</v>
      </c>
      <c r="C180" s="21">
        <v>10</v>
      </c>
      <c r="D180" s="21">
        <v>3700000</v>
      </c>
      <c r="E180" s="21">
        <v>1677825.3</v>
      </c>
      <c r="F180" s="21">
        <v>1118521.6376657002</v>
      </c>
      <c r="G180" s="12">
        <f>D180+Table841419410132427323943485356[[#This Row],[LỢI NHUẬN RÒNG]]</f>
        <v>4818521.6376657002</v>
      </c>
      <c r="H180" s="11"/>
    </row>
    <row r="181" spans="1:9" hidden="1" x14ac:dyDescent="0.3">
      <c r="A181" s="23" t="s">
        <v>59</v>
      </c>
      <c r="B181" s="24" t="s">
        <v>35</v>
      </c>
      <c r="C181" s="21">
        <v>5</v>
      </c>
      <c r="D181" s="21">
        <v>1850000</v>
      </c>
      <c r="E181" s="21">
        <v>838912.65</v>
      </c>
      <c r="F181" s="21">
        <v>559260.81883285008</v>
      </c>
      <c r="G181" s="12">
        <f>D181+Table841419410132427323943485356[[#This Row],[LỢI NHUẬN RÒNG]]</f>
        <v>2409260.8188328501</v>
      </c>
    </row>
    <row r="182" spans="1:9" hidden="1" x14ac:dyDescent="0.3">
      <c r="A182" s="23" t="s">
        <v>59</v>
      </c>
      <c r="B182" s="27" t="s">
        <v>9</v>
      </c>
      <c r="C182" s="21">
        <v>15</v>
      </c>
      <c r="D182" s="21">
        <v>5550000</v>
      </c>
      <c r="E182" s="21">
        <v>2516737.9500000002</v>
      </c>
      <c r="F182" s="21">
        <v>1677782.4564985503</v>
      </c>
      <c r="G182" s="12">
        <f>D182+Table841419410132427323943485356[[#This Row],[LỢI NHUẬN RÒNG]]</f>
        <v>7227782.4564985503</v>
      </c>
      <c r="H182" s="28"/>
    </row>
    <row r="183" spans="1:9" hidden="1" x14ac:dyDescent="0.3">
      <c r="A183" s="23" t="s">
        <v>60</v>
      </c>
      <c r="B183" s="27" t="s">
        <v>9</v>
      </c>
      <c r="C183" s="18">
        <v>10</v>
      </c>
      <c r="D183" s="18">
        <v>3166666.666666667</v>
      </c>
      <c r="E183" s="18">
        <v>1780793.9333333329</v>
      </c>
      <c r="F183" s="18">
        <v>1467308.3873326064</v>
      </c>
      <c r="G183" s="12">
        <f>D183+Table841419410132427323943485356[[#This Row],[LỢI NHUẬN RÒNG]]</f>
        <v>4633975.0539992731</v>
      </c>
      <c r="H183" s="28"/>
    </row>
    <row r="184" spans="1:9" hidden="1" x14ac:dyDescent="0.3">
      <c r="A184" s="23" t="s">
        <v>60</v>
      </c>
      <c r="B184" s="21" t="s">
        <v>19</v>
      </c>
      <c r="C184" s="21">
        <v>15</v>
      </c>
      <c r="D184" s="21">
        <v>4750000</v>
      </c>
      <c r="E184" s="21">
        <v>2671190.8999999994</v>
      </c>
      <c r="F184" s="21">
        <v>2200962.5809989097</v>
      </c>
      <c r="G184" s="12">
        <f>D184+Table841419410132427323943485356[[#This Row],[LỢI NHUẬN RÒNG]]</f>
        <v>6950962.5809989097</v>
      </c>
      <c r="H184" s="28"/>
    </row>
    <row r="185" spans="1:9" x14ac:dyDescent="0.3">
      <c r="A185" s="23" t="s">
        <v>60</v>
      </c>
      <c r="B185" s="21" t="s">
        <v>37</v>
      </c>
      <c r="C185" s="21">
        <v>5</v>
      </c>
      <c r="D185" s="21">
        <v>1583333.3333333335</v>
      </c>
      <c r="E185" s="21">
        <v>890396.96666666644</v>
      </c>
      <c r="F185" s="21">
        <v>733654.19366630318</v>
      </c>
      <c r="G185" s="12">
        <f>D185+Table841419410132427323943485356[[#This Row],[LỢI NHUẬN RÒNG]]</f>
        <v>2316987.5269996366</v>
      </c>
      <c r="H185" s="28"/>
    </row>
    <row r="186" spans="1:9" hidden="1" x14ac:dyDescent="0.3">
      <c r="A186" s="23" t="s">
        <v>60</v>
      </c>
      <c r="B186" s="21" t="s">
        <v>33</v>
      </c>
      <c r="C186" s="21">
        <v>5</v>
      </c>
      <c r="D186" s="21">
        <v>1583333.3333333335</v>
      </c>
      <c r="E186" s="21">
        <v>890396.96666666644</v>
      </c>
      <c r="F186" s="21">
        <v>733654.19366630318</v>
      </c>
      <c r="G186" s="12">
        <f>D186+Table841419410132427323943485356[[#This Row],[LỢI NHUẬN RÒNG]]</f>
        <v>2316987.5269996366</v>
      </c>
      <c r="H186" s="28"/>
    </row>
    <row r="187" spans="1:9" hidden="1" x14ac:dyDescent="0.3">
      <c r="A187" s="23" t="s">
        <v>60</v>
      </c>
      <c r="B187" s="21" t="s">
        <v>31</v>
      </c>
      <c r="C187" s="21">
        <v>10</v>
      </c>
      <c r="D187" s="21">
        <v>3166666.666666667</v>
      </c>
      <c r="E187" s="21">
        <v>1780793.9333333329</v>
      </c>
      <c r="F187" s="21">
        <v>1467308.3873326064</v>
      </c>
      <c r="G187" s="12">
        <f>D187+Table841419410132427323943485356[[#This Row],[LỢI NHUẬN RÒNG]]</f>
        <v>4633975.0539992731</v>
      </c>
      <c r="H187" s="28"/>
    </row>
    <row r="188" spans="1:9" hidden="1" x14ac:dyDescent="0.3">
      <c r="A188" s="23" t="s">
        <v>60</v>
      </c>
      <c r="B188" s="24" t="s">
        <v>15</v>
      </c>
      <c r="C188" s="21">
        <v>10</v>
      </c>
      <c r="D188" s="21">
        <v>3166666.666666667</v>
      </c>
      <c r="E188" s="21">
        <v>1780793.9333333329</v>
      </c>
      <c r="F188" s="21">
        <v>1467308.3873326064</v>
      </c>
      <c r="G188" s="12">
        <f>D188+Table841419410132427323943485356[[#This Row],[LỢI NHUẬN RÒNG]]</f>
        <v>4633975.0539992731</v>
      </c>
      <c r="H188" s="28"/>
    </row>
    <row r="189" spans="1:9" hidden="1" x14ac:dyDescent="0.3">
      <c r="A189" s="23" t="s">
        <v>60</v>
      </c>
      <c r="B189" s="11" t="s">
        <v>21</v>
      </c>
      <c r="C189" s="21">
        <v>15</v>
      </c>
      <c r="D189" s="21">
        <v>4750000</v>
      </c>
      <c r="E189" s="21">
        <v>2671190.8999999994</v>
      </c>
      <c r="F189" s="21">
        <v>2200962.5809989097</v>
      </c>
      <c r="G189" s="12">
        <f>D189+Table841419410132427323943485356[[#This Row],[LỢI NHUẬN RÒNG]]</f>
        <v>6950962.5809989097</v>
      </c>
      <c r="H189" s="28"/>
    </row>
    <row r="190" spans="1:9" hidden="1" x14ac:dyDescent="0.3">
      <c r="A190" s="23" t="s">
        <v>60</v>
      </c>
      <c r="B190" s="24" t="s">
        <v>35</v>
      </c>
      <c r="C190" s="21">
        <v>5</v>
      </c>
      <c r="D190" s="21">
        <v>1583333.3333333335</v>
      </c>
      <c r="E190" s="21">
        <v>890396.96666666644</v>
      </c>
      <c r="F190" s="21">
        <v>733654.19366630318</v>
      </c>
      <c r="G190" s="12">
        <f>D190+Table841419410132427323943485356[[#This Row],[LỢI NHUẬN RÒNG]]</f>
        <v>2316987.5269996366</v>
      </c>
      <c r="H190" s="28"/>
    </row>
    <row r="191" spans="1:9" hidden="1" x14ac:dyDescent="0.3">
      <c r="A191" s="23" t="s">
        <v>60</v>
      </c>
      <c r="B191" s="27" t="s">
        <v>43</v>
      </c>
      <c r="C191" s="21">
        <v>10</v>
      </c>
      <c r="D191" s="21">
        <v>3166666.666666667</v>
      </c>
      <c r="E191" s="21">
        <v>1780793.9333333329</v>
      </c>
      <c r="F191" s="21">
        <v>1467308.3873326064</v>
      </c>
      <c r="G191" s="12">
        <f>D191+Table841419410132427323943485356[[#This Row],[LỢI NHUẬN RÒNG]]</f>
        <v>4633975.0539992731</v>
      </c>
      <c r="H191" s="28"/>
    </row>
    <row r="192" spans="1:9" hidden="1" x14ac:dyDescent="0.3">
      <c r="A192" s="23" t="s">
        <v>60</v>
      </c>
      <c r="B192" s="27" t="s">
        <v>39</v>
      </c>
      <c r="C192" s="21">
        <v>5</v>
      </c>
      <c r="D192" s="21">
        <v>1583333.3333333335</v>
      </c>
      <c r="E192" s="21">
        <v>890396.96666666644</v>
      </c>
      <c r="F192" s="21">
        <v>733654.19366630318</v>
      </c>
      <c r="G192" s="12">
        <f>D192+Table841419410132427323943485356[[#This Row],[LỢI NHUẬN RÒNG]]</f>
        <v>2316987.5269996366</v>
      </c>
      <c r="H192" s="28"/>
    </row>
    <row r="193" spans="1:8" hidden="1" x14ac:dyDescent="0.3">
      <c r="A193" s="23" t="s">
        <v>60</v>
      </c>
      <c r="B193" s="27" t="s">
        <v>41</v>
      </c>
      <c r="C193" s="21">
        <v>5</v>
      </c>
      <c r="D193" s="21">
        <v>1583333.3333333335</v>
      </c>
      <c r="E193" s="21">
        <v>890396.96666666644</v>
      </c>
      <c r="F193" s="21">
        <v>733654.19366630318</v>
      </c>
      <c r="G193" s="12">
        <f>D193+Table841419410132427323943485356[[#This Row],[LỢI NHUẬN RÒNG]]</f>
        <v>2316987.5269996366</v>
      </c>
      <c r="H193" s="28"/>
    </row>
    <row r="194" spans="1:8" hidden="1" x14ac:dyDescent="0.3">
      <c r="A194" s="23" t="s">
        <v>60</v>
      </c>
      <c r="B194" s="27" t="s">
        <v>42</v>
      </c>
      <c r="C194" s="21">
        <v>5</v>
      </c>
      <c r="D194" s="21">
        <v>1583333.3333333335</v>
      </c>
      <c r="E194" s="21">
        <v>890396.96666666644</v>
      </c>
      <c r="F194" s="21">
        <v>733654.19366630318</v>
      </c>
      <c r="G194" s="12">
        <f>D194+Table841419410132427323943485356[[#This Row],[LỢI NHUẬN RÒNG]]</f>
        <v>2316987.5269996366</v>
      </c>
      <c r="H194" s="28"/>
    </row>
    <row r="195" spans="1:8" hidden="1" x14ac:dyDescent="0.3">
      <c r="A195" s="23" t="s">
        <v>61</v>
      </c>
      <c r="B195" s="21" t="s">
        <v>19</v>
      </c>
      <c r="C195" s="21">
        <v>15</v>
      </c>
      <c r="D195" s="21">
        <v>1500000</v>
      </c>
      <c r="E195" s="21">
        <v>1319556.6000000001</v>
      </c>
      <c r="F195" s="21">
        <v>596280.56431371754</v>
      </c>
      <c r="G195" s="12">
        <f>D195+Table841419410132427323943485356[[#This Row],[LỢI NHUẬN RÒNG]]</f>
        <v>2096280.5643137177</v>
      </c>
      <c r="H195" s="28"/>
    </row>
    <row r="196" spans="1:8" x14ac:dyDescent="0.3">
      <c r="A196" s="23" t="s">
        <v>61</v>
      </c>
      <c r="B196" s="21" t="s">
        <v>37</v>
      </c>
      <c r="C196" s="21">
        <v>15</v>
      </c>
      <c r="D196" s="21">
        <v>1500000</v>
      </c>
      <c r="E196" s="21">
        <v>1319556.6000000001</v>
      </c>
      <c r="F196" s="21">
        <v>596280.56431371754</v>
      </c>
      <c r="G196" s="12">
        <f>D196+Table841419410132427323943485356[[#This Row],[LỢI NHUẬN RÒNG]]</f>
        <v>2096280.5643137177</v>
      </c>
      <c r="H196" s="28"/>
    </row>
    <row r="197" spans="1:8" hidden="1" x14ac:dyDescent="0.3">
      <c r="A197" s="23" t="s">
        <v>61</v>
      </c>
      <c r="B197" s="21" t="s">
        <v>33</v>
      </c>
      <c r="C197" s="21">
        <v>5</v>
      </c>
      <c r="D197" s="21">
        <v>500000</v>
      </c>
      <c r="E197" s="21">
        <v>439852.2</v>
      </c>
      <c r="F197" s="21">
        <v>198760.18810457253</v>
      </c>
      <c r="G197" s="12">
        <f>D197+Table841419410132427323943485356[[#This Row],[LỢI NHUẬN RÒNG]]</f>
        <v>698760.18810457247</v>
      </c>
      <c r="H197" s="28"/>
    </row>
    <row r="198" spans="1:8" hidden="1" x14ac:dyDescent="0.3">
      <c r="A198" s="23" t="s">
        <v>61</v>
      </c>
      <c r="B198" s="21" t="s">
        <v>31</v>
      </c>
      <c r="C198" s="21">
        <v>10</v>
      </c>
      <c r="D198" s="21">
        <v>1000000</v>
      </c>
      <c r="E198" s="21">
        <v>879704.4</v>
      </c>
      <c r="F198" s="21">
        <v>397520.37620914506</v>
      </c>
      <c r="G198" s="12">
        <f>D198+Table841419410132427323943485356[[#This Row],[LỢI NHUẬN RÒNG]]</f>
        <v>1397520.3762091449</v>
      </c>
      <c r="H198" s="28"/>
    </row>
    <row r="199" spans="1:8" hidden="1" x14ac:dyDescent="0.3">
      <c r="A199" s="23" t="s">
        <v>61</v>
      </c>
      <c r="B199" s="21" t="s">
        <v>15</v>
      </c>
      <c r="C199" s="21">
        <v>10</v>
      </c>
      <c r="D199" s="21">
        <v>1000000</v>
      </c>
      <c r="E199" s="21">
        <v>879704.4</v>
      </c>
      <c r="F199" s="21">
        <v>397520.37620914506</v>
      </c>
      <c r="G199" s="12">
        <f>D199+Table841419410132427323943485356[[#This Row],[LỢI NHUẬN RÒNG]]</f>
        <v>1397520.3762091449</v>
      </c>
      <c r="H199" s="28"/>
    </row>
    <row r="200" spans="1:8" hidden="1" x14ac:dyDescent="0.3">
      <c r="A200" s="23" t="s">
        <v>61</v>
      </c>
      <c r="B200" s="21" t="s">
        <v>21</v>
      </c>
      <c r="C200" s="21">
        <v>15</v>
      </c>
      <c r="D200" s="21">
        <v>1500000</v>
      </c>
      <c r="E200" s="21">
        <v>1319556.6000000001</v>
      </c>
      <c r="F200" s="21">
        <v>596280.56431371754</v>
      </c>
      <c r="G200" s="12">
        <f>D200+Table841419410132427323943485356[[#This Row],[LỢI NHUẬN RÒNG]]</f>
        <v>2096280.5643137177</v>
      </c>
      <c r="H200" s="28"/>
    </row>
    <row r="201" spans="1:8" hidden="1" x14ac:dyDescent="0.3">
      <c r="A201" s="23" t="s">
        <v>61</v>
      </c>
      <c r="B201" s="11" t="s">
        <v>13</v>
      </c>
      <c r="C201" s="21">
        <v>5</v>
      </c>
      <c r="D201" s="21">
        <v>500000</v>
      </c>
      <c r="E201" s="21">
        <v>439852.2</v>
      </c>
      <c r="F201" s="21">
        <v>198760.18810457253</v>
      </c>
      <c r="G201" s="12">
        <f>D201+Table841419410132427323943485356[[#This Row],[LỢI NHUẬN RÒNG]]</f>
        <v>698760.18810457247</v>
      </c>
      <c r="H201" s="28"/>
    </row>
    <row r="202" spans="1:8" hidden="1" x14ac:dyDescent="0.3">
      <c r="A202" s="23" t="s">
        <v>61</v>
      </c>
      <c r="B202" s="21" t="s">
        <v>29</v>
      </c>
      <c r="C202" s="21">
        <v>5</v>
      </c>
      <c r="D202" s="21">
        <v>500000</v>
      </c>
      <c r="E202" s="21">
        <v>439852.2</v>
      </c>
      <c r="F202" s="21">
        <v>198760.18810457253</v>
      </c>
      <c r="G202" s="12">
        <f>D202+Table841419410132427323943485356[[#This Row],[LỢI NHUẬN RÒNG]]</f>
        <v>698760.18810457247</v>
      </c>
      <c r="H202" s="28"/>
    </row>
    <row r="203" spans="1:8" hidden="1" x14ac:dyDescent="0.3">
      <c r="A203" s="23" t="s">
        <v>61</v>
      </c>
      <c r="B203" s="21" t="s">
        <v>35</v>
      </c>
      <c r="C203" s="21">
        <v>5</v>
      </c>
      <c r="D203" s="21">
        <v>500000</v>
      </c>
      <c r="E203" s="21">
        <v>439852.2</v>
      </c>
      <c r="F203" s="21">
        <v>198760.18810457253</v>
      </c>
      <c r="G203" s="12">
        <f>D203+Table841419410132427323943485356[[#This Row],[LỢI NHUẬN RÒNG]]</f>
        <v>698760.18810457247</v>
      </c>
      <c r="H203" s="28"/>
    </row>
    <row r="204" spans="1:8" hidden="1" x14ac:dyDescent="0.3">
      <c r="A204" s="23" t="s">
        <v>61</v>
      </c>
      <c r="B204" s="21" t="s">
        <v>44</v>
      </c>
      <c r="C204" s="21">
        <v>10</v>
      </c>
      <c r="D204" s="21">
        <v>1000000</v>
      </c>
      <c r="E204" s="21">
        <v>879704.4</v>
      </c>
      <c r="F204" s="21">
        <v>397520.37620914506</v>
      </c>
      <c r="G204" s="12">
        <f>D204+Table841419410132427323943485356[[#This Row],[LỢI NHUẬN RÒNG]]</f>
        <v>1397520.3762091449</v>
      </c>
      <c r="H204" s="28"/>
    </row>
    <row r="205" spans="1:8" hidden="1" x14ac:dyDescent="0.3">
      <c r="A205" s="23" t="s">
        <v>61</v>
      </c>
      <c r="B205" s="27" t="s">
        <v>42</v>
      </c>
      <c r="C205" s="21">
        <v>5</v>
      </c>
      <c r="D205" s="21">
        <v>500000</v>
      </c>
      <c r="E205" s="21">
        <v>439852.2</v>
      </c>
      <c r="F205" s="21">
        <v>198760.18810457253</v>
      </c>
      <c r="G205" s="12">
        <f>D205+Table841419410132427323943485356[[#This Row],[LỢI NHUẬN RÒNG]]</f>
        <v>698760.18810457247</v>
      </c>
      <c r="H205" s="28"/>
    </row>
    <row r="206" spans="1:8" hidden="1" x14ac:dyDescent="0.3">
      <c r="A206" s="23" t="s">
        <v>62</v>
      </c>
      <c r="B206" s="27" t="s">
        <v>9</v>
      </c>
      <c r="C206" s="21">
        <v>10</v>
      </c>
      <c r="D206" s="21">
        <v>3600000</v>
      </c>
      <c r="E206" s="21">
        <v>1117150</v>
      </c>
      <c r="F206" s="21">
        <v>647551.90419306827</v>
      </c>
      <c r="G206" s="21">
        <f>Table841419410132427323943485356[[#This Row],[VỐN CP]]+Table841419410132427323943485356[[#This Row],[LỢI NHUẬN RÒNG]]</f>
        <v>4247551.9041930679</v>
      </c>
      <c r="H206" s="28"/>
    </row>
    <row r="207" spans="1:8" hidden="1" x14ac:dyDescent="0.3">
      <c r="A207" s="23" t="s">
        <v>62</v>
      </c>
      <c r="B207" s="27" t="s">
        <v>19</v>
      </c>
      <c r="C207" s="21">
        <v>25</v>
      </c>
      <c r="D207" s="21">
        <v>9000000</v>
      </c>
      <c r="E207" s="21">
        <v>2792875</v>
      </c>
      <c r="F207" s="21">
        <v>1618879.7604826707</v>
      </c>
      <c r="G207" s="21">
        <f>Table841419410132427323943485356[[#This Row],[VỐN CP]]+Table841419410132427323943485356[[#This Row],[LỢI NHUẬN RÒNG]]</f>
        <v>10618879.760482671</v>
      </c>
      <c r="H207" s="28"/>
    </row>
    <row r="208" spans="1:8" x14ac:dyDescent="0.3">
      <c r="A208" s="23" t="s">
        <v>62</v>
      </c>
      <c r="B208" s="27" t="s">
        <v>37</v>
      </c>
      <c r="C208" s="21">
        <v>10</v>
      </c>
      <c r="D208" s="21">
        <v>3600000</v>
      </c>
      <c r="E208" s="21">
        <v>1117150</v>
      </c>
      <c r="F208" s="21">
        <v>647551.90419306827</v>
      </c>
      <c r="G208" s="21">
        <f>Table841419410132427323943485356[[#This Row],[VỐN CP]]+Table841419410132427323943485356[[#This Row],[LỢI NHUẬN RÒNG]]</f>
        <v>4247551.9041930679</v>
      </c>
      <c r="H208" s="28"/>
    </row>
    <row r="209" spans="1:8" hidden="1" x14ac:dyDescent="0.3">
      <c r="A209" s="23" t="s">
        <v>62</v>
      </c>
      <c r="B209" s="27" t="s">
        <v>33</v>
      </c>
      <c r="C209" s="21">
        <v>5</v>
      </c>
      <c r="D209" s="21">
        <v>1800000</v>
      </c>
      <c r="E209" s="21">
        <v>558575</v>
      </c>
      <c r="F209" s="21">
        <v>323775.95209653414</v>
      </c>
      <c r="G209" s="21">
        <f>Table841419410132427323943485356[[#This Row],[VỐN CP]]+Table841419410132427323943485356[[#This Row],[LỢI NHUẬN RÒNG]]</f>
        <v>2123775.952096534</v>
      </c>
      <c r="H209" s="28"/>
    </row>
    <row r="210" spans="1:8" hidden="1" x14ac:dyDescent="0.3">
      <c r="A210" s="23" t="s">
        <v>62</v>
      </c>
      <c r="B210" s="27" t="s">
        <v>15</v>
      </c>
      <c r="C210" s="21">
        <v>5</v>
      </c>
      <c r="D210" s="21">
        <v>1800000</v>
      </c>
      <c r="E210" s="21">
        <v>558575</v>
      </c>
      <c r="F210" s="21">
        <v>323775.95209653414</v>
      </c>
      <c r="G210" s="21">
        <f>Table841419410132427323943485356[[#This Row],[VỐN CP]]+Table841419410132427323943485356[[#This Row],[LỢI NHUẬN RÒNG]]</f>
        <v>2123775.952096534</v>
      </c>
      <c r="H210" s="28"/>
    </row>
    <row r="211" spans="1:8" hidden="1" x14ac:dyDescent="0.3">
      <c r="A211" s="23" t="s">
        <v>62</v>
      </c>
      <c r="B211" s="27" t="s">
        <v>21</v>
      </c>
      <c r="C211" s="21">
        <v>20</v>
      </c>
      <c r="D211" s="21">
        <v>7200000</v>
      </c>
      <c r="E211" s="21">
        <v>2234300</v>
      </c>
      <c r="F211" s="21">
        <v>1295103.8083861365</v>
      </c>
      <c r="G211" s="21">
        <f>Table841419410132427323943485356[[#This Row],[VỐN CP]]+Table841419410132427323943485356[[#This Row],[LỢI NHUẬN RÒNG]]</f>
        <v>8495103.8083861358</v>
      </c>
      <c r="H211" s="28"/>
    </row>
    <row r="212" spans="1:8" hidden="1" x14ac:dyDescent="0.3">
      <c r="A212" s="23" t="s">
        <v>62</v>
      </c>
      <c r="B212" s="27" t="s">
        <v>13</v>
      </c>
      <c r="C212" s="21">
        <v>10</v>
      </c>
      <c r="D212" s="21">
        <v>3600000</v>
      </c>
      <c r="E212" s="21">
        <v>1117150</v>
      </c>
      <c r="F212" s="21">
        <v>647551.90419306827</v>
      </c>
      <c r="G212" s="21">
        <f>Table841419410132427323943485356[[#This Row],[VỐN CP]]+Table841419410132427323943485356[[#This Row],[LỢI NHUẬN RÒNG]]</f>
        <v>4247551.9041930679</v>
      </c>
      <c r="H212" s="28"/>
    </row>
    <row r="213" spans="1:8" hidden="1" x14ac:dyDescent="0.3">
      <c r="A213" s="23" t="s">
        <v>62</v>
      </c>
      <c r="B213" s="27" t="s">
        <v>35</v>
      </c>
      <c r="C213" s="21">
        <v>5</v>
      </c>
      <c r="D213" s="21">
        <v>1800000</v>
      </c>
      <c r="E213" s="21">
        <v>558575</v>
      </c>
      <c r="F213" s="21">
        <v>323775.95209653414</v>
      </c>
      <c r="G213" s="21">
        <f>Table841419410132427323943485356[[#This Row],[VỐN CP]]+Table841419410132427323943485356[[#This Row],[LỢI NHUẬN RÒNG]]</f>
        <v>2123775.952096534</v>
      </c>
      <c r="H213" s="28"/>
    </row>
    <row r="214" spans="1:8" hidden="1" x14ac:dyDescent="0.3">
      <c r="A214" s="23" t="s">
        <v>62</v>
      </c>
      <c r="B214" s="27" t="s">
        <v>43</v>
      </c>
      <c r="C214" s="21">
        <v>10</v>
      </c>
      <c r="D214" s="21">
        <v>3600000</v>
      </c>
      <c r="E214" s="21">
        <v>1117150</v>
      </c>
      <c r="F214" s="21">
        <v>647551.90419306827</v>
      </c>
      <c r="G214" s="21">
        <f>Table841419410132427323943485356[[#This Row],[VỐN CP]]+Table841419410132427323943485356[[#This Row],[LỢI NHUẬN RÒNG]]</f>
        <v>4247551.9041930679</v>
      </c>
      <c r="H214" s="28"/>
    </row>
    <row r="215" spans="1:8" hidden="1" x14ac:dyDescent="0.3">
      <c r="A215" s="23" t="s">
        <v>63</v>
      </c>
      <c r="B215" s="27" t="s">
        <v>9</v>
      </c>
      <c r="C215" s="21">
        <v>10</v>
      </c>
      <c r="D215" s="21">
        <v>6200000</v>
      </c>
      <c r="E215" s="21">
        <v>1823633.6</v>
      </c>
      <c r="F215" s="21">
        <v>1122343.5250513852</v>
      </c>
      <c r="G215" s="21">
        <f>Table841419410132427323943485356[[#This Row],[VỐN CP]]+Table841419410132427323943485356[[#This Row],[LỢI NHUẬN RÒNG]]</f>
        <v>7322343.5250513852</v>
      </c>
      <c r="H215" s="28"/>
    </row>
    <row r="216" spans="1:8" hidden="1" x14ac:dyDescent="0.3">
      <c r="A216" s="23" t="s">
        <v>63</v>
      </c>
      <c r="B216" s="27" t="s">
        <v>19</v>
      </c>
      <c r="C216" s="21">
        <v>20</v>
      </c>
      <c r="D216" s="21">
        <v>12400000</v>
      </c>
      <c r="E216" s="21">
        <v>3647267.2</v>
      </c>
      <c r="F216" s="21">
        <v>2244687.0501027703</v>
      </c>
      <c r="G216" s="21">
        <f>Table841419410132427323943485356[[#This Row],[VỐN CP]]+Table841419410132427323943485356[[#This Row],[LỢI NHUẬN RÒNG]]</f>
        <v>14644687.05010277</v>
      </c>
      <c r="H216" s="28"/>
    </row>
    <row r="217" spans="1:8" x14ac:dyDescent="0.3">
      <c r="A217" s="23" t="s">
        <v>63</v>
      </c>
      <c r="B217" s="27" t="s">
        <v>37</v>
      </c>
      <c r="C217" s="21">
        <v>10</v>
      </c>
      <c r="D217" s="21">
        <v>6200000</v>
      </c>
      <c r="E217" s="21">
        <v>1823633.6</v>
      </c>
      <c r="F217" s="21">
        <v>1122343.5250513852</v>
      </c>
      <c r="G217" s="21">
        <f>Table841419410132427323943485356[[#This Row],[VỐN CP]]+Table841419410132427323943485356[[#This Row],[LỢI NHUẬN RÒNG]]</f>
        <v>7322343.5250513852</v>
      </c>
      <c r="H217" s="28"/>
    </row>
    <row r="218" spans="1:8" hidden="1" x14ac:dyDescent="0.3">
      <c r="A218" s="23" t="s">
        <v>63</v>
      </c>
      <c r="B218" s="27" t="s">
        <v>33</v>
      </c>
      <c r="C218" s="21">
        <v>5</v>
      </c>
      <c r="D218" s="21">
        <v>3100000</v>
      </c>
      <c r="E218" s="21">
        <v>911816.8</v>
      </c>
      <c r="F218" s="21">
        <v>561171.76252569258</v>
      </c>
      <c r="G218" s="21">
        <f>Table841419410132427323943485356[[#This Row],[VỐN CP]]+Table841419410132427323943485356[[#This Row],[LỢI NHUẬN RÒNG]]</f>
        <v>3661171.7625256926</v>
      </c>
      <c r="H218" s="28"/>
    </row>
    <row r="219" spans="1:8" hidden="1" x14ac:dyDescent="0.3">
      <c r="A219" s="23" t="s">
        <v>63</v>
      </c>
      <c r="B219" s="27" t="s">
        <v>31</v>
      </c>
      <c r="C219" s="21">
        <v>5</v>
      </c>
      <c r="D219" s="21">
        <v>3100000</v>
      </c>
      <c r="E219" s="21">
        <v>911816.8</v>
      </c>
      <c r="F219" s="21">
        <v>561171.76252569258</v>
      </c>
      <c r="G219" s="21">
        <f>Table841419410132427323943485356[[#This Row],[VỐN CP]]+Table841419410132427323943485356[[#This Row],[LỢI NHUẬN RÒNG]]</f>
        <v>3661171.7625256926</v>
      </c>
      <c r="H219" s="28"/>
    </row>
    <row r="220" spans="1:8" hidden="1" x14ac:dyDescent="0.3">
      <c r="A220" s="23" t="s">
        <v>63</v>
      </c>
      <c r="B220" s="27" t="s">
        <v>21</v>
      </c>
      <c r="C220" s="21">
        <v>10</v>
      </c>
      <c r="D220" s="21">
        <v>6200000</v>
      </c>
      <c r="E220" s="21">
        <v>1823633.6</v>
      </c>
      <c r="F220" s="21">
        <v>1122343.5250513852</v>
      </c>
      <c r="G220" s="21">
        <f>Table841419410132427323943485356[[#This Row],[VỐN CP]]+Table841419410132427323943485356[[#This Row],[LỢI NHUẬN RÒNG]]</f>
        <v>7322343.5250513852</v>
      </c>
      <c r="H220" s="28"/>
    </row>
    <row r="221" spans="1:8" hidden="1" x14ac:dyDescent="0.3">
      <c r="A221" s="23" t="s">
        <v>63</v>
      </c>
      <c r="B221" s="27" t="s">
        <v>13</v>
      </c>
      <c r="C221" s="21">
        <v>5</v>
      </c>
      <c r="D221" s="21">
        <v>3100000</v>
      </c>
      <c r="E221" s="21">
        <v>911816.8</v>
      </c>
      <c r="F221" s="21">
        <v>561171.76252569258</v>
      </c>
      <c r="G221" s="21">
        <f>Table841419410132427323943485356[[#This Row],[VỐN CP]]+Table841419410132427323943485356[[#This Row],[LỢI NHUẬN RÒNG]]</f>
        <v>3661171.7625256926</v>
      </c>
      <c r="H221" s="28"/>
    </row>
    <row r="222" spans="1:8" hidden="1" x14ac:dyDescent="0.3">
      <c r="A222" s="23" t="s">
        <v>63</v>
      </c>
      <c r="B222" s="27" t="s">
        <v>29</v>
      </c>
      <c r="C222" s="21">
        <v>10</v>
      </c>
      <c r="D222" s="21">
        <v>6200000</v>
      </c>
      <c r="E222" s="21">
        <v>1823633.6</v>
      </c>
      <c r="F222" s="21">
        <v>1122343.5250513852</v>
      </c>
      <c r="G222" s="21">
        <f>Table841419410132427323943485356[[#This Row],[VỐN CP]]+Table841419410132427323943485356[[#This Row],[LỢI NHUẬN RÒNG]]</f>
        <v>7322343.5250513852</v>
      </c>
      <c r="H222" s="28"/>
    </row>
    <row r="223" spans="1:8" hidden="1" x14ac:dyDescent="0.3">
      <c r="A223" s="23" t="s">
        <v>63</v>
      </c>
      <c r="B223" s="27" t="s">
        <v>35</v>
      </c>
      <c r="C223" s="21">
        <v>10</v>
      </c>
      <c r="D223" s="21">
        <v>6200000</v>
      </c>
      <c r="E223" s="21">
        <v>1823633.6</v>
      </c>
      <c r="F223" s="21">
        <v>1122343.5250513852</v>
      </c>
      <c r="G223" s="21">
        <f>Table841419410132427323943485356[[#This Row],[VỐN CP]]+Table841419410132427323943485356[[#This Row],[LỢI NHUẬN RÒNG]]</f>
        <v>7322343.5250513852</v>
      </c>
      <c r="H223" s="28"/>
    </row>
    <row r="224" spans="1:8" hidden="1" x14ac:dyDescent="0.3">
      <c r="A224" s="23" t="s">
        <v>63</v>
      </c>
      <c r="B224" s="27" t="s">
        <v>43</v>
      </c>
      <c r="C224" s="21">
        <v>5</v>
      </c>
      <c r="D224" s="21">
        <v>3100000</v>
      </c>
      <c r="E224" s="21">
        <v>911816.8</v>
      </c>
      <c r="F224" s="21">
        <v>561171.76252569258</v>
      </c>
      <c r="G224" s="21">
        <f>Table841419410132427323943485356[[#This Row],[VỐN CP]]+Table841419410132427323943485356[[#This Row],[LỢI NHUẬN RÒNG]]</f>
        <v>3661171.7625256926</v>
      </c>
      <c r="H224" s="28"/>
    </row>
    <row r="225" spans="1:10" hidden="1" x14ac:dyDescent="0.3">
      <c r="A225" s="23" t="s">
        <v>63</v>
      </c>
      <c r="B225" s="27" t="s">
        <v>46</v>
      </c>
      <c r="C225" s="21">
        <v>10</v>
      </c>
      <c r="D225" s="21">
        <v>6200000</v>
      </c>
      <c r="E225" s="21">
        <v>1823633.6</v>
      </c>
      <c r="F225" s="21">
        <v>1122343.5250513852</v>
      </c>
      <c r="G225" s="21">
        <f>Table841419410132427323943485356[[#This Row],[VỐN CP]]+Table841419410132427323943485356[[#This Row],[LỢI NHUẬN RÒNG]]</f>
        <v>7322343.5250513852</v>
      </c>
      <c r="H225" s="28"/>
    </row>
    <row r="226" spans="1:10" hidden="1" x14ac:dyDescent="0.3">
      <c r="A226" s="23" t="s">
        <v>64</v>
      </c>
      <c r="B226" s="27" t="s">
        <v>9</v>
      </c>
      <c r="C226" s="21">
        <v>10</v>
      </c>
      <c r="D226" s="21">
        <v>3700000</v>
      </c>
      <c r="E226" s="21">
        <v>1507027.8</v>
      </c>
      <c r="F226" s="21">
        <v>1191571.0536392084</v>
      </c>
      <c r="G226" s="21">
        <f>Table841419410132427323943485356[[#This Row],[VỐN CP]]+Table841419410132427323943485356[[#This Row],[LỢI NHUẬN RÒNG]]</f>
        <v>4891571.0536392089</v>
      </c>
      <c r="H226" s="28"/>
    </row>
    <row r="227" spans="1:10" hidden="1" x14ac:dyDescent="0.3">
      <c r="A227" s="23" t="s">
        <v>64</v>
      </c>
      <c r="B227" s="27" t="s">
        <v>19</v>
      </c>
      <c r="C227" s="21">
        <v>20</v>
      </c>
      <c r="D227" s="21">
        <v>7400000</v>
      </c>
      <c r="E227" s="21">
        <v>3014055.6</v>
      </c>
      <c r="F227" s="21">
        <v>2383142.1072784169</v>
      </c>
      <c r="G227" s="21">
        <f>Table841419410132427323943485356[[#This Row],[VỐN CP]]+Table841419410132427323943485356[[#This Row],[LỢI NHUẬN RÒNG]]</f>
        <v>9783142.1072784178</v>
      </c>
      <c r="H227" s="28"/>
    </row>
    <row r="228" spans="1:10" x14ac:dyDescent="0.3">
      <c r="A228" s="23" t="s">
        <v>64</v>
      </c>
      <c r="B228" s="27" t="s">
        <v>37</v>
      </c>
      <c r="C228" s="21">
        <v>10</v>
      </c>
      <c r="D228" s="21">
        <v>3700000</v>
      </c>
      <c r="E228" s="21">
        <v>1507027.8</v>
      </c>
      <c r="F228" s="21">
        <v>1191571.0536392084</v>
      </c>
      <c r="G228" s="21">
        <f>Table841419410132427323943485356[[#This Row],[VỐN CP]]+Table841419410132427323943485356[[#This Row],[LỢI NHUẬN RÒNG]]</f>
        <v>4891571.0536392089</v>
      </c>
      <c r="H228" s="28"/>
    </row>
    <row r="229" spans="1:10" hidden="1" x14ac:dyDescent="0.3">
      <c r="A229" s="23" t="s">
        <v>64</v>
      </c>
      <c r="B229" s="27" t="s">
        <v>33</v>
      </c>
      <c r="C229" s="21">
        <v>5</v>
      </c>
      <c r="D229" s="21">
        <v>1850000</v>
      </c>
      <c r="E229" s="21">
        <v>753513.9</v>
      </c>
      <c r="F229" s="21">
        <v>595785.52681960422</v>
      </c>
      <c r="G229" s="21">
        <f>Table841419410132427323943485356[[#This Row],[VỐN CP]]+Table841419410132427323943485356[[#This Row],[LỢI NHUẬN RÒNG]]</f>
        <v>2445785.5268196044</v>
      </c>
      <c r="H229" s="28"/>
    </row>
    <row r="230" spans="1:10" hidden="1" x14ac:dyDescent="0.3">
      <c r="A230" s="23" t="s">
        <v>64</v>
      </c>
      <c r="B230" s="27" t="s">
        <v>31</v>
      </c>
      <c r="C230" s="21">
        <v>5</v>
      </c>
      <c r="D230" s="21">
        <v>1850000</v>
      </c>
      <c r="E230" s="21">
        <v>753513.9</v>
      </c>
      <c r="F230" s="21">
        <v>595785.52681960422</v>
      </c>
      <c r="G230" s="21">
        <f>Table841419410132427323943485356[[#This Row],[VỐN CP]]+Table841419410132427323943485356[[#This Row],[LỢI NHUẬN RÒNG]]</f>
        <v>2445785.5268196044</v>
      </c>
      <c r="H230" s="28"/>
    </row>
    <row r="231" spans="1:10" hidden="1" x14ac:dyDescent="0.3">
      <c r="A231" s="23" t="s">
        <v>64</v>
      </c>
      <c r="B231" s="27" t="s">
        <v>21</v>
      </c>
      <c r="C231" s="21">
        <v>10</v>
      </c>
      <c r="D231" s="21">
        <v>3700000</v>
      </c>
      <c r="E231" s="21">
        <v>1507027.8</v>
      </c>
      <c r="F231" s="21">
        <v>1191571.0536392084</v>
      </c>
      <c r="G231" s="21">
        <f>Table841419410132427323943485356[[#This Row],[VỐN CP]]+Table841419410132427323943485356[[#This Row],[LỢI NHUẬN RÒNG]]</f>
        <v>4891571.0536392089</v>
      </c>
      <c r="H231" s="28"/>
    </row>
    <row r="232" spans="1:10" hidden="1" x14ac:dyDescent="0.3">
      <c r="A232" s="23" t="s">
        <v>64</v>
      </c>
      <c r="B232" s="27" t="s">
        <v>13</v>
      </c>
      <c r="C232" s="21">
        <v>5</v>
      </c>
      <c r="D232" s="21">
        <v>1850000</v>
      </c>
      <c r="E232" s="21">
        <v>753513.9</v>
      </c>
      <c r="F232" s="21">
        <v>595785.52681960422</v>
      </c>
      <c r="G232" s="21">
        <f>Table841419410132427323943485356[[#This Row],[VỐN CP]]+Table841419410132427323943485356[[#This Row],[LỢI NHUẬN RÒNG]]</f>
        <v>2445785.5268196044</v>
      </c>
      <c r="H232" s="28"/>
    </row>
    <row r="233" spans="1:10" hidden="1" x14ac:dyDescent="0.3">
      <c r="A233" s="23" t="s">
        <v>64</v>
      </c>
      <c r="B233" s="27" t="s">
        <v>29</v>
      </c>
      <c r="C233" s="21">
        <v>10</v>
      </c>
      <c r="D233" s="21">
        <v>3700000</v>
      </c>
      <c r="E233" s="21">
        <v>1507027.8</v>
      </c>
      <c r="F233" s="21">
        <v>1191571.0536392084</v>
      </c>
      <c r="G233" s="21">
        <f>Table841419410132427323943485356[[#This Row],[VỐN CP]]+Table841419410132427323943485356[[#This Row],[LỢI NHUẬN RÒNG]]</f>
        <v>4891571.0536392089</v>
      </c>
      <c r="H233" s="28"/>
    </row>
    <row r="234" spans="1:10" hidden="1" x14ac:dyDescent="0.3">
      <c r="A234" s="23" t="s">
        <v>64</v>
      </c>
      <c r="B234" s="11" t="s">
        <v>35</v>
      </c>
      <c r="C234" s="11">
        <v>5</v>
      </c>
      <c r="D234" s="11">
        <v>1850000</v>
      </c>
      <c r="E234" s="11">
        <v>753513.9</v>
      </c>
      <c r="F234" s="11">
        <v>595785.52681960422</v>
      </c>
      <c r="G234" s="21">
        <f>Table841419410132427323943485356[[#This Row],[VỐN CP]]+Table841419410132427323943485356[[#This Row],[LỢI NHUẬN RÒNG]]</f>
        <v>2445785.5268196044</v>
      </c>
      <c r="I234" s="11"/>
      <c r="J234" s="11"/>
    </row>
    <row r="235" spans="1:10" hidden="1" x14ac:dyDescent="0.3">
      <c r="A235" s="23" t="s">
        <v>64</v>
      </c>
      <c r="B235" s="21" t="s">
        <v>45</v>
      </c>
      <c r="C235" s="21">
        <v>10</v>
      </c>
      <c r="D235" s="21">
        <v>3700000</v>
      </c>
      <c r="E235" s="21">
        <v>1507027.8</v>
      </c>
      <c r="F235" s="21">
        <v>1191571.0536392084</v>
      </c>
      <c r="G235" s="21">
        <f>Table841419410132427323943485356[[#This Row],[VỐN CP]]+Table841419410132427323943485356[[#This Row],[LỢI NHUẬN RÒNG]]</f>
        <v>4891571.0536392089</v>
      </c>
      <c r="H235" s="28"/>
      <c r="I235" s="11"/>
      <c r="J235" s="11"/>
    </row>
    <row r="236" spans="1:10" hidden="1" x14ac:dyDescent="0.3">
      <c r="A236" s="23" t="s">
        <v>64</v>
      </c>
      <c r="B236" s="27" t="s">
        <v>46</v>
      </c>
      <c r="C236" s="21">
        <v>10</v>
      </c>
      <c r="D236" s="21">
        <v>3700000</v>
      </c>
      <c r="E236" s="21">
        <v>1507027.8</v>
      </c>
      <c r="F236" s="21">
        <v>1191571.0536392084</v>
      </c>
      <c r="G236" s="21">
        <f>Table841419410132427323943485356[[#This Row],[VỐN CP]]+Table841419410132427323943485356[[#This Row],[LỢI NHUẬN RÒNG]]</f>
        <v>4891571.0536392089</v>
      </c>
      <c r="H236" s="28"/>
      <c r="I236" s="11"/>
      <c r="J236" s="11"/>
    </row>
    <row r="237" spans="1:10" hidden="1" x14ac:dyDescent="0.3">
      <c r="A237" s="23" t="s">
        <v>65</v>
      </c>
      <c r="B237" s="27" t="s">
        <v>9</v>
      </c>
      <c r="C237" s="21">
        <v>10</v>
      </c>
      <c r="D237" s="21">
        <v>3500000</v>
      </c>
      <c r="E237" s="21">
        <v>1421900.3</v>
      </c>
      <c r="F237" s="21">
        <v>1034977.431128741</v>
      </c>
      <c r="G237" s="21">
        <f>Table841419410132427323943485356[[#This Row],[VỐN CP]]+Table841419410132427323943485356[[#This Row],[LỢI NHUẬN RÒNG]]</f>
        <v>4534977.4311287412</v>
      </c>
      <c r="H237" s="28"/>
      <c r="I237" s="11"/>
      <c r="J237" s="11"/>
    </row>
    <row r="238" spans="1:10" hidden="1" x14ac:dyDescent="0.3">
      <c r="A238" s="23" t="s">
        <v>65</v>
      </c>
      <c r="B238" s="27" t="s">
        <v>19</v>
      </c>
      <c r="C238" s="21">
        <v>30</v>
      </c>
      <c r="D238" s="21">
        <v>10500000</v>
      </c>
      <c r="E238" s="21">
        <v>4265700.9000000004</v>
      </c>
      <c r="F238" s="21">
        <v>3104932.2933862233</v>
      </c>
      <c r="G238" s="21">
        <f>Table841419410132427323943485356[[#This Row],[VỐN CP]]+Table841419410132427323943485356[[#This Row],[LỢI NHUẬN RÒNG]]</f>
        <v>13604932.293386223</v>
      </c>
      <c r="H238" s="28"/>
      <c r="I238" s="11"/>
      <c r="J238" s="11"/>
    </row>
    <row r="239" spans="1:10" x14ac:dyDescent="0.3">
      <c r="A239" s="23" t="s">
        <v>65</v>
      </c>
      <c r="B239" s="27" t="s">
        <v>37</v>
      </c>
      <c r="C239" s="21">
        <v>10</v>
      </c>
      <c r="D239" s="21">
        <v>3500000</v>
      </c>
      <c r="E239" s="21">
        <v>1421900.3</v>
      </c>
      <c r="F239" s="21">
        <v>1034977.431128741</v>
      </c>
      <c r="G239" s="21">
        <f>Table841419410132427323943485356[[#This Row],[VỐN CP]]+Table841419410132427323943485356[[#This Row],[LỢI NHUẬN RÒNG]]</f>
        <v>4534977.4311287412</v>
      </c>
      <c r="H239" s="28"/>
      <c r="I239" s="11"/>
      <c r="J239" s="11"/>
    </row>
    <row r="240" spans="1:10" hidden="1" x14ac:dyDescent="0.3">
      <c r="A240" s="23" t="s">
        <v>65</v>
      </c>
      <c r="B240" s="27" t="s">
        <v>33</v>
      </c>
      <c r="C240" s="21">
        <v>5</v>
      </c>
      <c r="D240" s="21">
        <v>1750000</v>
      </c>
      <c r="E240" s="21">
        <v>710950.15</v>
      </c>
      <c r="F240" s="21">
        <v>517488.7155643705</v>
      </c>
      <c r="G240" s="21">
        <f>Table841419410132427323943485356[[#This Row],[VỐN CP]]+Table841419410132427323943485356[[#This Row],[LỢI NHUẬN RÒNG]]</f>
        <v>2267488.7155643706</v>
      </c>
      <c r="H240" s="28"/>
      <c r="I240" s="11"/>
      <c r="J240" s="11"/>
    </row>
    <row r="241" spans="1:10" hidden="1" x14ac:dyDescent="0.3">
      <c r="A241" s="23" t="s">
        <v>65</v>
      </c>
      <c r="B241" s="27" t="s">
        <v>31</v>
      </c>
      <c r="C241" s="21">
        <v>10</v>
      </c>
      <c r="D241" s="21">
        <v>3500000</v>
      </c>
      <c r="E241" s="21">
        <v>1421900.3</v>
      </c>
      <c r="F241" s="21">
        <v>1034977.431128741</v>
      </c>
      <c r="G241" s="21">
        <f>Table841419410132427323943485356[[#This Row],[VỐN CP]]+Table841419410132427323943485356[[#This Row],[LỢI NHUẬN RÒNG]]</f>
        <v>4534977.4311287412</v>
      </c>
      <c r="H241" s="28"/>
      <c r="I241" s="11"/>
      <c r="J241" s="11"/>
    </row>
    <row r="242" spans="1:10" hidden="1" x14ac:dyDescent="0.3">
      <c r="A242" s="23" t="s">
        <v>65</v>
      </c>
      <c r="B242" s="27" t="s">
        <v>21</v>
      </c>
      <c r="C242" s="21">
        <v>10</v>
      </c>
      <c r="D242" s="21">
        <v>3500000</v>
      </c>
      <c r="E242" s="21">
        <v>1421900.3</v>
      </c>
      <c r="F242" s="21">
        <v>1034977.431128741</v>
      </c>
      <c r="G242" s="21">
        <f>Table841419410132427323943485356[[#This Row],[VỐN CP]]+Table841419410132427323943485356[[#This Row],[LỢI NHUẬN RÒNG]]</f>
        <v>4534977.4311287412</v>
      </c>
      <c r="H242" s="28"/>
      <c r="I242" s="11"/>
      <c r="J242" s="11"/>
    </row>
    <row r="243" spans="1:10" hidden="1" x14ac:dyDescent="0.3">
      <c r="A243" s="23" t="s">
        <v>65</v>
      </c>
      <c r="B243" s="27" t="s">
        <v>35</v>
      </c>
      <c r="C243" s="21">
        <v>10</v>
      </c>
      <c r="D243" s="21">
        <v>3500000</v>
      </c>
      <c r="E243" s="21">
        <v>1421900.3</v>
      </c>
      <c r="F243" s="21">
        <v>1034977.431128741</v>
      </c>
      <c r="G243" s="21">
        <f>Table841419410132427323943485356[[#This Row],[VỐN CP]]+Table841419410132427323943485356[[#This Row],[LỢI NHUẬN RÒNG]]</f>
        <v>4534977.4311287412</v>
      </c>
      <c r="H243" s="28"/>
      <c r="I243" s="11"/>
      <c r="J243" s="11"/>
    </row>
    <row r="244" spans="1:10" hidden="1" x14ac:dyDescent="0.3">
      <c r="A244" s="23" t="s">
        <v>65</v>
      </c>
      <c r="B244" s="27" t="s">
        <v>43</v>
      </c>
      <c r="C244" s="21">
        <v>10</v>
      </c>
      <c r="D244" s="21">
        <v>3500000</v>
      </c>
      <c r="E244" s="21">
        <v>1421900.3</v>
      </c>
      <c r="F244" s="21">
        <v>1034977.431128741</v>
      </c>
      <c r="G244" s="21">
        <f>Table841419410132427323943485356[[#This Row],[VỐN CP]]+Table841419410132427323943485356[[#This Row],[LỢI NHUẬN RÒNG]]</f>
        <v>4534977.4311287412</v>
      </c>
      <c r="H244" s="28"/>
      <c r="I244" s="11"/>
      <c r="J244" s="11"/>
    </row>
    <row r="245" spans="1:10" hidden="1" x14ac:dyDescent="0.3">
      <c r="A245" s="23" t="s">
        <v>65</v>
      </c>
      <c r="B245" s="27" t="s">
        <v>45</v>
      </c>
      <c r="C245" s="21">
        <v>5</v>
      </c>
      <c r="D245" s="21">
        <v>1750000</v>
      </c>
      <c r="E245" s="21">
        <v>710950.15</v>
      </c>
      <c r="F245" s="21">
        <v>517488.7155643705</v>
      </c>
      <c r="G245" s="21">
        <f>Table841419410132427323943485356[[#This Row],[VỐN CP]]+Table841419410132427323943485356[[#This Row],[LỢI NHUẬN RÒNG]]</f>
        <v>2267488.7155643706</v>
      </c>
      <c r="H245" s="28"/>
      <c r="I245" s="11"/>
      <c r="J245" s="11"/>
    </row>
    <row r="246" spans="1:10" hidden="1" x14ac:dyDescent="0.3">
      <c r="A246" s="23" t="s">
        <v>66</v>
      </c>
      <c r="B246" s="27" t="s">
        <v>9</v>
      </c>
      <c r="C246" s="21">
        <v>10</v>
      </c>
      <c r="D246" s="21">
        <v>5000000</v>
      </c>
      <c r="E246" s="21">
        <v>1269546.8</v>
      </c>
      <c r="F246" s="21">
        <v>782742.60501353</v>
      </c>
      <c r="G246" s="21">
        <f>Table841419410132427323943485356[[#This Row],[VỐN CP]]+Table841419410132427323943485356[[#This Row],[LỢI NHUẬN RÒNG]]</f>
        <v>5782742.6050135298</v>
      </c>
      <c r="H246" s="28"/>
      <c r="I246" s="11"/>
      <c r="J246" s="11"/>
    </row>
    <row r="247" spans="1:10" hidden="1" x14ac:dyDescent="0.3">
      <c r="A247" s="23" t="s">
        <v>66</v>
      </c>
      <c r="B247" s="27" t="s">
        <v>19</v>
      </c>
      <c r="C247" s="21">
        <v>20</v>
      </c>
      <c r="D247" s="21">
        <v>10000000</v>
      </c>
      <c r="E247" s="21">
        <v>2539093.6</v>
      </c>
      <c r="F247" s="21">
        <v>1565485.21002706</v>
      </c>
      <c r="G247" s="21">
        <f>Table841419410132427323943485356[[#This Row],[VỐN CP]]+Table841419410132427323943485356[[#This Row],[LỢI NHUẬN RÒNG]]</f>
        <v>11565485.21002706</v>
      </c>
      <c r="H247" s="28"/>
      <c r="I247" s="11"/>
      <c r="J247" s="11"/>
    </row>
    <row r="248" spans="1:10" x14ac:dyDescent="0.3">
      <c r="A248" s="23" t="s">
        <v>66</v>
      </c>
      <c r="B248" s="27" t="s">
        <v>37</v>
      </c>
      <c r="C248" s="21">
        <v>10</v>
      </c>
      <c r="D248" s="21">
        <v>5000000</v>
      </c>
      <c r="E248" s="21">
        <v>1269546.8</v>
      </c>
      <c r="F248" s="21">
        <v>782742.60501353</v>
      </c>
      <c r="G248" s="21">
        <f>Table841419410132427323943485356[[#This Row],[VỐN CP]]+Table841419410132427323943485356[[#This Row],[LỢI NHUẬN RÒNG]]</f>
        <v>5782742.6050135298</v>
      </c>
      <c r="H248" s="28"/>
      <c r="I248" s="11"/>
      <c r="J248" s="11"/>
    </row>
    <row r="249" spans="1:10" hidden="1" x14ac:dyDescent="0.3">
      <c r="A249" s="23" t="s">
        <v>66</v>
      </c>
      <c r="B249" s="27" t="s">
        <v>31</v>
      </c>
      <c r="C249" s="21">
        <v>5</v>
      </c>
      <c r="D249" s="21">
        <v>2500000</v>
      </c>
      <c r="E249" s="21">
        <v>634773.4</v>
      </c>
      <c r="F249" s="21">
        <v>391371.302506765</v>
      </c>
      <c r="G249" s="21">
        <f>Table841419410132427323943485356[[#This Row],[VỐN CP]]+Table841419410132427323943485356[[#This Row],[LỢI NHUẬN RÒNG]]</f>
        <v>2891371.3025067649</v>
      </c>
      <c r="H249" s="28"/>
      <c r="I249" s="11"/>
      <c r="J249" s="11"/>
    </row>
    <row r="250" spans="1:10" hidden="1" x14ac:dyDescent="0.3">
      <c r="A250" s="23" t="s">
        <v>66</v>
      </c>
      <c r="B250" s="27" t="s">
        <v>21</v>
      </c>
      <c r="C250" s="21">
        <v>10</v>
      </c>
      <c r="D250" s="21">
        <v>5000000</v>
      </c>
      <c r="E250" s="21">
        <v>1269546.8</v>
      </c>
      <c r="F250" s="21">
        <v>782742.60501353</v>
      </c>
      <c r="G250" s="21">
        <f>Table841419410132427323943485356[[#This Row],[VỐN CP]]+Table841419410132427323943485356[[#This Row],[LỢI NHUẬN RÒNG]]</f>
        <v>5782742.6050135298</v>
      </c>
      <c r="H250" s="28"/>
      <c r="I250" s="11"/>
      <c r="J250" s="11"/>
    </row>
    <row r="251" spans="1:10" hidden="1" x14ac:dyDescent="0.3">
      <c r="A251" s="23" t="s">
        <v>66</v>
      </c>
      <c r="B251" s="27" t="s">
        <v>10</v>
      </c>
      <c r="C251" s="21">
        <v>5</v>
      </c>
      <c r="D251" s="21">
        <v>2500000</v>
      </c>
      <c r="E251" s="21">
        <v>634773.4</v>
      </c>
      <c r="F251" s="21">
        <v>391371.302506765</v>
      </c>
      <c r="G251" s="21">
        <f>Table841419410132427323943485356[[#This Row],[VỐN CP]]+Table841419410132427323943485356[[#This Row],[LỢI NHUẬN RÒNG]]</f>
        <v>2891371.3025067649</v>
      </c>
      <c r="H251" s="28"/>
      <c r="I251" s="11"/>
      <c r="J251" s="11"/>
    </row>
    <row r="252" spans="1:10" hidden="1" x14ac:dyDescent="0.3">
      <c r="A252" s="23" t="s">
        <v>66</v>
      </c>
      <c r="B252" s="27" t="s">
        <v>29</v>
      </c>
      <c r="C252" s="21">
        <v>10</v>
      </c>
      <c r="D252" s="21">
        <v>5000000</v>
      </c>
      <c r="E252" s="21">
        <v>1269546.8</v>
      </c>
      <c r="F252" s="21">
        <v>782742.60501353</v>
      </c>
      <c r="G252" s="21">
        <f>Table841419410132427323943485356[[#This Row],[VỐN CP]]+Table841419410132427323943485356[[#This Row],[LỢI NHUẬN RÒNG]]</f>
        <v>5782742.6050135298</v>
      </c>
      <c r="H252" s="28"/>
      <c r="I252" s="11"/>
      <c r="J252" s="11"/>
    </row>
    <row r="253" spans="1:10" hidden="1" x14ac:dyDescent="0.3">
      <c r="A253" s="23" t="s">
        <v>66</v>
      </c>
      <c r="B253" s="27" t="s">
        <v>35</v>
      </c>
      <c r="C253" s="21">
        <v>5</v>
      </c>
      <c r="D253" s="21">
        <v>2500000</v>
      </c>
      <c r="E253" s="21">
        <v>634773.4</v>
      </c>
      <c r="F253" s="21">
        <v>391371.302506765</v>
      </c>
      <c r="G253" s="21">
        <f>Table841419410132427323943485356[[#This Row],[VỐN CP]]+Table841419410132427323943485356[[#This Row],[LỢI NHUẬN RÒNG]]</f>
        <v>2891371.3025067649</v>
      </c>
      <c r="H253" s="28"/>
      <c r="I253" s="11"/>
      <c r="J253" s="11"/>
    </row>
    <row r="254" spans="1:10" hidden="1" x14ac:dyDescent="0.3">
      <c r="A254" s="23" t="s">
        <v>66</v>
      </c>
      <c r="B254" s="27" t="s">
        <v>45</v>
      </c>
      <c r="C254" s="21">
        <v>5</v>
      </c>
      <c r="D254" s="21">
        <v>2500000</v>
      </c>
      <c r="E254" s="21">
        <v>634773.4</v>
      </c>
      <c r="F254" s="21">
        <v>391371.302506765</v>
      </c>
      <c r="G254" s="21">
        <f>Table841419410132427323943485356[[#This Row],[VỐN CP]]+Table841419410132427323943485356[[#This Row],[LỢI NHUẬN RÒNG]]</f>
        <v>2891371.3025067649</v>
      </c>
      <c r="H254" s="28"/>
      <c r="I254" s="11"/>
      <c r="J254" s="11"/>
    </row>
    <row r="255" spans="1:10" hidden="1" x14ac:dyDescent="0.3">
      <c r="A255" s="23" t="s">
        <v>66</v>
      </c>
      <c r="B255" s="27" t="s">
        <v>25</v>
      </c>
      <c r="C255" s="21">
        <v>10</v>
      </c>
      <c r="D255" s="21">
        <v>5000000</v>
      </c>
      <c r="E255" s="21">
        <v>1269546.8</v>
      </c>
      <c r="F255" s="21">
        <v>782742.60501353</v>
      </c>
      <c r="G255" s="21">
        <f>Table841419410132427323943485356[[#This Row],[VỐN CP]]+Table841419410132427323943485356[[#This Row],[LỢI NHUẬN RÒNG]]</f>
        <v>5782742.6050135298</v>
      </c>
      <c r="H255" s="28"/>
      <c r="I255" s="11"/>
      <c r="J255" s="11"/>
    </row>
    <row r="256" spans="1:10" hidden="1" x14ac:dyDescent="0.3">
      <c r="A256" s="23" t="s">
        <v>66</v>
      </c>
      <c r="B256" s="27" t="s">
        <v>46</v>
      </c>
      <c r="C256" s="21">
        <v>5</v>
      </c>
      <c r="D256" s="21">
        <v>2500000</v>
      </c>
      <c r="E256" s="21">
        <v>634773.4</v>
      </c>
      <c r="F256" s="21">
        <v>391371.302506765</v>
      </c>
      <c r="G256" s="21">
        <f>Table841419410132427323943485356[[#This Row],[VỐN CP]]+Table841419410132427323943485356[[#This Row],[LỢI NHUẬN RÒNG]]</f>
        <v>2891371.3025067649</v>
      </c>
      <c r="H256" s="28"/>
      <c r="I256" s="11"/>
      <c r="J256" s="11"/>
    </row>
    <row r="257" spans="1:10" hidden="1" x14ac:dyDescent="0.3">
      <c r="A257" s="23" t="s">
        <v>66</v>
      </c>
      <c r="B257" s="27" t="s">
        <v>43</v>
      </c>
      <c r="C257" s="21">
        <v>5</v>
      </c>
      <c r="D257" s="21">
        <v>2500000</v>
      </c>
      <c r="E257" s="21">
        <v>634773.4</v>
      </c>
      <c r="F257" s="21">
        <v>391371.302506765</v>
      </c>
      <c r="G257" s="21">
        <f>Table841419410132427323943485356[[#This Row],[VỐN CP]]+Table841419410132427323943485356[[#This Row],[LỢI NHUẬN RÒNG]]</f>
        <v>2891371.3025067649</v>
      </c>
      <c r="H257" s="28"/>
      <c r="I257" s="11"/>
      <c r="J257" s="11"/>
    </row>
    <row r="258" spans="1:10" hidden="1" x14ac:dyDescent="0.3">
      <c r="A258" s="23" t="s">
        <v>67</v>
      </c>
      <c r="B258" s="27" t="s">
        <v>9</v>
      </c>
      <c r="C258" s="21">
        <v>10</v>
      </c>
      <c r="D258" s="21">
        <v>1900000</v>
      </c>
      <c r="E258" s="21">
        <v>853288.4</v>
      </c>
      <c r="F258" s="21">
        <v>584501.06640029442</v>
      </c>
      <c r="G258" s="21">
        <f>Table841419410132427323943485356[[#This Row],[VỐN CP]]+Table841419410132427323943485356[[#This Row],[LỢI NHUẬN RÒNG]]</f>
        <v>2484501.0664002942</v>
      </c>
      <c r="H258" s="28"/>
      <c r="I258" s="11"/>
      <c r="J258" s="11"/>
    </row>
    <row r="259" spans="1:10" hidden="1" x14ac:dyDescent="0.3">
      <c r="A259" s="23" t="s">
        <v>67</v>
      </c>
      <c r="B259" s="27" t="s">
        <v>19</v>
      </c>
      <c r="C259" s="21">
        <v>20</v>
      </c>
      <c r="D259" s="21">
        <v>3800000</v>
      </c>
      <c r="E259" s="21">
        <v>1706576.8</v>
      </c>
      <c r="F259" s="21">
        <v>1169002.1328005888</v>
      </c>
      <c r="G259" s="21">
        <f>Table841419410132427323943485356[[#This Row],[VỐN CP]]+Table841419410132427323943485356[[#This Row],[LỢI NHUẬN RÒNG]]</f>
        <v>4969002.1328005884</v>
      </c>
      <c r="H259" s="28"/>
      <c r="I259" s="11"/>
      <c r="J259" s="11"/>
    </row>
    <row r="260" spans="1:10" hidden="1" x14ac:dyDescent="0.3">
      <c r="A260" s="23" t="s">
        <v>67</v>
      </c>
      <c r="B260" s="27" t="s">
        <v>33</v>
      </c>
      <c r="C260" s="21">
        <v>5</v>
      </c>
      <c r="D260" s="21">
        <v>950000</v>
      </c>
      <c r="E260" s="21">
        <v>426644.2</v>
      </c>
      <c r="F260" s="21">
        <v>292250.53320014721</v>
      </c>
      <c r="G260" s="21">
        <f>Table841419410132427323943485356[[#This Row],[VỐN CP]]+Table841419410132427323943485356[[#This Row],[LỢI NHUẬN RÒNG]]</f>
        <v>1242250.5332001471</v>
      </c>
      <c r="H260" s="28"/>
      <c r="I260" s="11"/>
      <c r="J260" s="11"/>
    </row>
    <row r="261" spans="1:10" hidden="1" x14ac:dyDescent="0.3">
      <c r="A261" s="23" t="s">
        <v>67</v>
      </c>
      <c r="B261" s="27" t="s">
        <v>21</v>
      </c>
      <c r="C261" s="21">
        <v>10</v>
      </c>
      <c r="D261" s="21">
        <v>1900000</v>
      </c>
      <c r="E261" s="21">
        <v>853288.4</v>
      </c>
      <c r="F261" s="21">
        <v>584501.06640029442</v>
      </c>
      <c r="G261" s="21">
        <f>Table841419410132427323943485356[[#This Row],[VỐN CP]]+Table841419410132427323943485356[[#This Row],[LỢI NHUẬN RÒNG]]</f>
        <v>2484501.0664002942</v>
      </c>
      <c r="H261" s="28"/>
      <c r="I261" s="11"/>
      <c r="J261" s="11"/>
    </row>
    <row r="262" spans="1:10" hidden="1" x14ac:dyDescent="0.3">
      <c r="A262" s="23" t="s">
        <v>67</v>
      </c>
      <c r="B262" s="27" t="s">
        <v>29</v>
      </c>
      <c r="C262" s="21">
        <v>15</v>
      </c>
      <c r="D262" s="21">
        <v>2850000</v>
      </c>
      <c r="E262" s="21">
        <v>1279932.6000000001</v>
      </c>
      <c r="F262" s="21">
        <v>876751.59960044164</v>
      </c>
      <c r="G262" s="21">
        <f>Table841419410132427323943485356[[#This Row],[VỐN CP]]+Table841419410132427323943485356[[#This Row],[LỢI NHUẬN RÒNG]]</f>
        <v>3726751.5996004418</v>
      </c>
      <c r="H262" s="28"/>
      <c r="I262" s="11"/>
      <c r="J262" s="11"/>
    </row>
    <row r="263" spans="1:10" hidden="1" x14ac:dyDescent="0.3">
      <c r="A263" s="23" t="s">
        <v>67</v>
      </c>
      <c r="B263" s="27" t="s">
        <v>44</v>
      </c>
      <c r="C263" s="21">
        <v>10</v>
      </c>
      <c r="D263" s="21">
        <v>1900000</v>
      </c>
      <c r="E263" s="21">
        <v>853288.4</v>
      </c>
      <c r="F263" s="21">
        <v>584501.06640029442</v>
      </c>
      <c r="G263" s="21">
        <f>Table841419410132427323943485356[[#This Row],[VỐN CP]]+Table841419410132427323943485356[[#This Row],[LỢI NHUẬN RÒNG]]</f>
        <v>2484501.0664002942</v>
      </c>
      <c r="H263" s="28"/>
      <c r="I263" s="11"/>
      <c r="J263" s="11"/>
    </row>
    <row r="264" spans="1:10" hidden="1" x14ac:dyDescent="0.3">
      <c r="A264" s="23" t="s">
        <v>67</v>
      </c>
      <c r="B264" s="27" t="s">
        <v>41</v>
      </c>
      <c r="C264" s="21">
        <v>5</v>
      </c>
      <c r="D264" s="21">
        <v>950000</v>
      </c>
      <c r="E264" s="21">
        <v>426644.2</v>
      </c>
      <c r="F264" s="21">
        <v>292250.53320014721</v>
      </c>
      <c r="G264" s="21">
        <f>Table841419410132427323943485356[[#This Row],[VỐN CP]]+Table841419410132427323943485356[[#This Row],[LỢI NHUẬN RÒNG]]</f>
        <v>1242250.5332001471</v>
      </c>
      <c r="H264" s="28"/>
      <c r="I264" s="11"/>
      <c r="J264" s="11"/>
    </row>
    <row r="265" spans="1:10" hidden="1" x14ac:dyDescent="0.3">
      <c r="A265" s="23" t="s">
        <v>67</v>
      </c>
      <c r="B265" s="27" t="s">
        <v>25</v>
      </c>
      <c r="C265" s="21">
        <v>20</v>
      </c>
      <c r="D265" s="21">
        <v>3800000</v>
      </c>
      <c r="E265" s="21">
        <v>1706576.8</v>
      </c>
      <c r="F265" s="21">
        <v>1169002.1328005888</v>
      </c>
      <c r="G265" s="21">
        <f>Table841419410132427323943485356[[#This Row],[VỐN CP]]+Table841419410132427323943485356[[#This Row],[LỢI NHUẬN RÒNG]]</f>
        <v>4969002.1328005884</v>
      </c>
      <c r="H265" s="28"/>
      <c r="I265" s="11"/>
      <c r="J265" s="11"/>
    </row>
    <row r="266" spans="1:10" hidden="1" x14ac:dyDescent="0.3">
      <c r="A266" s="23" t="s">
        <v>67</v>
      </c>
      <c r="B266" s="27" t="s">
        <v>46</v>
      </c>
      <c r="C266" s="21">
        <v>5</v>
      </c>
      <c r="D266" s="21">
        <v>950000</v>
      </c>
      <c r="E266" s="21">
        <v>426644.2</v>
      </c>
      <c r="F266" s="21">
        <v>292250.53320014721</v>
      </c>
      <c r="G266" s="21">
        <f>Table841419410132427323943485356[[#This Row],[VỐN CP]]+Table841419410132427323943485356[[#This Row],[LỢI NHUẬN RÒNG]]</f>
        <v>1242250.5332001471</v>
      </c>
      <c r="H266" s="28"/>
      <c r="I266" s="11"/>
      <c r="J266" s="11"/>
    </row>
    <row r="267" spans="1:10" hidden="1" x14ac:dyDescent="0.3">
      <c r="A267" s="23" t="s">
        <v>68</v>
      </c>
      <c r="B267" s="27" t="s">
        <v>9</v>
      </c>
      <c r="C267" s="21">
        <v>15</v>
      </c>
      <c r="D267" s="21">
        <v>1500000</v>
      </c>
      <c r="E267" s="21">
        <v>1897165.35</v>
      </c>
      <c r="F267" s="21">
        <v>1577276.0335561251</v>
      </c>
      <c r="G267" s="21">
        <f>Table841419410132427323943485356[[#This Row],[VỐN CP]]+Table841419410132427323943485356[[#This Row],[LỢI NHUẬN RÒNG]]</f>
        <v>3077276.0335561251</v>
      </c>
      <c r="H267" s="28"/>
      <c r="I267" s="11"/>
      <c r="J267" s="11"/>
    </row>
    <row r="268" spans="1:10" hidden="1" x14ac:dyDescent="0.3">
      <c r="A268" s="23" t="s">
        <v>68</v>
      </c>
      <c r="B268" s="27" t="s">
        <v>19</v>
      </c>
      <c r="C268" s="21">
        <v>5</v>
      </c>
      <c r="D268" s="21">
        <v>500000</v>
      </c>
      <c r="E268" s="21">
        <v>632388.44999999995</v>
      </c>
      <c r="F268" s="21">
        <v>525758.67785204167</v>
      </c>
      <c r="G268" s="21">
        <f>Table841419410132427323943485356[[#This Row],[VỐN CP]]+Table841419410132427323943485356[[#This Row],[LỢI NHUẬN RÒNG]]</f>
        <v>1025758.6778520417</v>
      </c>
      <c r="H268" s="28"/>
      <c r="I268" s="11"/>
      <c r="J268" s="11"/>
    </row>
    <row r="269" spans="1:10" x14ac:dyDescent="0.3">
      <c r="A269" s="23" t="s">
        <v>68</v>
      </c>
      <c r="B269" s="27" t="s">
        <v>37</v>
      </c>
      <c r="C269" s="21">
        <v>10</v>
      </c>
      <c r="D269" s="21">
        <v>1000000</v>
      </c>
      <c r="E269" s="21">
        <v>1264776.8999999999</v>
      </c>
      <c r="F269" s="21">
        <v>1051517.3557040833</v>
      </c>
      <c r="G269" s="21">
        <f>Table841419410132427323943485356[[#This Row],[VỐN CP]]+Table841419410132427323943485356[[#This Row],[LỢI NHUẬN RÒNG]]</f>
        <v>2051517.3557040833</v>
      </c>
      <c r="H269" s="28"/>
      <c r="I269" s="11"/>
      <c r="J269" s="11"/>
    </row>
    <row r="270" spans="1:10" hidden="1" x14ac:dyDescent="0.3">
      <c r="A270" s="23" t="s">
        <v>68</v>
      </c>
      <c r="B270" s="27" t="s">
        <v>33</v>
      </c>
      <c r="C270" s="21">
        <v>5</v>
      </c>
      <c r="D270" s="21">
        <v>500000</v>
      </c>
      <c r="E270" s="21">
        <v>632388.44999999995</v>
      </c>
      <c r="F270" s="21">
        <v>525758.67785204167</v>
      </c>
      <c r="G270" s="21">
        <f>Table841419410132427323943485356[[#This Row],[VỐN CP]]+Table841419410132427323943485356[[#This Row],[LỢI NHUẬN RÒNG]]</f>
        <v>1025758.6778520417</v>
      </c>
      <c r="H270" s="28"/>
      <c r="I270" s="11"/>
      <c r="J270" s="11"/>
    </row>
    <row r="271" spans="1:10" hidden="1" x14ac:dyDescent="0.3">
      <c r="A271" s="23" t="s">
        <v>68</v>
      </c>
      <c r="B271" s="27" t="s">
        <v>31</v>
      </c>
      <c r="C271" s="21">
        <v>5</v>
      </c>
      <c r="D271" s="21">
        <v>500000</v>
      </c>
      <c r="E271" s="21">
        <v>632388.44999999995</v>
      </c>
      <c r="F271" s="21">
        <v>525758.67785204167</v>
      </c>
      <c r="G271" s="21">
        <f>Table841419410132427323943485356[[#This Row],[VỐN CP]]+Table841419410132427323943485356[[#This Row],[LỢI NHUẬN RÒNG]]</f>
        <v>1025758.6778520417</v>
      </c>
      <c r="H271" s="28"/>
      <c r="I271" s="11"/>
      <c r="J271" s="11"/>
    </row>
    <row r="272" spans="1:10" hidden="1" x14ac:dyDescent="0.3">
      <c r="A272" s="23" t="s">
        <v>68</v>
      </c>
      <c r="B272" s="27" t="s">
        <v>15</v>
      </c>
      <c r="C272" s="21">
        <v>5</v>
      </c>
      <c r="D272" s="21">
        <v>500000</v>
      </c>
      <c r="E272" s="21">
        <v>632388.44999999995</v>
      </c>
      <c r="F272" s="21">
        <v>525758.67785204167</v>
      </c>
      <c r="G272" s="21">
        <f>Table841419410132427323943485356[[#This Row],[VỐN CP]]+Table841419410132427323943485356[[#This Row],[LỢI NHUẬN RÒNG]]</f>
        <v>1025758.6778520417</v>
      </c>
      <c r="H272" s="28"/>
      <c r="I272" s="11"/>
      <c r="J272" s="11"/>
    </row>
    <row r="273" spans="1:10" hidden="1" x14ac:dyDescent="0.3">
      <c r="A273" s="23" t="s">
        <v>68</v>
      </c>
      <c r="B273" s="27" t="s">
        <v>21</v>
      </c>
      <c r="C273" s="21">
        <v>15</v>
      </c>
      <c r="D273" s="21">
        <v>1500000</v>
      </c>
      <c r="E273" s="21">
        <v>1897165.35</v>
      </c>
      <c r="F273" s="21">
        <v>1577276.0335561251</v>
      </c>
      <c r="G273" s="21">
        <f>Table841419410132427323943485356[[#This Row],[VỐN CP]]+Table841419410132427323943485356[[#This Row],[LỢI NHUẬN RÒNG]]</f>
        <v>3077276.0335561251</v>
      </c>
      <c r="H273" s="28"/>
      <c r="I273" s="11"/>
      <c r="J273" s="11"/>
    </row>
    <row r="274" spans="1:10" hidden="1" x14ac:dyDescent="0.3">
      <c r="A274" s="23" t="s">
        <v>68</v>
      </c>
      <c r="B274" s="27" t="s">
        <v>29</v>
      </c>
      <c r="C274" s="21">
        <v>5</v>
      </c>
      <c r="D274" s="21">
        <v>500000</v>
      </c>
      <c r="E274" s="21">
        <v>632388.44999999995</v>
      </c>
      <c r="F274" s="21">
        <v>525758.67785204167</v>
      </c>
      <c r="G274" s="21">
        <f>Table841419410132427323943485356[[#This Row],[VỐN CP]]+Table841419410132427323943485356[[#This Row],[LỢI NHUẬN RÒNG]]</f>
        <v>1025758.6778520417</v>
      </c>
      <c r="H274" s="28"/>
      <c r="I274" s="11"/>
      <c r="J274" s="11"/>
    </row>
    <row r="275" spans="1:10" hidden="1" x14ac:dyDescent="0.3">
      <c r="A275" s="23" t="s">
        <v>68</v>
      </c>
      <c r="B275" s="27" t="s">
        <v>35</v>
      </c>
      <c r="C275" s="21">
        <v>10</v>
      </c>
      <c r="D275" s="21">
        <v>1000000</v>
      </c>
      <c r="E275" s="21">
        <v>1264776.8999999999</v>
      </c>
      <c r="F275" s="21">
        <v>1051517.3557040833</v>
      </c>
      <c r="G275" s="21">
        <f>Table841419410132427323943485356[[#This Row],[VỐN CP]]+Table841419410132427323943485356[[#This Row],[LỢI NHUẬN RÒNG]]</f>
        <v>2051517.3557040833</v>
      </c>
      <c r="H275" s="28"/>
      <c r="I275" s="11"/>
      <c r="J275" s="11"/>
    </row>
    <row r="276" spans="1:10" hidden="1" x14ac:dyDescent="0.3">
      <c r="A276" s="23" t="s">
        <v>68</v>
      </c>
      <c r="B276" s="27" t="s">
        <v>43</v>
      </c>
      <c r="C276" s="21">
        <v>10</v>
      </c>
      <c r="D276" s="21">
        <v>1000000</v>
      </c>
      <c r="E276" s="21">
        <v>1264776.8999999999</v>
      </c>
      <c r="F276" s="21">
        <v>1051517.3557040833</v>
      </c>
      <c r="G276" s="21">
        <f>Table841419410132427323943485356[[#This Row],[VỐN CP]]+Table841419410132427323943485356[[#This Row],[LỢI NHUẬN RÒNG]]</f>
        <v>2051517.3557040833</v>
      </c>
      <c r="H276" s="28"/>
      <c r="I276" s="11"/>
      <c r="J276" s="11"/>
    </row>
    <row r="277" spans="1:10" hidden="1" x14ac:dyDescent="0.3">
      <c r="A277" s="23" t="s">
        <v>68</v>
      </c>
      <c r="B277" s="27" t="s">
        <v>44</v>
      </c>
      <c r="C277" s="21">
        <v>5</v>
      </c>
      <c r="D277" s="21">
        <v>500000</v>
      </c>
      <c r="E277" s="21">
        <v>632388.44999999995</v>
      </c>
      <c r="F277" s="21">
        <v>525758.67785204167</v>
      </c>
      <c r="G277" s="21">
        <f>Table841419410132427323943485356[[#This Row],[VỐN CP]]+Table841419410132427323943485356[[#This Row],[LỢI NHUẬN RÒNG]]</f>
        <v>1025758.6778520417</v>
      </c>
      <c r="H277" s="28"/>
      <c r="I277" s="11"/>
      <c r="J277" s="11"/>
    </row>
    <row r="278" spans="1:10" hidden="1" x14ac:dyDescent="0.3">
      <c r="A278" s="23" t="s">
        <v>68</v>
      </c>
      <c r="B278" s="27" t="s">
        <v>25</v>
      </c>
      <c r="C278" s="21">
        <v>10</v>
      </c>
      <c r="D278" s="21">
        <v>1000000</v>
      </c>
      <c r="E278" s="21">
        <v>1264776.8999999999</v>
      </c>
      <c r="F278" s="21">
        <v>1051517.3557040833</v>
      </c>
      <c r="G278" s="21">
        <f>Table841419410132427323943485356[[#This Row],[VỐN CP]]+Table841419410132427323943485356[[#This Row],[LỢI NHUẬN RÒNG]]</f>
        <v>2051517.3557040833</v>
      </c>
      <c r="H278" s="28"/>
      <c r="I278" s="11"/>
      <c r="J278" s="11"/>
    </row>
    <row r="279" spans="1:10" hidden="1" x14ac:dyDescent="0.3">
      <c r="A279" s="23" t="s">
        <v>69</v>
      </c>
      <c r="B279" s="27" t="s">
        <v>9</v>
      </c>
      <c r="C279" s="21">
        <v>20</v>
      </c>
      <c r="D279" s="21">
        <v>7200000</v>
      </c>
      <c r="E279" s="21">
        <v>2357837</v>
      </c>
      <c r="F279" s="21">
        <v>1779966.0465699136</v>
      </c>
      <c r="G279" s="21">
        <f>Table841419410132427323943485356[[#This Row],[VỐN CP]]+Table841419410132427323943485356[[#This Row],[LỢI NHUẬN RÒNG]]</f>
        <v>8979966.0465699136</v>
      </c>
      <c r="H279" s="28"/>
      <c r="I279" s="11"/>
      <c r="J279" s="11"/>
    </row>
    <row r="280" spans="1:10" hidden="1" x14ac:dyDescent="0.3">
      <c r="A280" s="23" t="s">
        <v>69</v>
      </c>
      <c r="B280" s="27" t="s">
        <v>19</v>
      </c>
      <c r="C280" s="21">
        <v>10</v>
      </c>
      <c r="D280" s="21">
        <v>3600000</v>
      </c>
      <c r="E280" s="21">
        <v>1178918.5</v>
      </c>
      <c r="F280" s="21">
        <v>889983.02328495681</v>
      </c>
      <c r="G280" s="21">
        <f>Table841419410132427323943485356[[#This Row],[VỐN CP]]+Table841419410132427323943485356[[#This Row],[LỢI NHUẬN RÒNG]]</f>
        <v>4489983.0232849568</v>
      </c>
      <c r="H280" s="28"/>
      <c r="I280" s="11"/>
      <c r="J280" s="11"/>
    </row>
    <row r="281" spans="1:10" x14ac:dyDescent="0.3">
      <c r="A281" s="23" t="s">
        <v>69</v>
      </c>
      <c r="B281" s="27" t="s">
        <v>37</v>
      </c>
      <c r="C281" s="21">
        <v>10</v>
      </c>
      <c r="D281" s="21">
        <v>3600000</v>
      </c>
      <c r="E281" s="21">
        <v>1178918.5</v>
      </c>
      <c r="F281" s="21">
        <v>889983.02328495681</v>
      </c>
      <c r="G281" s="21">
        <f>Table841419410132427323943485356[[#This Row],[VỐN CP]]+Table841419410132427323943485356[[#This Row],[LỢI NHUẬN RÒNG]]</f>
        <v>4489983.0232849568</v>
      </c>
      <c r="H281" s="28"/>
      <c r="I281" s="11"/>
      <c r="J281" s="11"/>
    </row>
    <row r="282" spans="1:10" hidden="1" x14ac:dyDescent="0.3">
      <c r="A282" s="23" t="s">
        <v>69</v>
      </c>
      <c r="B282" s="27" t="s">
        <v>33</v>
      </c>
      <c r="C282" s="21">
        <v>5</v>
      </c>
      <c r="D282" s="21">
        <v>1800000</v>
      </c>
      <c r="E282" s="21">
        <v>589459.25</v>
      </c>
      <c r="F282" s="21">
        <v>444991.51164247841</v>
      </c>
      <c r="G282" s="21">
        <f>Table841419410132427323943485356[[#This Row],[VỐN CP]]+Table841419410132427323943485356[[#This Row],[LỢI NHUẬN RÒNG]]</f>
        <v>2244991.5116424784</v>
      </c>
      <c r="H282" s="28"/>
      <c r="I282" s="11"/>
      <c r="J282" s="11"/>
    </row>
    <row r="283" spans="1:10" hidden="1" x14ac:dyDescent="0.3">
      <c r="A283" s="23" t="s">
        <v>69</v>
      </c>
      <c r="B283" s="27" t="s">
        <v>31</v>
      </c>
      <c r="C283" s="21">
        <v>5</v>
      </c>
      <c r="D283" s="21">
        <v>1800000</v>
      </c>
      <c r="E283" s="21">
        <v>589459.25</v>
      </c>
      <c r="F283" s="21">
        <v>444991.51164247841</v>
      </c>
      <c r="G283" s="21">
        <f>Table841419410132427323943485356[[#This Row],[VỐN CP]]+Table841419410132427323943485356[[#This Row],[LỢI NHUẬN RÒNG]]</f>
        <v>2244991.5116424784</v>
      </c>
      <c r="H283" s="28"/>
      <c r="I283" s="11"/>
      <c r="J283" s="11"/>
    </row>
    <row r="284" spans="1:10" hidden="1" x14ac:dyDescent="0.3">
      <c r="A284" s="23" t="s">
        <v>69</v>
      </c>
      <c r="B284" s="27" t="s">
        <v>15</v>
      </c>
      <c r="C284" s="21">
        <v>5</v>
      </c>
      <c r="D284" s="21">
        <v>1800000</v>
      </c>
      <c r="E284" s="21">
        <v>589459.25</v>
      </c>
      <c r="F284" s="21">
        <v>444991.51164247841</v>
      </c>
      <c r="G284" s="21">
        <f>Table841419410132427323943485356[[#This Row],[VỐN CP]]+Table841419410132427323943485356[[#This Row],[LỢI NHUẬN RÒNG]]</f>
        <v>2244991.5116424784</v>
      </c>
      <c r="H284" s="28"/>
      <c r="I284" s="11"/>
      <c r="J284" s="11"/>
    </row>
    <row r="285" spans="1:10" hidden="1" x14ac:dyDescent="0.3">
      <c r="A285" s="23" t="s">
        <v>69</v>
      </c>
      <c r="B285" s="27" t="s">
        <v>21</v>
      </c>
      <c r="C285" s="21">
        <v>15</v>
      </c>
      <c r="D285" s="21">
        <v>5400000</v>
      </c>
      <c r="E285" s="21">
        <v>1768377.75</v>
      </c>
      <c r="F285" s="21">
        <v>1334974.5349274352</v>
      </c>
      <c r="G285" s="21">
        <f>Table841419410132427323943485356[[#This Row],[VỐN CP]]+Table841419410132427323943485356[[#This Row],[LỢI NHUẬN RÒNG]]</f>
        <v>6734974.5349274352</v>
      </c>
      <c r="H285" s="28"/>
      <c r="I285" s="11"/>
      <c r="J285" s="11"/>
    </row>
    <row r="286" spans="1:10" hidden="1" x14ac:dyDescent="0.3">
      <c r="A286" s="23" t="s">
        <v>69</v>
      </c>
      <c r="B286" s="27" t="s">
        <v>35</v>
      </c>
      <c r="C286" s="21">
        <v>5</v>
      </c>
      <c r="D286" s="21">
        <v>1800000</v>
      </c>
      <c r="E286" s="21">
        <v>589459.25</v>
      </c>
      <c r="F286" s="21">
        <v>444991.51164247841</v>
      </c>
      <c r="G286" s="21">
        <f>Table841419410132427323943485356[[#This Row],[VỐN CP]]+Table841419410132427323943485356[[#This Row],[LỢI NHUẬN RÒNG]]</f>
        <v>2244991.5116424784</v>
      </c>
      <c r="H286" s="28"/>
      <c r="I286" s="11"/>
      <c r="J286" s="11"/>
    </row>
    <row r="287" spans="1:10" hidden="1" x14ac:dyDescent="0.3">
      <c r="A287" s="23" t="s">
        <v>69</v>
      </c>
      <c r="B287" s="27" t="s">
        <v>43</v>
      </c>
      <c r="C287" s="21">
        <v>15</v>
      </c>
      <c r="D287" s="21">
        <v>5400000</v>
      </c>
      <c r="E287" s="21">
        <v>1768377.75</v>
      </c>
      <c r="F287" s="21">
        <v>1334974.5349274352</v>
      </c>
      <c r="G287" s="21">
        <f>Table841419410132427323943485356[[#This Row],[VỐN CP]]+Table841419410132427323943485356[[#This Row],[LỢI NHUẬN RÒNG]]</f>
        <v>6734974.5349274352</v>
      </c>
      <c r="H287" s="28"/>
      <c r="I287" s="11"/>
      <c r="J287" s="11"/>
    </row>
    <row r="288" spans="1:10" hidden="1" x14ac:dyDescent="0.3">
      <c r="A288" s="23" t="s">
        <v>69</v>
      </c>
      <c r="B288" s="27" t="s">
        <v>25</v>
      </c>
      <c r="C288" s="21">
        <v>10</v>
      </c>
      <c r="D288" s="21">
        <v>3600000</v>
      </c>
      <c r="E288" s="21">
        <v>1178918.5</v>
      </c>
      <c r="F288" s="21">
        <v>889983.02328495681</v>
      </c>
      <c r="G288" s="21">
        <f>Table841419410132427323943485356[[#This Row],[VỐN CP]]+Table841419410132427323943485356[[#This Row],[LỢI NHUẬN RÒNG]]</f>
        <v>4489983.0232849568</v>
      </c>
      <c r="H288" s="28"/>
      <c r="I288" s="11"/>
      <c r="J288" s="11"/>
    </row>
    <row r="289" spans="1:10" hidden="1" x14ac:dyDescent="0.3">
      <c r="A289" s="23" t="s">
        <v>70</v>
      </c>
      <c r="B289" s="27" t="s">
        <v>9</v>
      </c>
      <c r="C289" s="21">
        <v>20</v>
      </c>
      <c r="D289" s="21">
        <v>5200000</v>
      </c>
      <c r="E289" s="21">
        <v>2293808</v>
      </c>
      <c r="F289" s="21">
        <v>1712888.7560552424</v>
      </c>
      <c r="G289" s="21">
        <f>Table841419410132427323943485356[[#This Row],[VỐN CP]]+Table841419410132427323943485356[[#This Row],[LỢI NHUẬN RÒNG]]</f>
        <v>6912888.7560552424</v>
      </c>
      <c r="H289" s="28"/>
      <c r="I289" s="11"/>
      <c r="J289" s="11"/>
    </row>
    <row r="290" spans="1:10" hidden="1" x14ac:dyDescent="0.3">
      <c r="A290" s="23" t="s">
        <v>70</v>
      </c>
      <c r="B290" s="27" t="s">
        <v>19</v>
      </c>
      <c r="C290" s="21">
        <v>10</v>
      </c>
      <c r="D290" s="21">
        <v>2600000</v>
      </c>
      <c r="E290" s="21">
        <v>1146904</v>
      </c>
      <c r="F290" s="21">
        <v>856444.37802762119</v>
      </c>
      <c r="G290" s="21">
        <f>Table841419410132427323943485356[[#This Row],[VỐN CP]]+Table841419410132427323943485356[[#This Row],[LỢI NHUẬN RÒNG]]</f>
        <v>3456444.3780276212</v>
      </c>
      <c r="H290" s="28"/>
      <c r="I290" s="11"/>
      <c r="J290" s="11"/>
    </row>
    <row r="291" spans="1:10" x14ac:dyDescent="0.3">
      <c r="A291" s="23" t="s">
        <v>70</v>
      </c>
      <c r="B291" s="27" t="s">
        <v>37</v>
      </c>
      <c r="C291" s="21">
        <v>10</v>
      </c>
      <c r="D291" s="21">
        <v>2600000</v>
      </c>
      <c r="E291" s="21">
        <v>1146904</v>
      </c>
      <c r="F291" s="21">
        <v>856444.37802762119</v>
      </c>
      <c r="G291" s="21">
        <f>Table841419410132427323943485356[[#This Row],[VỐN CP]]+Table841419410132427323943485356[[#This Row],[LỢI NHUẬN RÒNG]]</f>
        <v>3456444.3780276212</v>
      </c>
      <c r="H291" s="28"/>
      <c r="I291" s="11"/>
      <c r="J291" s="11"/>
    </row>
    <row r="292" spans="1:10" hidden="1" x14ac:dyDescent="0.3">
      <c r="A292" s="23" t="s">
        <v>70</v>
      </c>
      <c r="B292" s="27" t="s">
        <v>21</v>
      </c>
      <c r="C292" s="21">
        <v>20</v>
      </c>
      <c r="D292" s="21">
        <v>5200000</v>
      </c>
      <c r="E292" s="21">
        <v>2293808</v>
      </c>
      <c r="F292" s="21">
        <v>1712888.7560552424</v>
      </c>
      <c r="G292" s="21">
        <f>Table841419410132427323943485356[[#This Row],[VỐN CP]]+Table841419410132427323943485356[[#This Row],[LỢI NHUẬN RÒNG]]</f>
        <v>6912888.7560552424</v>
      </c>
      <c r="H292" s="28"/>
      <c r="I292" s="11"/>
      <c r="J292" s="11"/>
    </row>
    <row r="293" spans="1:10" hidden="1" x14ac:dyDescent="0.3">
      <c r="A293" s="23" t="s">
        <v>70</v>
      </c>
      <c r="B293" s="27" t="s">
        <v>13</v>
      </c>
      <c r="C293" s="21">
        <v>5</v>
      </c>
      <c r="D293" s="21">
        <v>1300000</v>
      </c>
      <c r="E293" s="21">
        <v>573452</v>
      </c>
      <c r="F293" s="21">
        <v>428222.1890138106</v>
      </c>
      <c r="G293" s="21">
        <f>Table841419410132427323943485356[[#This Row],[VỐN CP]]+Table841419410132427323943485356[[#This Row],[LỢI NHUẬN RÒNG]]</f>
        <v>1728222.1890138106</v>
      </c>
      <c r="H293" s="28"/>
      <c r="I293" s="11"/>
      <c r="J293" s="11"/>
    </row>
    <row r="294" spans="1:10" hidden="1" x14ac:dyDescent="0.3">
      <c r="A294" s="23" t="s">
        <v>70</v>
      </c>
      <c r="B294" s="27" t="s">
        <v>29</v>
      </c>
      <c r="C294" s="21">
        <v>5</v>
      </c>
      <c r="D294" s="21">
        <v>1300000</v>
      </c>
      <c r="E294" s="21">
        <v>573452</v>
      </c>
      <c r="F294" s="21">
        <v>428222.1890138106</v>
      </c>
      <c r="G294" s="21">
        <f>Table841419410132427323943485356[[#This Row],[VỐN CP]]+Table841419410132427323943485356[[#This Row],[LỢI NHUẬN RÒNG]]</f>
        <v>1728222.1890138106</v>
      </c>
      <c r="H294" s="28"/>
      <c r="I294" s="11"/>
      <c r="J294" s="11"/>
    </row>
    <row r="295" spans="1:10" hidden="1" x14ac:dyDescent="0.3">
      <c r="A295" s="23" t="s">
        <v>70</v>
      </c>
      <c r="B295" s="27" t="s">
        <v>35</v>
      </c>
      <c r="C295" s="21">
        <v>5</v>
      </c>
      <c r="D295" s="21">
        <v>1300000</v>
      </c>
      <c r="E295" s="21">
        <v>573452</v>
      </c>
      <c r="F295" s="21">
        <v>428222.1890138106</v>
      </c>
      <c r="G295" s="21">
        <f>Table841419410132427323943485356[[#This Row],[VỐN CP]]+Table841419410132427323943485356[[#This Row],[LỢI NHUẬN RÒNG]]</f>
        <v>1728222.1890138106</v>
      </c>
      <c r="H295" s="28"/>
      <c r="I295" s="11"/>
      <c r="J295" s="11"/>
    </row>
    <row r="296" spans="1:10" hidden="1" x14ac:dyDescent="0.3">
      <c r="A296" s="23" t="s">
        <v>70</v>
      </c>
      <c r="B296" s="27" t="s">
        <v>43</v>
      </c>
      <c r="C296" s="21">
        <v>15</v>
      </c>
      <c r="D296" s="21">
        <v>3900000</v>
      </c>
      <c r="E296" s="21">
        <v>1720356</v>
      </c>
      <c r="F296" s="21">
        <v>1284666.567041432</v>
      </c>
      <c r="G296" s="21">
        <f>Table841419410132427323943485356[[#This Row],[VỐN CP]]+Table841419410132427323943485356[[#This Row],[LỢI NHUẬN RÒNG]]</f>
        <v>5184666.5670414325</v>
      </c>
      <c r="H296" s="28"/>
      <c r="I296" s="11"/>
      <c r="J296" s="11"/>
    </row>
    <row r="297" spans="1:10" hidden="1" x14ac:dyDescent="0.3">
      <c r="A297" s="23" t="s">
        <v>70</v>
      </c>
      <c r="B297" s="27" t="s">
        <v>25</v>
      </c>
      <c r="C297" s="21">
        <v>10</v>
      </c>
      <c r="D297" s="21">
        <v>2600000</v>
      </c>
      <c r="E297" s="21">
        <v>1146904</v>
      </c>
      <c r="F297" s="21">
        <v>856444.37802762119</v>
      </c>
      <c r="G297" s="21">
        <f>Table841419410132427323943485356[[#This Row],[VỐN CP]]+Table841419410132427323943485356[[#This Row],[LỢI NHUẬN RÒNG]]</f>
        <v>3456444.3780276212</v>
      </c>
      <c r="H297" s="28"/>
      <c r="I297" s="11"/>
      <c r="J297" s="11"/>
    </row>
    <row r="298" spans="1:10" hidden="1" x14ac:dyDescent="0.3">
      <c r="A298" s="23" t="s">
        <v>71</v>
      </c>
      <c r="B298" s="27" t="s">
        <v>9</v>
      </c>
      <c r="C298" s="21">
        <v>30</v>
      </c>
      <c r="D298" s="21">
        <v>19440000</v>
      </c>
      <c r="E298" s="21">
        <v>6962137.9000000022</v>
      </c>
      <c r="F298" s="21">
        <v>5488086.325738769</v>
      </c>
      <c r="G298" s="21">
        <f>Table841419410132427323943485356[[#This Row],[VỐN CP]]+Table841419410132427323943485356[[#This Row],[LỢI NHUẬN RÒNG]]</f>
        <v>24928086.325738769</v>
      </c>
      <c r="H298" s="28"/>
      <c r="I298" s="11"/>
      <c r="J298" s="11"/>
    </row>
    <row r="299" spans="1:10" hidden="1" x14ac:dyDescent="0.3">
      <c r="A299" s="23" t="s">
        <v>71</v>
      </c>
      <c r="B299" s="27" t="s">
        <v>19</v>
      </c>
      <c r="C299" s="21">
        <v>15</v>
      </c>
      <c r="D299" s="21">
        <v>9720000</v>
      </c>
      <c r="E299" s="21">
        <v>3481068.9500000011</v>
      </c>
      <c r="F299" s="21">
        <v>2744043.1628693845</v>
      </c>
      <c r="G299" s="21">
        <f>Table841419410132427323943485356[[#This Row],[VỐN CP]]+Table841419410132427323943485356[[#This Row],[LỢI NHUẬN RÒNG]]</f>
        <v>12464043.162869385</v>
      </c>
      <c r="H299" s="28"/>
      <c r="I299" s="11"/>
      <c r="J299" s="11"/>
    </row>
    <row r="300" spans="1:10" hidden="1" x14ac:dyDescent="0.3">
      <c r="A300" s="23" t="s">
        <v>71</v>
      </c>
      <c r="B300" s="27" t="s">
        <v>33</v>
      </c>
      <c r="C300" s="21">
        <v>5</v>
      </c>
      <c r="D300" s="21">
        <v>3240000</v>
      </c>
      <c r="E300" s="21">
        <v>1160356.3166666671</v>
      </c>
      <c r="F300" s="21">
        <v>914681.05428979476</v>
      </c>
      <c r="G300" s="21">
        <f>Table841419410132427323943485356[[#This Row],[VỐN CP]]+Table841419410132427323943485356[[#This Row],[LỢI NHUẬN RÒNG]]</f>
        <v>4154681.0542897945</v>
      </c>
      <c r="H300" s="28"/>
      <c r="I300" s="11"/>
      <c r="J300" s="11"/>
    </row>
    <row r="301" spans="1:10" hidden="1" x14ac:dyDescent="0.3">
      <c r="A301" s="23" t="s">
        <v>71</v>
      </c>
      <c r="B301" s="27" t="s">
        <v>21</v>
      </c>
      <c r="C301" s="21">
        <v>15</v>
      </c>
      <c r="D301" s="21">
        <v>9720000</v>
      </c>
      <c r="E301" s="21">
        <v>3481068.9500000011</v>
      </c>
      <c r="F301" s="21">
        <v>2744043.1628693845</v>
      </c>
      <c r="G301" s="21">
        <f>Table841419410132427323943485356[[#This Row],[VỐN CP]]+Table841419410132427323943485356[[#This Row],[LỢI NHUẬN RÒNG]]</f>
        <v>12464043.162869385</v>
      </c>
      <c r="H301" s="28"/>
      <c r="I301" s="11"/>
      <c r="J301" s="11"/>
    </row>
    <row r="302" spans="1:10" hidden="1" x14ac:dyDescent="0.3">
      <c r="A302" s="23" t="s">
        <v>71</v>
      </c>
      <c r="B302" s="27" t="s">
        <v>13</v>
      </c>
      <c r="C302" s="21">
        <v>5</v>
      </c>
      <c r="D302" s="21">
        <v>3240000</v>
      </c>
      <c r="E302" s="21">
        <v>1160356.3166666671</v>
      </c>
      <c r="F302" s="21">
        <v>914681.05428979476</v>
      </c>
      <c r="G302" s="21">
        <f>Table841419410132427323943485356[[#This Row],[VỐN CP]]+Table841419410132427323943485356[[#This Row],[LỢI NHUẬN RÒNG]]</f>
        <v>4154681.0542897945</v>
      </c>
      <c r="H302" s="28"/>
      <c r="I302" s="11"/>
      <c r="J302" s="11"/>
    </row>
    <row r="303" spans="1:10" hidden="1" x14ac:dyDescent="0.3">
      <c r="A303" s="23" t="s">
        <v>71</v>
      </c>
      <c r="B303" s="27" t="s">
        <v>35</v>
      </c>
      <c r="C303" s="21">
        <v>5</v>
      </c>
      <c r="D303" s="21">
        <v>3240000</v>
      </c>
      <c r="E303" s="21">
        <v>1160356.3166666671</v>
      </c>
      <c r="F303" s="21">
        <v>914681.05428979476</v>
      </c>
      <c r="G303" s="21">
        <f>Table841419410132427323943485356[[#This Row],[VỐN CP]]+Table841419410132427323943485356[[#This Row],[LỢI NHUẬN RÒNG]]</f>
        <v>4154681.0542897945</v>
      </c>
      <c r="H303" s="28"/>
      <c r="I303" s="11"/>
      <c r="J303" s="11"/>
    </row>
    <row r="304" spans="1:10" hidden="1" x14ac:dyDescent="0.3">
      <c r="A304" s="23" t="s">
        <v>71</v>
      </c>
      <c r="B304" s="27" t="s">
        <v>43</v>
      </c>
      <c r="C304" s="21">
        <v>15</v>
      </c>
      <c r="D304" s="21">
        <v>9720000</v>
      </c>
      <c r="E304" s="21">
        <v>3481068.9500000011</v>
      </c>
      <c r="F304" s="21">
        <v>2744043.1628693845</v>
      </c>
      <c r="G304" s="21">
        <f>Table841419410132427323943485356[[#This Row],[VỐN CP]]+Table841419410132427323943485356[[#This Row],[LỢI NHUẬN RÒNG]]</f>
        <v>12464043.162869385</v>
      </c>
      <c r="H304" s="28"/>
      <c r="I304" s="11"/>
      <c r="J304" s="11"/>
    </row>
    <row r="305" spans="1:10" hidden="1" x14ac:dyDescent="0.3">
      <c r="A305" s="23" t="s">
        <v>71</v>
      </c>
      <c r="B305" s="27" t="s">
        <v>25</v>
      </c>
      <c r="C305" s="21">
        <v>10</v>
      </c>
      <c r="D305" s="21">
        <v>6480000</v>
      </c>
      <c r="E305" s="21">
        <v>2320712.6333333342</v>
      </c>
      <c r="F305" s="21">
        <v>1829362.1085795895</v>
      </c>
      <c r="G305" s="21">
        <f>Table841419410132427323943485356[[#This Row],[VỐN CP]]+Table841419410132427323943485356[[#This Row],[LỢI NHUẬN RÒNG]]</f>
        <v>8309362.1085795891</v>
      </c>
      <c r="H305" s="28"/>
      <c r="I305" s="11"/>
      <c r="J305" s="11"/>
    </row>
    <row r="306" spans="1:10" hidden="1" x14ac:dyDescent="0.3">
      <c r="A306" s="23" t="s">
        <v>72</v>
      </c>
      <c r="B306" s="27" t="s">
        <v>9</v>
      </c>
      <c r="C306" s="21">
        <v>15</v>
      </c>
      <c r="D306" s="21">
        <v>12000000</v>
      </c>
      <c r="E306" s="21">
        <v>3252623.1</v>
      </c>
      <c r="F306" s="21">
        <v>2176950.7157099042</v>
      </c>
      <c r="G306" s="21">
        <f>Table841419410132427323943485356[[#This Row],[VỐN CP]]+Table841419410132427323943485356[[#This Row],[LỢI NHUẬN RÒNG]]</f>
        <v>14176950.715709904</v>
      </c>
      <c r="H306" s="28"/>
      <c r="I306" s="11"/>
      <c r="J306" s="11"/>
    </row>
    <row r="307" spans="1:10" hidden="1" x14ac:dyDescent="0.3">
      <c r="A307" s="23" t="s">
        <v>72</v>
      </c>
      <c r="B307" s="27" t="s">
        <v>19</v>
      </c>
      <c r="C307" s="21">
        <v>5</v>
      </c>
      <c r="D307" s="21">
        <v>4000000</v>
      </c>
      <c r="E307" s="21">
        <v>1084207.7</v>
      </c>
      <c r="F307" s="21">
        <v>725650.23856996815</v>
      </c>
      <c r="G307" s="21">
        <f>Table841419410132427323943485356[[#This Row],[VỐN CP]]+Table841419410132427323943485356[[#This Row],[LỢI NHUẬN RÒNG]]</f>
        <v>4725650.2385699684</v>
      </c>
      <c r="H307" s="28"/>
      <c r="I307" s="11"/>
      <c r="J307" s="11"/>
    </row>
    <row r="308" spans="1:10" hidden="1" x14ac:dyDescent="0.3">
      <c r="A308" s="23" t="s">
        <v>72</v>
      </c>
      <c r="B308" s="27" t="s">
        <v>23</v>
      </c>
      <c r="C308" s="21">
        <v>20</v>
      </c>
      <c r="D308" s="21">
        <v>16000000</v>
      </c>
      <c r="E308" s="21">
        <v>4336830.8</v>
      </c>
      <c r="F308" s="21">
        <v>2902600.9542798726</v>
      </c>
      <c r="G308" s="21">
        <f>Table841419410132427323943485356[[#This Row],[VỐN CP]]+Table841419410132427323943485356[[#This Row],[LỢI NHUẬN RÒNG]]</f>
        <v>18902600.954279874</v>
      </c>
      <c r="H308" s="28"/>
      <c r="I308" s="11"/>
      <c r="J308" s="11"/>
    </row>
    <row r="309" spans="1:10" x14ac:dyDescent="0.3">
      <c r="A309" s="23" t="s">
        <v>72</v>
      </c>
      <c r="B309" s="27" t="s">
        <v>37</v>
      </c>
      <c r="C309" s="21">
        <v>5</v>
      </c>
      <c r="D309" s="21">
        <v>4000000</v>
      </c>
      <c r="E309" s="21">
        <v>1084207.7</v>
      </c>
      <c r="F309" s="21">
        <v>725650.23856996815</v>
      </c>
      <c r="G309" s="21">
        <f>Table841419410132427323943485356[[#This Row],[VỐN CP]]+Table841419410132427323943485356[[#This Row],[LỢI NHUẬN RÒNG]]</f>
        <v>4725650.2385699684</v>
      </c>
      <c r="H309" s="28"/>
      <c r="I309" s="11"/>
      <c r="J309" s="11"/>
    </row>
    <row r="310" spans="1:10" hidden="1" x14ac:dyDescent="0.3">
      <c r="A310" s="23" t="s">
        <v>72</v>
      </c>
      <c r="B310" s="27" t="s">
        <v>31</v>
      </c>
      <c r="C310" s="21">
        <v>5</v>
      </c>
      <c r="D310" s="21">
        <v>4000000</v>
      </c>
      <c r="E310" s="21">
        <v>1084207.7</v>
      </c>
      <c r="F310" s="21">
        <v>725650.23856996815</v>
      </c>
      <c r="G310" s="21">
        <f>Table841419410132427323943485356[[#This Row],[VỐN CP]]+Table841419410132427323943485356[[#This Row],[LỢI NHUẬN RÒNG]]</f>
        <v>4725650.2385699684</v>
      </c>
      <c r="H310" s="28"/>
      <c r="I310" s="11"/>
      <c r="J310" s="11"/>
    </row>
    <row r="311" spans="1:10" hidden="1" x14ac:dyDescent="0.3">
      <c r="A311" s="23" t="s">
        <v>72</v>
      </c>
      <c r="B311" s="27" t="s">
        <v>21</v>
      </c>
      <c r="C311" s="21">
        <v>10</v>
      </c>
      <c r="D311" s="21">
        <v>8000000</v>
      </c>
      <c r="E311" s="21">
        <v>2168415.4</v>
      </c>
      <c r="F311" s="21">
        <v>1451300.4771399363</v>
      </c>
      <c r="G311" s="21">
        <f>Table841419410132427323943485356[[#This Row],[VỐN CP]]+Table841419410132427323943485356[[#This Row],[LỢI NHUẬN RÒNG]]</f>
        <v>9451300.4771399368</v>
      </c>
      <c r="H311" s="28"/>
      <c r="I311" s="11"/>
      <c r="J311" s="11"/>
    </row>
    <row r="312" spans="1:10" hidden="1" x14ac:dyDescent="0.3">
      <c r="A312" s="23" t="s">
        <v>72</v>
      </c>
      <c r="B312" s="27" t="s">
        <v>35</v>
      </c>
      <c r="C312" s="21">
        <v>5</v>
      </c>
      <c r="D312" s="21">
        <v>4000000</v>
      </c>
      <c r="E312" s="21">
        <v>1084207.7</v>
      </c>
      <c r="F312" s="21">
        <v>725650.23856996815</v>
      </c>
      <c r="G312" s="21">
        <f>Table841419410132427323943485356[[#This Row],[VỐN CP]]+Table841419410132427323943485356[[#This Row],[LỢI NHUẬN RÒNG]]</f>
        <v>4725650.2385699684</v>
      </c>
      <c r="H312" s="28"/>
      <c r="I312" s="11"/>
      <c r="J312" s="11"/>
    </row>
    <row r="313" spans="1:10" hidden="1" x14ac:dyDescent="0.3">
      <c r="A313" s="23" t="s">
        <v>72</v>
      </c>
      <c r="B313" s="27" t="s">
        <v>43</v>
      </c>
      <c r="C313" s="21">
        <v>10</v>
      </c>
      <c r="D313" s="21">
        <v>8000000</v>
      </c>
      <c r="E313" s="21">
        <v>2168415.4</v>
      </c>
      <c r="F313" s="21">
        <v>1451300.4771399363</v>
      </c>
      <c r="G313" s="21">
        <f>Table841419410132427323943485356[[#This Row],[VỐN CP]]+Table841419410132427323943485356[[#This Row],[LỢI NHUẬN RÒNG]]</f>
        <v>9451300.4771399368</v>
      </c>
      <c r="H313" s="28"/>
      <c r="I313" s="11"/>
      <c r="J313" s="11"/>
    </row>
    <row r="314" spans="1:10" hidden="1" x14ac:dyDescent="0.3">
      <c r="A314" s="23" t="s">
        <v>72</v>
      </c>
      <c r="B314" s="27" t="s">
        <v>45</v>
      </c>
      <c r="C314" s="21">
        <v>5</v>
      </c>
      <c r="D314" s="21">
        <v>4000000</v>
      </c>
      <c r="E314" s="21">
        <v>1084207.7</v>
      </c>
      <c r="F314" s="21">
        <v>725650.23856996815</v>
      </c>
      <c r="G314" s="21">
        <f>Table841419410132427323943485356[[#This Row],[VỐN CP]]+Table841419410132427323943485356[[#This Row],[LỢI NHUẬN RÒNG]]</f>
        <v>4725650.2385699684</v>
      </c>
      <c r="H314" s="28"/>
      <c r="I314" s="11"/>
      <c r="J314" s="11"/>
    </row>
    <row r="315" spans="1:10" hidden="1" x14ac:dyDescent="0.3">
      <c r="A315" s="23" t="s">
        <v>72</v>
      </c>
      <c r="B315" s="27" t="s">
        <v>25</v>
      </c>
      <c r="C315" s="21">
        <v>20</v>
      </c>
      <c r="D315" s="21">
        <v>16000000</v>
      </c>
      <c r="E315" s="21">
        <v>4336830.8</v>
      </c>
      <c r="F315" s="21">
        <v>2902600.9542798726</v>
      </c>
      <c r="G315" s="21">
        <f>Table841419410132427323943485356[[#This Row],[VỐN CP]]+Table841419410132427323943485356[[#This Row],[LỢI NHUẬN RÒNG]]</f>
        <v>18902600.954279874</v>
      </c>
      <c r="H315" s="28"/>
      <c r="I315" s="11"/>
      <c r="J315" s="11"/>
    </row>
    <row r="316" spans="1:10" hidden="1" x14ac:dyDescent="0.3">
      <c r="A316" s="23" t="s">
        <v>73</v>
      </c>
      <c r="B316" s="27" t="s">
        <v>9</v>
      </c>
      <c r="C316" s="21">
        <v>15</v>
      </c>
      <c r="D316" s="21">
        <v>7995000</v>
      </c>
      <c r="E316" s="21">
        <v>2784622.05</v>
      </c>
      <c r="F316" s="21">
        <v>2109092.2216637223</v>
      </c>
      <c r="G316" s="21">
        <f>Table841419410132427323943485356[[#This Row],[VỐN CP]]+Table841419410132427323943485356[[#This Row],[LỢI NHUẬN RÒNG]]</f>
        <v>10104092.221663723</v>
      </c>
      <c r="H316" s="28"/>
      <c r="I316" s="11"/>
      <c r="J316" s="11"/>
    </row>
    <row r="317" spans="1:10" hidden="1" x14ac:dyDescent="0.3">
      <c r="A317" s="23" t="s">
        <v>73</v>
      </c>
      <c r="B317" s="27" t="s">
        <v>19</v>
      </c>
      <c r="C317" s="21">
        <v>5</v>
      </c>
      <c r="D317" s="21">
        <v>2665000</v>
      </c>
      <c r="E317" s="21">
        <v>928207.35</v>
      </c>
      <c r="F317" s="21">
        <v>703030.74055457418</v>
      </c>
      <c r="G317" s="21">
        <f>Table841419410132427323943485356[[#This Row],[VỐN CP]]+Table841419410132427323943485356[[#This Row],[LỢI NHUẬN RÒNG]]</f>
        <v>3368030.7405545739</v>
      </c>
      <c r="H317" s="28"/>
      <c r="I317" s="11"/>
      <c r="J317" s="11"/>
    </row>
    <row r="318" spans="1:10" x14ac:dyDescent="0.3">
      <c r="A318" s="23" t="s">
        <v>73</v>
      </c>
      <c r="B318" s="27" t="s">
        <v>37</v>
      </c>
      <c r="C318" s="21">
        <v>10</v>
      </c>
      <c r="D318" s="21">
        <v>5330000</v>
      </c>
      <c r="E318" s="21">
        <v>1856414.7</v>
      </c>
      <c r="F318" s="21">
        <v>1406061.4811091484</v>
      </c>
      <c r="G318" s="21">
        <f>Table841419410132427323943485356[[#This Row],[VỐN CP]]+Table841419410132427323943485356[[#This Row],[LỢI NHUẬN RÒNG]]</f>
        <v>6736061.4811091479</v>
      </c>
      <c r="H318" s="28"/>
      <c r="I318" s="11"/>
      <c r="J318" s="11"/>
    </row>
    <row r="319" spans="1:10" hidden="1" x14ac:dyDescent="0.3">
      <c r="A319" s="23" t="s">
        <v>73</v>
      </c>
      <c r="B319" s="27" t="s">
        <v>31</v>
      </c>
      <c r="C319" s="21">
        <v>5</v>
      </c>
      <c r="D319" s="21">
        <v>2665000</v>
      </c>
      <c r="E319" s="21">
        <v>928207.35</v>
      </c>
      <c r="F319" s="21">
        <v>703030.74055457418</v>
      </c>
      <c r="G319" s="21">
        <f>Table841419410132427323943485356[[#This Row],[VỐN CP]]+Table841419410132427323943485356[[#This Row],[LỢI NHUẬN RÒNG]]</f>
        <v>3368030.7405545739</v>
      </c>
      <c r="H319" s="28"/>
      <c r="I319" s="11"/>
      <c r="J319" s="11"/>
    </row>
    <row r="320" spans="1:10" hidden="1" x14ac:dyDescent="0.3">
      <c r="A320" s="23" t="s">
        <v>73</v>
      </c>
      <c r="B320" s="27" t="s">
        <v>15</v>
      </c>
      <c r="C320" s="21">
        <v>5</v>
      </c>
      <c r="D320" s="21">
        <v>2665000</v>
      </c>
      <c r="E320" s="21">
        <v>928207.35</v>
      </c>
      <c r="F320" s="21">
        <v>703030.74055457418</v>
      </c>
      <c r="G320" s="21">
        <f>Table841419410132427323943485356[[#This Row],[VỐN CP]]+Table841419410132427323943485356[[#This Row],[LỢI NHUẬN RÒNG]]</f>
        <v>3368030.7405545739</v>
      </c>
      <c r="H320" s="28"/>
      <c r="I320" s="11"/>
      <c r="J320" s="11"/>
    </row>
    <row r="321" spans="1:10" hidden="1" x14ac:dyDescent="0.3">
      <c r="A321" s="23" t="s">
        <v>73</v>
      </c>
      <c r="B321" s="27" t="s">
        <v>21</v>
      </c>
      <c r="C321" s="21">
        <v>20</v>
      </c>
      <c r="D321" s="21">
        <v>10660000</v>
      </c>
      <c r="E321" s="21">
        <v>3712829.4</v>
      </c>
      <c r="F321" s="21">
        <v>2812122.9622182967</v>
      </c>
      <c r="G321" s="21">
        <f>Table841419410132427323943485356[[#This Row],[VỐN CP]]+Table841419410132427323943485356[[#This Row],[LỢI NHUẬN RÒNG]]</f>
        <v>13472122.962218296</v>
      </c>
      <c r="H321" s="28"/>
      <c r="I321" s="11"/>
      <c r="J321" s="11"/>
    </row>
    <row r="322" spans="1:10" hidden="1" x14ac:dyDescent="0.3">
      <c r="A322" s="23" t="s">
        <v>73</v>
      </c>
      <c r="B322" s="27" t="s">
        <v>10</v>
      </c>
      <c r="C322" s="21">
        <v>5</v>
      </c>
      <c r="D322" s="21">
        <v>2665000</v>
      </c>
      <c r="E322" s="21">
        <v>928207.35</v>
      </c>
      <c r="F322" s="21">
        <v>703030.74055457418</v>
      </c>
      <c r="G322" s="21">
        <f>Table841419410132427323943485356[[#This Row],[VỐN CP]]+Table841419410132427323943485356[[#This Row],[LỢI NHUẬN RÒNG]]</f>
        <v>3368030.7405545739</v>
      </c>
      <c r="H322" s="28"/>
      <c r="I322" s="11"/>
      <c r="J322" s="11"/>
    </row>
    <row r="323" spans="1:10" hidden="1" x14ac:dyDescent="0.3">
      <c r="A323" s="23" t="s">
        <v>73</v>
      </c>
      <c r="B323" s="27" t="s">
        <v>13</v>
      </c>
      <c r="C323" s="21">
        <v>5</v>
      </c>
      <c r="D323" s="21">
        <v>2665000</v>
      </c>
      <c r="E323" s="21">
        <v>928207.35</v>
      </c>
      <c r="F323" s="21">
        <v>703030.74055457418</v>
      </c>
      <c r="G323" s="21">
        <f>Table841419410132427323943485356[[#This Row],[VỐN CP]]+Table841419410132427323943485356[[#This Row],[LỢI NHUẬN RÒNG]]</f>
        <v>3368030.7405545739</v>
      </c>
      <c r="H323" s="28"/>
      <c r="I323" s="11"/>
      <c r="J323" s="11"/>
    </row>
    <row r="324" spans="1:10" hidden="1" x14ac:dyDescent="0.3">
      <c r="A324" s="23" t="s">
        <v>73</v>
      </c>
      <c r="B324" s="27" t="s">
        <v>29</v>
      </c>
      <c r="C324" s="21">
        <v>5</v>
      </c>
      <c r="D324" s="21">
        <v>2665000</v>
      </c>
      <c r="E324" s="21">
        <v>928207.35</v>
      </c>
      <c r="F324" s="21">
        <v>703030.74055457418</v>
      </c>
      <c r="G324" s="21">
        <f>Table841419410132427323943485356[[#This Row],[VỐN CP]]+Table841419410132427323943485356[[#This Row],[LỢI NHUẬN RÒNG]]</f>
        <v>3368030.7405545739</v>
      </c>
      <c r="H324" s="28"/>
      <c r="I324" s="11"/>
      <c r="J324" s="11"/>
    </row>
    <row r="325" spans="1:10" hidden="1" x14ac:dyDescent="0.3">
      <c r="A325" s="23" t="s">
        <v>73</v>
      </c>
      <c r="B325" s="27" t="s">
        <v>35</v>
      </c>
      <c r="C325" s="21">
        <v>5</v>
      </c>
      <c r="D325" s="21">
        <v>2665000</v>
      </c>
      <c r="E325" s="21">
        <v>928207.35</v>
      </c>
      <c r="F325" s="21">
        <v>703030.74055457418</v>
      </c>
      <c r="G325" s="21">
        <f>Table841419410132427323943485356[[#This Row],[VỐN CP]]+Table841419410132427323943485356[[#This Row],[LỢI NHUẬN RÒNG]]</f>
        <v>3368030.7405545739</v>
      </c>
      <c r="H325" s="28"/>
      <c r="I325" s="11"/>
      <c r="J325" s="11"/>
    </row>
    <row r="326" spans="1:10" hidden="1" x14ac:dyDescent="0.3">
      <c r="A326" s="23" t="s">
        <v>73</v>
      </c>
      <c r="B326" s="27" t="s">
        <v>43</v>
      </c>
      <c r="C326" s="21">
        <v>5</v>
      </c>
      <c r="D326" s="21">
        <v>2665000</v>
      </c>
      <c r="E326" s="21">
        <v>928207.35</v>
      </c>
      <c r="F326" s="21">
        <v>703030.74055457418</v>
      </c>
      <c r="G326" s="21">
        <f>Table841419410132427323943485356[[#This Row],[VỐN CP]]+Table841419410132427323943485356[[#This Row],[LỢI NHUẬN RÒNG]]</f>
        <v>3368030.7405545739</v>
      </c>
      <c r="H326" s="28"/>
      <c r="I326" s="11"/>
      <c r="J326" s="11"/>
    </row>
    <row r="327" spans="1:10" hidden="1" x14ac:dyDescent="0.3">
      <c r="A327" s="23" t="s">
        <v>73</v>
      </c>
      <c r="B327" s="27" t="s">
        <v>25</v>
      </c>
      <c r="C327" s="21">
        <v>10</v>
      </c>
      <c r="D327" s="21">
        <v>5330000</v>
      </c>
      <c r="E327" s="21">
        <v>1856414.7</v>
      </c>
      <c r="F327" s="21">
        <v>1406061.4811091484</v>
      </c>
      <c r="G327" s="21">
        <f>Table841419410132427323943485356[[#This Row],[VỐN CP]]+Table841419410132427323943485356[[#This Row],[LỢI NHUẬN RÒNG]]</f>
        <v>6736061.4811091479</v>
      </c>
      <c r="H327" s="28"/>
      <c r="I327" s="11"/>
      <c r="J327" s="11"/>
    </row>
    <row r="328" spans="1:10" hidden="1" x14ac:dyDescent="0.3">
      <c r="A328" s="23" t="s">
        <v>73</v>
      </c>
      <c r="B328" s="27" t="s">
        <v>17</v>
      </c>
      <c r="C328" s="21">
        <v>5</v>
      </c>
      <c r="D328" s="21">
        <v>2665000</v>
      </c>
      <c r="E328" s="21">
        <v>928207.35</v>
      </c>
      <c r="F328" s="21">
        <v>703030.74055457418</v>
      </c>
      <c r="G328" s="21">
        <f>Table841419410132427323943485356[[#This Row],[VỐN CP]]+Table841419410132427323943485356[[#This Row],[LỢI NHUẬN RÒNG]]</f>
        <v>3368030.7405545739</v>
      </c>
      <c r="H328" s="28"/>
      <c r="I328" s="11"/>
      <c r="J328" s="11"/>
    </row>
    <row r="329" spans="1:10" hidden="1" x14ac:dyDescent="0.3">
      <c r="A329" s="23" t="s">
        <v>74</v>
      </c>
      <c r="B329" s="27" t="s">
        <v>9</v>
      </c>
      <c r="C329" s="21">
        <v>10</v>
      </c>
      <c r="D329" s="21">
        <v>10500000</v>
      </c>
      <c r="E329" s="21">
        <v>3889743.6333333324</v>
      </c>
      <c r="F329" s="21">
        <v>2488936.3785684705</v>
      </c>
      <c r="G329" s="21">
        <f>Table841419410132427323943485356[[#This Row],[VỐN CP]]+Table841419410132427323943485356[[#This Row],[LỢI NHUẬN RÒNG]]</f>
        <v>12988936.37856847</v>
      </c>
      <c r="H329" s="28"/>
      <c r="I329" s="11"/>
      <c r="J329" s="11"/>
    </row>
    <row r="330" spans="1:10" hidden="1" x14ac:dyDescent="0.3">
      <c r="A330" s="23" t="s">
        <v>74</v>
      </c>
      <c r="B330" s="27" t="s">
        <v>19</v>
      </c>
      <c r="C330" s="21">
        <v>10</v>
      </c>
      <c r="D330" s="21">
        <v>10500000</v>
      </c>
      <c r="E330" s="21">
        <v>3889743.6333333324</v>
      </c>
      <c r="F330" s="21">
        <v>2488936.3785684705</v>
      </c>
      <c r="G330" s="21">
        <f>Table841419410132427323943485356[[#This Row],[VỐN CP]]+Table841419410132427323943485356[[#This Row],[LỢI NHUẬN RÒNG]]</f>
        <v>12988936.37856847</v>
      </c>
      <c r="H330" s="28"/>
      <c r="I330" s="11"/>
      <c r="J330" s="11"/>
    </row>
    <row r="331" spans="1:10" x14ac:dyDescent="0.3">
      <c r="A331" s="23" t="s">
        <v>74</v>
      </c>
      <c r="B331" s="27" t="s">
        <v>37</v>
      </c>
      <c r="C331" s="21">
        <v>15</v>
      </c>
      <c r="D331" s="21">
        <v>15750000</v>
      </c>
      <c r="E331" s="21">
        <v>5834615.4499999993</v>
      </c>
      <c r="F331" s="21">
        <v>3733404.5678527057</v>
      </c>
      <c r="G331" s="21">
        <f>Table841419410132427323943485356[[#This Row],[VỐN CP]]+Table841419410132427323943485356[[#This Row],[LỢI NHUẬN RÒNG]]</f>
        <v>19483404.567852706</v>
      </c>
      <c r="H331" s="28"/>
      <c r="I331" s="11"/>
      <c r="J331" s="11"/>
    </row>
    <row r="332" spans="1:10" hidden="1" x14ac:dyDescent="0.3">
      <c r="A332" s="23" t="s">
        <v>74</v>
      </c>
      <c r="B332" s="27" t="s">
        <v>31</v>
      </c>
      <c r="C332" s="21">
        <v>5</v>
      </c>
      <c r="D332" s="21">
        <v>5250000</v>
      </c>
      <c r="E332" s="21">
        <v>1944871.8166666662</v>
      </c>
      <c r="F332" s="21">
        <v>1244468.1892842352</v>
      </c>
      <c r="G332" s="21">
        <f>Table841419410132427323943485356[[#This Row],[VỐN CP]]+Table841419410132427323943485356[[#This Row],[LỢI NHUẬN RÒNG]]</f>
        <v>6494468.1892842352</v>
      </c>
      <c r="H332" s="28"/>
      <c r="I332" s="11"/>
      <c r="J332" s="11"/>
    </row>
    <row r="333" spans="1:10" hidden="1" x14ac:dyDescent="0.3">
      <c r="A333" s="23" t="s">
        <v>74</v>
      </c>
      <c r="B333" s="27" t="s">
        <v>21</v>
      </c>
      <c r="C333" s="21">
        <v>5</v>
      </c>
      <c r="D333" s="21">
        <v>5250000</v>
      </c>
      <c r="E333" s="21">
        <v>1944871.8166666662</v>
      </c>
      <c r="F333" s="21">
        <v>1244468.1892842352</v>
      </c>
      <c r="G333" s="21">
        <f>Table841419410132427323943485356[[#This Row],[VỐN CP]]+Table841419410132427323943485356[[#This Row],[LỢI NHUẬN RÒNG]]</f>
        <v>6494468.1892842352</v>
      </c>
      <c r="H333" s="28"/>
      <c r="I333" s="11"/>
      <c r="J333" s="11"/>
    </row>
    <row r="334" spans="1:10" hidden="1" x14ac:dyDescent="0.3">
      <c r="A334" s="23" t="s">
        <v>74</v>
      </c>
      <c r="B334" s="27" t="s">
        <v>10</v>
      </c>
      <c r="C334" s="21">
        <v>10</v>
      </c>
      <c r="D334" s="21">
        <v>10500000</v>
      </c>
      <c r="E334" s="21">
        <v>3889743.6333333324</v>
      </c>
      <c r="F334" s="21">
        <v>2488936.3785684705</v>
      </c>
      <c r="G334" s="21">
        <f>Table841419410132427323943485356[[#This Row],[VỐN CP]]+Table841419410132427323943485356[[#This Row],[LỢI NHUẬN RÒNG]]</f>
        <v>12988936.37856847</v>
      </c>
      <c r="H334" s="28"/>
      <c r="I334" s="11"/>
      <c r="J334" s="11"/>
    </row>
    <row r="335" spans="1:10" hidden="1" x14ac:dyDescent="0.3">
      <c r="A335" s="23" t="s">
        <v>74</v>
      </c>
      <c r="B335" s="27" t="s">
        <v>35</v>
      </c>
      <c r="C335" s="21">
        <v>5</v>
      </c>
      <c r="D335" s="21">
        <v>5250000</v>
      </c>
      <c r="E335" s="21">
        <v>1944871.8166666662</v>
      </c>
      <c r="F335" s="21">
        <v>1244468.1892842352</v>
      </c>
      <c r="G335" s="21">
        <f>Table841419410132427323943485356[[#This Row],[VỐN CP]]+Table841419410132427323943485356[[#This Row],[LỢI NHUẬN RÒNG]]</f>
        <v>6494468.1892842352</v>
      </c>
      <c r="H335" s="28"/>
      <c r="I335" s="11"/>
      <c r="J335" s="11"/>
    </row>
    <row r="336" spans="1:10" hidden="1" x14ac:dyDescent="0.3">
      <c r="A336" s="23" t="s">
        <v>74</v>
      </c>
      <c r="B336" s="27" t="s">
        <v>43</v>
      </c>
      <c r="C336" s="21">
        <v>20</v>
      </c>
      <c r="D336" s="21">
        <v>21000000</v>
      </c>
      <c r="E336" s="21">
        <v>7779487.2666666647</v>
      </c>
      <c r="F336" s="21">
        <v>4977872.757136941</v>
      </c>
      <c r="G336" s="21">
        <f>Table841419410132427323943485356[[#This Row],[VỐN CP]]+Table841419410132427323943485356[[#This Row],[LỢI NHUẬN RÒNG]]</f>
        <v>25977872.757136941</v>
      </c>
      <c r="H336" s="28"/>
      <c r="I336" s="11"/>
      <c r="J336" s="11"/>
    </row>
    <row r="337" spans="1:10" hidden="1" x14ac:dyDescent="0.3">
      <c r="A337" s="23" t="s">
        <v>74</v>
      </c>
      <c r="B337" s="27" t="s">
        <v>25</v>
      </c>
      <c r="C337" s="21">
        <v>20</v>
      </c>
      <c r="D337" s="21">
        <v>21000000</v>
      </c>
      <c r="E337" s="21">
        <v>7779487.2666666647</v>
      </c>
      <c r="F337" s="21">
        <v>4977872.757136941</v>
      </c>
      <c r="G337" s="21">
        <f>Table841419410132427323943485356[[#This Row],[VỐN CP]]+Table841419410132427323943485356[[#This Row],[LỢI NHUẬN RÒNG]]</f>
        <v>25977872.757136941</v>
      </c>
      <c r="H337" s="28"/>
      <c r="I337" s="11"/>
      <c r="J337" s="11"/>
    </row>
    <row r="338" spans="1:10" hidden="1" x14ac:dyDescent="0.3">
      <c r="A338" s="23" t="s">
        <v>75</v>
      </c>
      <c r="B338" s="27" t="s">
        <v>9</v>
      </c>
      <c r="C338" s="21">
        <v>10</v>
      </c>
      <c r="D338" s="21">
        <v>1300000</v>
      </c>
      <c r="E338" s="21">
        <v>932066.1</v>
      </c>
      <c r="F338" s="21">
        <v>617323.92439085618</v>
      </c>
      <c r="G338" s="21">
        <f>Table841419410132427323943485356[[#This Row],[VỐN CP]]+Table841419410132427323943485356[[#This Row],[LỢI NHUẬN RÒNG]]</f>
        <v>1917323.9243908562</v>
      </c>
      <c r="H338" s="28"/>
      <c r="I338" s="11"/>
      <c r="J338" s="11"/>
    </row>
    <row r="339" spans="1:10" hidden="1" x14ac:dyDescent="0.3">
      <c r="A339" s="23" t="s">
        <v>75</v>
      </c>
      <c r="B339" s="27" t="s">
        <v>19</v>
      </c>
      <c r="C339" s="21">
        <v>10</v>
      </c>
      <c r="D339" s="21">
        <v>1300000</v>
      </c>
      <c r="E339" s="21">
        <v>932066.1</v>
      </c>
      <c r="F339" s="21">
        <v>617323.92439085618</v>
      </c>
      <c r="G339" s="21">
        <f>Table841419410132427323943485356[[#This Row],[VỐN CP]]+Table841419410132427323943485356[[#This Row],[LỢI NHUẬN RÒNG]]</f>
        <v>1917323.9243908562</v>
      </c>
      <c r="H339" s="28"/>
      <c r="I339" s="11"/>
      <c r="J339" s="11"/>
    </row>
    <row r="340" spans="1:10" x14ac:dyDescent="0.3">
      <c r="A340" s="23" t="s">
        <v>75</v>
      </c>
      <c r="B340" s="27" t="s">
        <v>37</v>
      </c>
      <c r="C340" s="21">
        <v>20</v>
      </c>
      <c r="D340" s="21">
        <v>2600000</v>
      </c>
      <c r="E340" s="21">
        <v>1864132.2</v>
      </c>
      <c r="F340" s="21">
        <v>1234647.8487817124</v>
      </c>
      <c r="G340" s="21">
        <f>Table841419410132427323943485356[[#This Row],[VỐN CP]]+Table841419410132427323943485356[[#This Row],[LỢI NHUẬN RÒNG]]</f>
        <v>3834647.8487817124</v>
      </c>
      <c r="H340" s="28"/>
      <c r="I340" s="11"/>
      <c r="J340" s="11"/>
    </row>
    <row r="341" spans="1:10" hidden="1" x14ac:dyDescent="0.3">
      <c r="A341" s="23" t="s">
        <v>75</v>
      </c>
      <c r="B341" s="27" t="s">
        <v>33</v>
      </c>
      <c r="C341" s="21">
        <v>5</v>
      </c>
      <c r="D341" s="21">
        <v>650000</v>
      </c>
      <c r="E341" s="21">
        <v>466033.05</v>
      </c>
      <c r="F341" s="21">
        <v>308661.96219542809</v>
      </c>
      <c r="G341" s="21">
        <f>Table841419410132427323943485356[[#This Row],[VỐN CP]]+Table841419410132427323943485356[[#This Row],[LỢI NHUẬN RÒNG]]</f>
        <v>958661.96219542809</v>
      </c>
      <c r="H341" s="28"/>
      <c r="I341" s="11"/>
      <c r="J341" s="11"/>
    </row>
    <row r="342" spans="1:10" hidden="1" x14ac:dyDescent="0.3">
      <c r="A342" s="23" t="s">
        <v>75</v>
      </c>
      <c r="B342" s="27" t="s">
        <v>31</v>
      </c>
      <c r="C342" s="21">
        <v>10</v>
      </c>
      <c r="D342" s="21">
        <v>1300000</v>
      </c>
      <c r="E342" s="21">
        <v>932066.1</v>
      </c>
      <c r="F342" s="21">
        <v>617323.92439085618</v>
      </c>
      <c r="G342" s="21">
        <f>Table841419410132427323943485356[[#This Row],[VỐN CP]]+Table841419410132427323943485356[[#This Row],[LỢI NHUẬN RÒNG]]</f>
        <v>1917323.9243908562</v>
      </c>
      <c r="H342" s="28"/>
      <c r="I342" s="11"/>
      <c r="J342" s="11"/>
    </row>
    <row r="343" spans="1:10" hidden="1" x14ac:dyDescent="0.3">
      <c r="A343" s="23" t="s">
        <v>75</v>
      </c>
      <c r="B343" s="27" t="s">
        <v>15</v>
      </c>
      <c r="C343" s="21">
        <v>5</v>
      </c>
      <c r="D343" s="21">
        <v>650000</v>
      </c>
      <c r="E343" s="21">
        <v>466033.05</v>
      </c>
      <c r="F343" s="21">
        <v>308661.96219542809</v>
      </c>
      <c r="G343" s="21">
        <f>Table841419410132427323943485356[[#This Row],[VỐN CP]]+Table841419410132427323943485356[[#This Row],[LỢI NHUẬN RÒNG]]</f>
        <v>958661.96219542809</v>
      </c>
      <c r="H343" s="28"/>
      <c r="I343" s="11"/>
      <c r="J343" s="11"/>
    </row>
    <row r="344" spans="1:10" hidden="1" x14ac:dyDescent="0.3">
      <c r="A344" s="23" t="s">
        <v>75</v>
      </c>
      <c r="B344" s="27" t="s">
        <v>21</v>
      </c>
      <c r="C344" s="21">
        <v>10</v>
      </c>
      <c r="D344" s="21">
        <v>1300000</v>
      </c>
      <c r="E344" s="21">
        <v>932066.1</v>
      </c>
      <c r="F344" s="21">
        <v>617323.92439085618</v>
      </c>
      <c r="G344" s="21">
        <f>Table841419410132427323943485356[[#This Row],[VỐN CP]]+Table841419410132427323943485356[[#This Row],[LỢI NHUẬN RÒNG]]</f>
        <v>1917323.9243908562</v>
      </c>
      <c r="H344" s="28"/>
      <c r="I344" s="11"/>
      <c r="J344" s="11"/>
    </row>
    <row r="345" spans="1:10" hidden="1" x14ac:dyDescent="0.3">
      <c r="A345" s="23" t="s">
        <v>75</v>
      </c>
      <c r="B345" s="27" t="s">
        <v>10</v>
      </c>
      <c r="C345" s="21">
        <v>10</v>
      </c>
      <c r="D345" s="21">
        <v>1300000</v>
      </c>
      <c r="E345" s="21">
        <v>932066.1</v>
      </c>
      <c r="F345" s="21">
        <v>617323.92439085618</v>
      </c>
      <c r="G345" s="21">
        <f>Table841419410132427323943485356[[#This Row],[VỐN CP]]+Table841419410132427323943485356[[#This Row],[LỢI NHUẬN RÒNG]]</f>
        <v>1917323.9243908562</v>
      </c>
      <c r="H345" s="28"/>
      <c r="I345" s="11"/>
      <c r="J345" s="11"/>
    </row>
    <row r="346" spans="1:10" hidden="1" x14ac:dyDescent="0.3">
      <c r="A346" s="23" t="s">
        <v>75</v>
      </c>
      <c r="B346" s="27" t="s">
        <v>29</v>
      </c>
      <c r="C346" s="21">
        <v>5</v>
      </c>
      <c r="D346" s="21">
        <v>650000</v>
      </c>
      <c r="E346" s="21">
        <v>466033.05</v>
      </c>
      <c r="F346" s="21">
        <v>308661.96219542809</v>
      </c>
      <c r="G346" s="21">
        <f>Table841419410132427323943485356[[#This Row],[VỐN CP]]+Table841419410132427323943485356[[#This Row],[LỢI NHUẬN RÒNG]]</f>
        <v>958661.96219542809</v>
      </c>
      <c r="H346" s="28"/>
      <c r="I346" s="11"/>
      <c r="J346" s="11"/>
    </row>
    <row r="347" spans="1:10" hidden="1" x14ac:dyDescent="0.3">
      <c r="A347" s="23" t="s">
        <v>75</v>
      </c>
      <c r="B347" s="27" t="s">
        <v>35</v>
      </c>
      <c r="C347" s="21">
        <v>10</v>
      </c>
      <c r="D347" s="21">
        <v>1300000</v>
      </c>
      <c r="E347" s="21">
        <v>932066.1</v>
      </c>
      <c r="F347" s="21">
        <v>617323.92439085618</v>
      </c>
      <c r="G347" s="21">
        <f>Table841419410132427323943485356[[#This Row],[VỐN CP]]+Table841419410132427323943485356[[#This Row],[LỢI NHUẬN RÒNG]]</f>
        <v>1917323.9243908562</v>
      </c>
      <c r="H347" s="28"/>
      <c r="I347" s="11"/>
      <c r="J347" s="11"/>
    </row>
    <row r="348" spans="1:10" hidden="1" x14ac:dyDescent="0.3">
      <c r="A348" s="23" t="s">
        <v>75</v>
      </c>
      <c r="B348" s="27" t="s">
        <v>45</v>
      </c>
      <c r="C348" s="21">
        <v>5</v>
      </c>
      <c r="D348" s="21">
        <v>650000</v>
      </c>
      <c r="E348" s="21">
        <v>466033.05</v>
      </c>
      <c r="F348" s="21">
        <v>308661.96219542809</v>
      </c>
      <c r="G348" s="21">
        <f>Table841419410132427323943485356[[#This Row],[VỐN CP]]+Table841419410132427323943485356[[#This Row],[LỢI NHUẬN RÒNG]]</f>
        <v>958661.96219542809</v>
      </c>
      <c r="H348" s="28"/>
      <c r="I348" s="11"/>
      <c r="J348" s="11"/>
    </row>
    <row r="349" spans="1:10" hidden="1" x14ac:dyDescent="0.3">
      <c r="A349" s="23" t="s">
        <v>76</v>
      </c>
      <c r="B349" s="27" t="s">
        <v>9</v>
      </c>
      <c r="C349" s="21">
        <v>20</v>
      </c>
      <c r="D349" s="21">
        <v>5333333.333333334</v>
      </c>
      <c r="E349" s="21">
        <v>2427053.666666666</v>
      </c>
      <c r="F349" s="21">
        <v>1868675.4732670791</v>
      </c>
      <c r="G349" s="21">
        <f>Table841419410132427323943485356[[#This Row],[VỐN CP]]+Table841419410132427323943485356[[#This Row],[LỢI NHUẬN RÒNG]]</f>
        <v>7202008.8066004133</v>
      </c>
      <c r="H349" s="28"/>
      <c r="I349" s="11"/>
      <c r="J349" s="11"/>
    </row>
    <row r="350" spans="1:10" hidden="1" x14ac:dyDescent="0.3">
      <c r="A350" s="23" t="s">
        <v>76</v>
      </c>
      <c r="B350" s="27" t="s">
        <v>19</v>
      </c>
      <c r="C350" s="21">
        <v>10</v>
      </c>
      <c r="D350" s="21">
        <v>2666666.666666667</v>
      </c>
      <c r="E350" s="21">
        <v>1213526.833333333</v>
      </c>
      <c r="F350" s="21">
        <v>934337.73663353955</v>
      </c>
      <c r="G350" s="21">
        <f>Table841419410132427323943485356[[#This Row],[VỐN CP]]+Table841419410132427323943485356[[#This Row],[LỢI NHUẬN RÒNG]]</f>
        <v>3601004.4033002066</v>
      </c>
      <c r="H350" s="28"/>
      <c r="I350" s="11"/>
      <c r="J350" s="11"/>
    </row>
    <row r="351" spans="1:10" x14ac:dyDescent="0.3">
      <c r="A351" s="23" t="s">
        <v>76</v>
      </c>
      <c r="B351" s="27" t="s">
        <v>37</v>
      </c>
      <c r="C351" s="21">
        <v>10</v>
      </c>
      <c r="D351" s="21">
        <v>2666666.666666667</v>
      </c>
      <c r="E351" s="21">
        <v>1213526.833333333</v>
      </c>
      <c r="F351" s="21">
        <v>934337.73663353955</v>
      </c>
      <c r="G351" s="21">
        <f>Table841419410132427323943485356[[#This Row],[VỐN CP]]+Table841419410132427323943485356[[#This Row],[LỢI NHUẬN RÒNG]]</f>
        <v>3601004.4033002066</v>
      </c>
      <c r="H351" s="28"/>
      <c r="I351" s="11"/>
      <c r="J351" s="11"/>
    </row>
    <row r="352" spans="1:10" hidden="1" x14ac:dyDescent="0.3">
      <c r="A352" s="23" t="s">
        <v>76</v>
      </c>
      <c r="B352" s="27" t="s">
        <v>31</v>
      </c>
      <c r="C352" s="21">
        <v>5</v>
      </c>
      <c r="D352" s="21">
        <v>1333333.3333333335</v>
      </c>
      <c r="E352" s="21">
        <v>606763.41666666651</v>
      </c>
      <c r="F352" s="21">
        <v>467168.86831676977</v>
      </c>
      <c r="G352" s="21">
        <f>Table841419410132427323943485356[[#This Row],[VỐN CP]]+Table841419410132427323943485356[[#This Row],[LỢI NHUẬN RÒNG]]</f>
        <v>1800502.2016501033</v>
      </c>
      <c r="H352" s="28"/>
      <c r="I352" s="11"/>
      <c r="J352" s="11"/>
    </row>
    <row r="353" spans="1:10" hidden="1" x14ac:dyDescent="0.3">
      <c r="A353" s="23" t="s">
        <v>76</v>
      </c>
      <c r="B353" s="27" t="s">
        <v>21</v>
      </c>
      <c r="C353" s="21">
        <v>15</v>
      </c>
      <c r="D353" s="21">
        <v>4000000.0000000005</v>
      </c>
      <c r="E353" s="21">
        <v>1820290.2499999998</v>
      </c>
      <c r="F353" s="21">
        <v>1401506.6049503095</v>
      </c>
      <c r="G353" s="21">
        <f>Table841419410132427323943485356[[#This Row],[VỐN CP]]+Table841419410132427323943485356[[#This Row],[LỢI NHUẬN RÒNG]]</f>
        <v>5401506.6049503097</v>
      </c>
      <c r="H353" s="28"/>
      <c r="I353" s="11"/>
      <c r="J353" s="11"/>
    </row>
    <row r="354" spans="1:10" hidden="1" x14ac:dyDescent="0.3">
      <c r="A354" s="23" t="s">
        <v>76</v>
      </c>
      <c r="B354" s="27" t="s">
        <v>10</v>
      </c>
      <c r="C354" s="21">
        <v>5</v>
      </c>
      <c r="D354" s="21">
        <v>1333333.3333333335</v>
      </c>
      <c r="E354" s="21">
        <v>606763.41666666651</v>
      </c>
      <c r="F354" s="21">
        <v>467168.86831676977</v>
      </c>
      <c r="G354" s="21">
        <f>Table841419410132427323943485356[[#This Row],[VỐN CP]]+Table841419410132427323943485356[[#This Row],[LỢI NHUẬN RÒNG]]</f>
        <v>1800502.2016501033</v>
      </c>
      <c r="H354" s="28"/>
      <c r="I354" s="11"/>
      <c r="J354" s="11"/>
    </row>
    <row r="355" spans="1:10" hidden="1" x14ac:dyDescent="0.3">
      <c r="A355" s="23" t="s">
        <v>76</v>
      </c>
      <c r="B355" s="27" t="s">
        <v>13</v>
      </c>
      <c r="C355" s="21">
        <v>5</v>
      </c>
      <c r="D355" s="21">
        <v>1333333.3333333335</v>
      </c>
      <c r="E355" s="21">
        <v>606763.41666666651</v>
      </c>
      <c r="F355" s="21">
        <v>467168.86831676977</v>
      </c>
      <c r="G355" s="21">
        <f>Table841419410132427323943485356[[#This Row],[VỐN CP]]+Table841419410132427323943485356[[#This Row],[LỢI NHUẬN RÒNG]]</f>
        <v>1800502.2016501033</v>
      </c>
      <c r="H355" s="28"/>
      <c r="I355" s="11"/>
      <c r="J355" s="11"/>
    </row>
    <row r="356" spans="1:10" hidden="1" x14ac:dyDescent="0.3">
      <c r="A356" s="23" t="s">
        <v>76</v>
      </c>
      <c r="B356" s="27" t="s">
        <v>29</v>
      </c>
      <c r="C356" s="21">
        <v>5</v>
      </c>
      <c r="D356" s="21">
        <v>1333333.3333333335</v>
      </c>
      <c r="E356" s="21">
        <v>606763.41666666651</v>
      </c>
      <c r="F356" s="21">
        <v>467168.86831676977</v>
      </c>
      <c r="G356" s="21">
        <f>Table841419410132427323943485356[[#This Row],[VỐN CP]]+Table841419410132427323943485356[[#This Row],[LỢI NHUẬN RÒNG]]</f>
        <v>1800502.2016501033</v>
      </c>
      <c r="H356" s="28"/>
      <c r="I356" s="11"/>
      <c r="J356" s="11"/>
    </row>
    <row r="357" spans="1:10" hidden="1" x14ac:dyDescent="0.3">
      <c r="A357" s="23" t="s">
        <v>76</v>
      </c>
      <c r="B357" s="27" t="s">
        <v>35</v>
      </c>
      <c r="C357" s="21">
        <v>5</v>
      </c>
      <c r="D357" s="21">
        <v>1333333.3333333335</v>
      </c>
      <c r="E357" s="21">
        <v>606763.41666666651</v>
      </c>
      <c r="F357" s="21">
        <v>467168.86831676977</v>
      </c>
      <c r="G357" s="21">
        <f>Table841419410132427323943485356[[#This Row],[VỐN CP]]+Table841419410132427323943485356[[#This Row],[LỢI NHUẬN RÒNG]]</f>
        <v>1800502.2016501033</v>
      </c>
      <c r="H357" s="28"/>
      <c r="I357" s="11"/>
      <c r="J357" s="11"/>
    </row>
    <row r="358" spans="1:10" hidden="1" x14ac:dyDescent="0.3">
      <c r="A358" s="23" t="s">
        <v>76</v>
      </c>
      <c r="B358" s="27" t="s">
        <v>43</v>
      </c>
      <c r="C358" s="21">
        <v>10</v>
      </c>
      <c r="D358" s="21">
        <v>2666666.666666667</v>
      </c>
      <c r="E358" s="21">
        <v>1213526.833333333</v>
      </c>
      <c r="F358" s="21">
        <v>934337.73663353955</v>
      </c>
      <c r="G358" s="21">
        <f>Table841419410132427323943485356[[#This Row],[VỐN CP]]+Table841419410132427323943485356[[#This Row],[LỢI NHUẬN RÒNG]]</f>
        <v>3601004.4033002066</v>
      </c>
      <c r="H358" s="28"/>
      <c r="I358" s="11"/>
      <c r="J358" s="11"/>
    </row>
    <row r="359" spans="1:10" hidden="1" x14ac:dyDescent="0.3">
      <c r="A359" s="23" t="s">
        <v>76</v>
      </c>
      <c r="B359" s="27" t="s">
        <v>25</v>
      </c>
      <c r="C359" s="21">
        <v>10</v>
      </c>
      <c r="D359" s="21">
        <v>2666666.666666667</v>
      </c>
      <c r="E359" s="21">
        <v>1213526.833333333</v>
      </c>
      <c r="F359" s="21">
        <v>934337.73663353955</v>
      </c>
      <c r="G359" s="21">
        <f>Table841419410132427323943485356[[#This Row],[VỐN CP]]+Table841419410132427323943485356[[#This Row],[LỢI NHUẬN RÒNG]]</f>
        <v>3601004.4033002066</v>
      </c>
      <c r="H359" s="28"/>
      <c r="I359" s="11"/>
      <c r="J359" s="11"/>
    </row>
    <row r="360" spans="1:10" hidden="1" x14ac:dyDescent="0.3">
      <c r="A360" s="23" t="s">
        <v>77</v>
      </c>
      <c r="B360" s="27" t="s">
        <v>9</v>
      </c>
      <c r="C360" s="21">
        <v>15</v>
      </c>
      <c r="D360" s="21">
        <v>3300000</v>
      </c>
      <c r="E360" s="21">
        <v>1517296.5</v>
      </c>
      <c r="F360" s="21">
        <v>1106840.6722008153</v>
      </c>
      <c r="G360" s="21">
        <f>Table841419410132427323943485356[[#This Row],[VỐN CP]]+Table841419410132427323943485356[[#This Row],[LỢI NHUẬN RÒNG]]</f>
        <v>4406840.6722008158</v>
      </c>
      <c r="H360" s="28"/>
      <c r="I360" s="11"/>
      <c r="J360" s="11"/>
    </row>
    <row r="361" spans="1:10" hidden="1" x14ac:dyDescent="0.3">
      <c r="A361" s="23" t="s">
        <v>77</v>
      </c>
      <c r="B361" s="27" t="s">
        <v>19</v>
      </c>
      <c r="C361" s="21">
        <v>10</v>
      </c>
      <c r="D361" s="21">
        <v>2200000</v>
      </c>
      <c r="E361" s="21">
        <v>1011531</v>
      </c>
      <c r="F361" s="21">
        <v>737893.78146721004</v>
      </c>
      <c r="G361" s="21">
        <f>Table841419410132427323943485356[[#This Row],[VỐN CP]]+Table841419410132427323943485356[[#This Row],[LỢI NHUẬN RÒNG]]</f>
        <v>2937893.78146721</v>
      </c>
      <c r="H361" s="28"/>
      <c r="I361" s="11"/>
      <c r="J361" s="11"/>
    </row>
    <row r="362" spans="1:10" x14ac:dyDescent="0.3">
      <c r="A362" s="23" t="s">
        <v>77</v>
      </c>
      <c r="B362" s="27" t="s">
        <v>37</v>
      </c>
      <c r="C362" s="21">
        <v>15</v>
      </c>
      <c r="D362" s="21">
        <v>3300000</v>
      </c>
      <c r="E362" s="21">
        <v>1517296.5</v>
      </c>
      <c r="F362" s="21">
        <v>1106840.6722008153</v>
      </c>
      <c r="G362" s="21">
        <f>Table841419410132427323943485356[[#This Row],[VỐN CP]]+Table841419410132427323943485356[[#This Row],[LỢI NHUẬN RÒNG]]</f>
        <v>4406840.6722008158</v>
      </c>
      <c r="H362" s="28"/>
      <c r="I362" s="11"/>
      <c r="J362" s="11"/>
    </row>
    <row r="363" spans="1:10" hidden="1" x14ac:dyDescent="0.3">
      <c r="A363" s="23" t="s">
        <v>77</v>
      </c>
      <c r="B363" s="27" t="s">
        <v>33</v>
      </c>
      <c r="C363" s="21">
        <v>5</v>
      </c>
      <c r="D363" s="21">
        <v>1100000</v>
      </c>
      <c r="E363" s="21">
        <v>505765.5</v>
      </c>
      <c r="F363" s="21">
        <v>368946.89073360502</v>
      </c>
      <c r="G363" s="21">
        <f>Table841419410132427323943485356[[#This Row],[VỐN CP]]+Table841419410132427323943485356[[#This Row],[LỢI NHUẬN RÒNG]]</f>
        <v>1468946.890733605</v>
      </c>
      <c r="H363" s="28"/>
      <c r="I363" s="11"/>
      <c r="J363" s="11"/>
    </row>
    <row r="364" spans="1:10" hidden="1" x14ac:dyDescent="0.3">
      <c r="A364" s="23" t="s">
        <v>77</v>
      </c>
      <c r="B364" s="27" t="s">
        <v>31</v>
      </c>
      <c r="C364" s="21">
        <v>5</v>
      </c>
      <c r="D364" s="21">
        <v>1100000</v>
      </c>
      <c r="E364" s="21">
        <v>505765.5</v>
      </c>
      <c r="F364" s="21">
        <v>368946.89073360502</v>
      </c>
      <c r="G364" s="21">
        <f>Table841419410132427323943485356[[#This Row],[VỐN CP]]+Table841419410132427323943485356[[#This Row],[LỢI NHUẬN RÒNG]]</f>
        <v>1468946.890733605</v>
      </c>
      <c r="H364" s="28"/>
      <c r="I364" s="11"/>
      <c r="J364" s="11"/>
    </row>
    <row r="365" spans="1:10" hidden="1" x14ac:dyDescent="0.3">
      <c r="A365" s="23" t="s">
        <v>77</v>
      </c>
      <c r="B365" s="27" t="s">
        <v>15</v>
      </c>
      <c r="C365" s="21">
        <v>5</v>
      </c>
      <c r="D365" s="21">
        <v>1100000</v>
      </c>
      <c r="E365" s="21">
        <v>505765.5</v>
      </c>
      <c r="F365" s="21">
        <v>368946.89073360502</v>
      </c>
      <c r="G365" s="21">
        <f>Table841419410132427323943485356[[#This Row],[VỐN CP]]+Table841419410132427323943485356[[#This Row],[LỢI NHUẬN RÒNG]]</f>
        <v>1468946.890733605</v>
      </c>
      <c r="H365" s="28"/>
      <c r="I365" s="11"/>
      <c r="J365" s="11"/>
    </row>
    <row r="366" spans="1:10" hidden="1" x14ac:dyDescent="0.3">
      <c r="A366" s="23" t="s">
        <v>77</v>
      </c>
      <c r="B366" s="27" t="s">
        <v>21</v>
      </c>
      <c r="C366" s="21">
        <v>20</v>
      </c>
      <c r="D366" s="21">
        <v>4400000</v>
      </c>
      <c r="E366" s="21">
        <v>2023062</v>
      </c>
      <c r="F366" s="21">
        <v>1475787.5629344201</v>
      </c>
      <c r="G366" s="21">
        <f>Table841419410132427323943485356[[#This Row],[VỐN CP]]+Table841419410132427323943485356[[#This Row],[LỢI NHUẬN RÒNG]]</f>
        <v>5875787.5629344201</v>
      </c>
      <c r="H366" s="28"/>
      <c r="I366" s="11"/>
      <c r="J366" s="11"/>
    </row>
    <row r="367" spans="1:10" hidden="1" x14ac:dyDescent="0.3">
      <c r="A367" s="23" t="s">
        <v>77</v>
      </c>
      <c r="B367" s="27" t="s">
        <v>43</v>
      </c>
      <c r="C367" s="21">
        <v>10</v>
      </c>
      <c r="D367" s="21">
        <v>2200000</v>
      </c>
      <c r="E367" s="21">
        <v>1011531</v>
      </c>
      <c r="F367" s="21">
        <v>737893.78146721004</v>
      </c>
      <c r="G367" s="21">
        <f>Table841419410132427323943485356[[#This Row],[VỐN CP]]+Table841419410132427323943485356[[#This Row],[LỢI NHUẬN RÒNG]]</f>
        <v>2937893.78146721</v>
      </c>
      <c r="H367" s="28"/>
      <c r="I367" s="11"/>
      <c r="J367" s="11"/>
    </row>
    <row r="368" spans="1:10" hidden="1" x14ac:dyDescent="0.3">
      <c r="A368" s="23" t="s">
        <v>77</v>
      </c>
      <c r="B368" s="27" t="s">
        <v>45</v>
      </c>
      <c r="C368" s="21">
        <v>5</v>
      </c>
      <c r="D368" s="21">
        <v>1100000</v>
      </c>
      <c r="E368" s="21">
        <v>505765.5</v>
      </c>
      <c r="F368" s="21">
        <v>368946.89073360502</v>
      </c>
      <c r="G368" s="21">
        <f>Table841419410132427323943485356[[#This Row],[VỐN CP]]+Table841419410132427323943485356[[#This Row],[LỢI NHUẬN RÒNG]]</f>
        <v>1468946.890733605</v>
      </c>
      <c r="H368" s="28"/>
      <c r="I368" s="11"/>
      <c r="J368" s="11"/>
    </row>
    <row r="369" spans="1:10" hidden="1" x14ac:dyDescent="0.3">
      <c r="A369" s="23" t="s">
        <v>77</v>
      </c>
      <c r="B369" s="27" t="s">
        <v>25</v>
      </c>
      <c r="C369" s="21">
        <v>10</v>
      </c>
      <c r="D369" s="21">
        <v>2200000</v>
      </c>
      <c r="E369" s="21">
        <v>1011531</v>
      </c>
      <c r="F369" s="21">
        <v>737893.78146721004</v>
      </c>
      <c r="G369" s="21">
        <f>Table841419410132427323943485356[[#This Row],[VỐN CP]]+Table841419410132427323943485356[[#This Row],[LỢI NHUẬN RÒNG]]</f>
        <v>2937893.78146721</v>
      </c>
      <c r="H369" s="28"/>
      <c r="I369" s="11"/>
      <c r="J369" s="11"/>
    </row>
    <row r="370" spans="1:10" hidden="1" x14ac:dyDescent="0.3">
      <c r="A370" s="23" t="s">
        <v>78</v>
      </c>
      <c r="B370" s="27" t="s">
        <v>9</v>
      </c>
      <c r="C370" s="21">
        <v>15</v>
      </c>
      <c r="D370" s="21">
        <v>3900000</v>
      </c>
      <c r="E370" s="21">
        <v>994432.00000000012</v>
      </c>
      <c r="F370" s="21">
        <v>645975.89375164104</v>
      </c>
      <c r="G370" s="21">
        <f>Table841419410132427323943485356[[#This Row],[VỐN CP]]+Table841419410132427323943485356[[#This Row],[LỢI NHUẬN RÒNG]]</f>
        <v>4545975.8937516408</v>
      </c>
      <c r="H370" s="28"/>
      <c r="I370" s="11"/>
      <c r="J370" s="11"/>
    </row>
    <row r="371" spans="1:10" hidden="1" x14ac:dyDescent="0.3">
      <c r="A371" s="23" t="s">
        <v>78</v>
      </c>
      <c r="B371" s="27" t="s">
        <v>19</v>
      </c>
      <c r="C371" s="21">
        <v>5</v>
      </c>
      <c r="D371" s="21">
        <v>1300000</v>
      </c>
      <c r="E371" s="21">
        <v>331477.33333333337</v>
      </c>
      <c r="F371" s="21">
        <v>215325.29791721367</v>
      </c>
      <c r="G371" s="21">
        <f>Table841419410132427323943485356[[#This Row],[VỐN CP]]+Table841419410132427323943485356[[#This Row],[LỢI NHUẬN RÒNG]]</f>
        <v>1515325.2979172138</v>
      </c>
      <c r="H371" s="28"/>
      <c r="I371" s="11"/>
      <c r="J371" s="11"/>
    </row>
    <row r="372" spans="1:10" x14ac:dyDescent="0.3">
      <c r="A372" s="23" t="s">
        <v>78</v>
      </c>
      <c r="B372" s="27" t="s">
        <v>37</v>
      </c>
      <c r="C372" s="21">
        <v>15</v>
      </c>
      <c r="D372" s="21">
        <v>3900000</v>
      </c>
      <c r="E372" s="21">
        <v>994432.00000000012</v>
      </c>
      <c r="F372" s="21">
        <v>645975.89375164104</v>
      </c>
      <c r="G372" s="21">
        <f>Table841419410132427323943485356[[#This Row],[VỐN CP]]+Table841419410132427323943485356[[#This Row],[LỢI NHUẬN RÒNG]]</f>
        <v>4545975.8937516408</v>
      </c>
      <c r="H372" s="28"/>
      <c r="I372" s="11"/>
      <c r="J372" s="11"/>
    </row>
    <row r="373" spans="1:10" hidden="1" x14ac:dyDescent="0.3">
      <c r="A373" s="23" t="s">
        <v>78</v>
      </c>
      <c r="B373" s="27" t="s">
        <v>31</v>
      </c>
      <c r="C373" s="21">
        <v>10</v>
      </c>
      <c r="D373" s="21">
        <v>2600000</v>
      </c>
      <c r="E373" s="21">
        <v>662954.66666666674</v>
      </c>
      <c r="F373" s="21">
        <v>430650.59583442734</v>
      </c>
      <c r="G373" s="21">
        <f>Table841419410132427323943485356[[#This Row],[VỐN CP]]+Table841419410132427323943485356[[#This Row],[LỢI NHUẬN RÒNG]]</f>
        <v>3030650.5958344275</v>
      </c>
      <c r="H373" s="28"/>
      <c r="I373" s="11"/>
      <c r="J373" s="11"/>
    </row>
    <row r="374" spans="1:10" hidden="1" x14ac:dyDescent="0.3">
      <c r="A374" s="23" t="s">
        <v>78</v>
      </c>
      <c r="B374" s="27" t="s">
        <v>15</v>
      </c>
      <c r="C374" s="21">
        <v>5</v>
      </c>
      <c r="D374" s="21">
        <v>1300000</v>
      </c>
      <c r="E374" s="21">
        <v>331477.33333333337</v>
      </c>
      <c r="F374" s="21">
        <v>215325.29791721367</v>
      </c>
      <c r="G374" s="21">
        <f>Table841419410132427323943485356[[#This Row],[VỐN CP]]+Table841419410132427323943485356[[#This Row],[LỢI NHUẬN RÒNG]]</f>
        <v>1515325.2979172138</v>
      </c>
      <c r="H374" s="28"/>
      <c r="I374" s="11"/>
      <c r="J374" s="11"/>
    </row>
    <row r="375" spans="1:10" hidden="1" x14ac:dyDescent="0.3">
      <c r="A375" s="23" t="s">
        <v>78</v>
      </c>
      <c r="B375" s="27" t="s">
        <v>21</v>
      </c>
      <c r="C375" s="21">
        <v>20</v>
      </c>
      <c r="D375" s="21">
        <v>5200000</v>
      </c>
      <c r="E375" s="21">
        <v>1325909.3333333335</v>
      </c>
      <c r="F375" s="21">
        <v>861301.19166885468</v>
      </c>
      <c r="G375" s="21">
        <f>Table841419410132427323943485356[[#This Row],[VỐN CP]]+Table841419410132427323943485356[[#This Row],[LỢI NHUẬN RÒNG]]</f>
        <v>6061301.191668855</v>
      </c>
      <c r="H375" s="28"/>
      <c r="I375" s="11"/>
      <c r="J375" s="11"/>
    </row>
    <row r="376" spans="1:10" hidden="1" x14ac:dyDescent="0.3">
      <c r="A376" s="23" t="s">
        <v>78</v>
      </c>
      <c r="B376" s="27" t="s">
        <v>13</v>
      </c>
      <c r="C376" s="21">
        <v>5</v>
      </c>
      <c r="D376" s="21">
        <v>1300000</v>
      </c>
      <c r="E376" s="21">
        <v>331477.33333333337</v>
      </c>
      <c r="F376" s="21">
        <v>215325.29791721367</v>
      </c>
      <c r="G376" s="21">
        <f>Table841419410132427323943485356[[#This Row],[VỐN CP]]+Table841419410132427323943485356[[#This Row],[LỢI NHUẬN RÒNG]]</f>
        <v>1515325.2979172138</v>
      </c>
      <c r="H376" s="28"/>
      <c r="I376" s="11"/>
      <c r="J376" s="11"/>
    </row>
    <row r="377" spans="1:10" hidden="1" x14ac:dyDescent="0.3">
      <c r="A377" s="23" t="s">
        <v>78</v>
      </c>
      <c r="B377" s="27" t="s">
        <v>29</v>
      </c>
      <c r="C377" s="21">
        <v>5</v>
      </c>
      <c r="D377" s="21">
        <v>1300000</v>
      </c>
      <c r="E377" s="21">
        <v>331477.33333333337</v>
      </c>
      <c r="F377" s="21">
        <v>215325.29791721367</v>
      </c>
      <c r="G377" s="21">
        <f>Table841419410132427323943485356[[#This Row],[VỐN CP]]+Table841419410132427323943485356[[#This Row],[LỢI NHUẬN RÒNG]]</f>
        <v>1515325.2979172138</v>
      </c>
      <c r="H377" s="28"/>
      <c r="I377" s="11"/>
      <c r="J377" s="11"/>
    </row>
    <row r="378" spans="1:10" hidden="1" x14ac:dyDescent="0.3">
      <c r="A378" s="23" t="s">
        <v>78</v>
      </c>
      <c r="B378" s="27" t="s">
        <v>43</v>
      </c>
      <c r="C378" s="21">
        <v>5</v>
      </c>
      <c r="D378" s="21">
        <v>1300000</v>
      </c>
      <c r="E378" s="21">
        <v>331477.33333333337</v>
      </c>
      <c r="F378" s="21">
        <v>215325.29791721367</v>
      </c>
      <c r="G378" s="21">
        <f>Table841419410132427323943485356[[#This Row],[VỐN CP]]+Table841419410132427323943485356[[#This Row],[LỢI NHUẬN RÒNG]]</f>
        <v>1515325.2979172138</v>
      </c>
      <c r="H378" s="28"/>
      <c r="I378" s="11"/>
      <c r="J378" s="11"/>
    </row>
    <row r="379" spans="1:10" hidden="1" x14ac:dyDescent="0.3">
      <c r="A379" s="23" t="s">
        <v>78</v>
      </c>
      <c r="B379" s="27" t="s">
        <v>44</v>
      </c>
      <c r="C379" s="21">
        <v>5</v>
      </c>
      <c r="D379" s="21">
        <v>1300000</v>
      </c>
      <c r="E379" s="21">
        <v>331477.33333333337</v>
      </c>
      <c r="F379" s="21">
        <v>215325.29791721367</v>
      </c>
      <c r="G379" s="21">
        <f>Table841419410132427323943485356[[#This Row],[VỐN CP]]+Table841419410132427323943485356[[#This Row],[LỢI NHUẬN RÒNG]]</f>
        <v>1515325.2979172138</v>
      </c>
      <c r="H379" s="28"/>
      <c r="I379" s="11"/>
      <c r="J379" s="11"/>
    </row>
    <row r="380" spans="1:10" hidden="1" x14ac:dyDescent="0.3">
      <c r="A380" s="23" t="s">
        <v>78</v>
      </c>
      <c r="B380" s="27" t="s">
        <v>25</v>
      </c>
      <c r="C380" s="21">
        <v>10</v>
      </c>
      <c r="D380" s="21">
        <v>2600000</v>
      </c>
      <c r="E380" s="21">
        <v>662954.66666666674</v>
      </c>
      <c r="F380" s="21">
        <v>430650.59583442734</v>
      </c>
      <c r="G380" s="21">
        <f>Table841419410132427323943485356[[#This Row],[VỐN CP]]+Table841419410132427323943485356[[#This Row],[LỢI NHUẬN RÒNG]]</f>
        <v>3030650.5958344275</v>
      </c>
      <c r="H380" s="28"/>
      <c r="I380" s="11"/>
      <c r="J380" s="11"/>
    </row>
    <row r="381" spans="1:10" hidden="1" x14ac:dyDescent="0.3">
      <c r="A381" s="23" t="s">
        <v>79</v>
      </c>
      <c r="B381" s="27" t="s">
        <v>9</v>
      </c>
      <c r="C381" s="21">
        <v>30</v>
      </c>
      <c r="D381" s="21">
        <v>18000000</v>
      </c>
      <c r="E381" s="21">
        <v>7603829.4000000004</v>
      </c>
      <c r="F381" s="21">
        <v>4813747.7441055765</v>
      </c>
      <c r="G381" s="21">
        <f>Table841419410132427323943485356[[#This Row],[VỐN CP]]+Table841419410132427323943485356[[#This Row],[LỢI NHUẬN RÒNG]]</f>
        <v>22813747.744105577</v>
      </c>
      <c r="H381" s="28"/>
      <c r="I381" s="11"/>
      <c r="J381" s="11"/>
    </row>
    <row r="382" spans="1:10" x14ac:dyDescent="0.3">
      <c r="A382" s="23" t="s">
        <v>79</v>
      </c>
      <c r="B382" s="27" t="s">
        <v>37</v>
      </c>
      <c r="C382" s="21">
        <v>30</v>
      </c>
      <c r="D382" s="21">
        <v>18000000</v>
      </c>
      <c r="E382" s="21">
        <v>7603829.4000000004</v>
      </c>
      <c r="F382" s="21">
        <v>4813747.7441055765</v>
      </c>
      <c r="G382" s="21">
        <f>Table841419410132427323943485356[[#This Row],[VỐN CP]]+Table841419410132427323943485356[[#This Row],[LỢI NHUẬN RÒNG]]</f>
        <v>22813747.744105577</v>
      </c>
      <c r="H382" s="28"/>
      <c r="I382" s="11"/>
      <c r="J382" s="11"/>
    </row>
    <row r="383" spans="1:10" hidden="1" x14ac:dyDescent="0.3">
      <c r="A383" s="23" t="s">
        <v>79</v>
      </c>
      <c r="B383" s="27" t="s">
        <v>21</v>
      </c>
      <c r="C383" s="21">
        <v>30</v>
      </c>
      <c r="D383" s="21">
        <v>18000000</v>
      </c>
      <c r="E383" s="21">
        <v>7603829.4000000004</v>
      </c>
      <c r="F383" s="21">
        <v>4813747.7441055765</v>
      </c>
      <c r="G383" s="21">
        <f>Table841419410132427323943485356[[#This Row],[VỐN CP]]+Table841419410132427323943485356[[#This Row],[LỢI NHUẬN RÒNG]]</f>
        <v>22813747.744105577</v>
      </c>
      <c r="H383" s="28"/>
      <c r="I383" s="11"/>
      <c r="J383" s="11"/>
    </row>
    <row r="384" spans="1:10" hidden="1" x14ac:dyDescent="0.3">
      <c r="A384" s="23" t="s">
        <v>79</v>
      </c>
      <c r="B384" s="27" t="s">
        <v>10</v>
      </c>
      <c r="C384" s="21">
        <v>10</v>
      </c>
      <c r="D384" s="21">
        <v>6000000</v>
      </c>
      <c r="E384" s="21">
        <v>2534609.7999999998</v>
      </c>
      <c r="F384" s="21">
        <v>1604582.5813685253</v>
      </c>
      <c r="G384" s="21">
        <f>Table841419410132427323943485356[[#This Row],[VỐN CP]]+Table841419410132427323943485356[[#This Row],[LỢI NHUẬN RÒNG]]</f>
        <v>7604582.5813685255</v>
      </c>
      <c r="H384" s="28"/>
      <c r="I384" s="11"/>
      <c r="J384" s="11"/>
    </row>
    <row r="385" spans="1:10" hidden="1" x14ac:dyDescent="0.3">
      <c r="A385" s="23" t="s">
        <v>80</v>
      </c>
      <c r="B385" s="27" t="s">
        <v>9</v>
      </c>
      <c r="C385" s="21">
        <v>30</v>
      </c>
      <c r="D385" s="21">
        <v>15000000</v>
      </c>
      <c r="E385" s="21">
        <v>6695379.5999999996</v>
      </c>
      <c r="F385" s="21">
        <v>5408429.0069446564</v>
      </c>
      <c r="G385" s="21">
        <f>Table841419410132427323943485356[[#This Row],[VỐN CP]]+Table841419410132427323943485356[[#This Row],[LỢI NHUẬN RÒNG]]</f>
        <v>20408429.006944656</v>
      </c>
      <c r="H385" s="28"/>
      <c r="I385" s="11"/>
      <c r="J385" s="11"/>
    </row>
    <row r="386" spans="1:10" x14ac:dyDescent="0.3">
      <c r="A386" s="23" t="s">
        <v>80</v>
      </c>
      <c r="B386" s="27" t="s">
        <v>37</v>
      </c>
      <c r="C386" s="21">
        <v>40</v>
      </c>
      <c r="D386" s="21">
        <v>20000000</v>
      </c>
      <c r="E386" s="21">
        <v>8927172.8000000007</v>
      </c>
      <c r="F386" s="21">
        <v>7211238.6759262085</v>
      </c>
      <c r="G386" s="21">
        <f>Table841419410132427323943485356[[#This Row],[VỐN CP]]+Table841419410132427323943485356[[#This Row],[LỢI NHUẬN RÒNG]]</f>
        <v>27211238.675926208</v>
      </c>
      <c r="H386" s="28"/>
      <c r="I386" s="11"/>
      <c r="J386" s="11"/>
    </row>
    <row r="387" spans="1:10" hidden="1" x14ac:dyDescent="0.3">
      <c r="A387" s="23" t="s">
        <v>80</v>
      </c>
      <c r="B387" s="27" t="s">
        <v>21</v>
      </c>
      <c r="C387" s="21">
        <v>20</v>
      </c>
      <c r="D387" s="21">
        <v>10000000</v>
      </c>
      <c r="E387" s="21">
        <v>4463586.4000000004</v>
      </c>
      <c r="F387" s="21">
        <v>3605619.3379631042</v>
      </c>
      <c r="G387" s="21">
        <f>Table841419410132427323943485356[[#This Row],[VỐN CP]]+Table841419410132427323943485356[[#This Row],[LỢI NHUẬN RÒNG]]</f>
        <v>13605619.337963104</v>
      </c>
      <c r="H387" s="28"/>
      <c r="I387" s="11"/>
      <c r="J387" s="11"/>
    </row>
    <row r="388" spans="1:10" hidden="1" x14ac:dyDescent="0.3">
      <c r="A388" s="23" t="s">
        <v>80</v>
      </c>
      <c r="B388" s="27" t="s">
        <v>10</v>
      </c>
      <c r="C388" s="21">
        <v>10</v>
      </c>
      <c r="D388" s="21">
        <v>5000000</v>
      </c>
      <c r="E388" s="21">
        <v>2231793.2000000002</v>
      </c>
      <c r="F388" s="21">
        <v>1802809.6689815521</v>
      </c>
      <c r="G388" s="21">
        <f>Table841419410132427323943485356[[#This Row],[VỐN CP]]+Table841419410132427323943485356[[#This Row],[LỢI NHUẬN RÒNG]]</f>
        <v>6802809.6689815521</v>
      </c>
      <c r="H388" s="28"/>
      <c r="I388" s="11"/>
      <c r="J388" s="11"/>
    </row>
    <row r="389" spans="1:10" hidden="1" x14ac:dyDescent="0.3">
      <c r="A389" s="23" t="s">
        <v>81</v>
      </c>
      <c r="B389" s="27" t="s">
        <v>9</v>
      </c>
      <c r="C389" s="21">
        <v>15</v>
      </c>
      <c r="D389" s="21">
        <v>4800000</v>
      </c>
      <c r="E389" s="21">
        <v>1115313.6000000001</v>
      </c>
      <c r="F389" s="21">
        <v>657020.61942053249</v>
      </c>
      <c r="G389" s="21">
        <f>Table841419410132427323943485356[[#This Row],[VỐN CP]]+Table841419410132427323943485356[[#This Row],[LỢI NHUẬN RÒNG]]</f>
        <v>5457020.6194205321</v>
      </c>
      <c r="H389" s="28"/>
      <c r="I389" s="11"/>
      <c r="J389" s="11"/>
    </row>
    <row r="390" spans="1:10" hidden="1" x14ac:dyDescent="0.3">
      <c r="A390" s="23" t="s">
        <v>81</v>
      </c>
      <c r="B390" s="27" t="s">
        <v>19</v>
      </c>
      <c r="C390" s="21">
        <v>5</v>
      </c>
      <c r="D390" s="21">
        <v>1600000</v>
      </c>
      <c r="E390" s="21">
        <v>371771.2</v>
      </c>
      <c r="F390" s="21">
        <v>219006.87314017751</v>
      </c>
      <c r="G390" s="21">
        <f>Table841419410132427323943485356[[#This Row],[VỐN CP]]+Table841419410132427323943485356[[#This Row],[LỢI NHUẬN RÒNG]]</f>
        <v>1819006.8731401775</v>
      </c>
      <c r="H390" s="28"/>
      <c r="I390" s="11"/>
      <c r="J390" s="11"/>
    </row>
    <row r="391" spans="1:10" x14ac:dyDescent="0.3">
      <c r="A391" s="23" t="s">
        <v>81</v>
      </c>
      <c r="B391" s="27" t="s">
        <v>37</v>
      </c>
      <c r="C391" s="21">
        <v>15</v>
      </c>
      <c r="D391" s="21">
        <v>4800000</v>
      </c>
      <c r="E391" s="21">
        <v>1115313.6000000001</v>
      </c>
      <c r="F391" s="21">
        <v>657020.61942053249</v>
      </c>
      <c r="G391" s="21">
        <f>Table841419410132427323943485356[[#This Row],[VỐN CP]]+Table841419410132427323943485356[[#This Row],[LỢI NHUẬN RÒNG]]</f>
        <v>5457020.6194205321</v>
      </c>
      <c r="H391" s="28"/>
      <c r="I391" s="11"/>
      <c r="J391" s="11"/>
    </row>
    <row r="392" spans="1:10" hidden="1" x14ac:dyDescent="0.3">
      <c r="A392" s="23" t="s">
        <v>81</v>
      </c>
      <c r="B392" s="27" t="s">
        <v>31</v>
      </c>
      <c r="C392" s="21">
        <v>5</v>
      </c>
      <c r="D392" s="21">
        <v>1600000</v>
      </c>
      <c r="E392" s="21">
        <v>371771.2</v>
      </c>
      <c r="F392" s="21">
        <v>219006.87314017751</v>
      </c>
      <c r="G392" s="21">
        <f>Table841419410132427323943485356[[#This Row],[VỐN CP]]+Table841419410132427323943485356[[#This Row],[LỢI NHUẬN RÒNG]]</f>
        <v>1819006.8731401775</v>
      </c>
      <c r="H392" s="28"/>
      <c r="I392" s="11"/>
      <c r="J392" s="11"/>
    </row>
    <row r="393" spans="1:10" hidden="1" x14ac:dyDescent="0.3">
      <c r="A393" s="23" t="s">
        <v>81</v>
      </c>
      <c r="B393" s="27" t="s">
        <v>15</v>
      </c>
      <c r="C393" s="21">
        <v>5</v>
      </c>
      <c r="D393" s="21">
        <v>1600000</v>
      </c>
      <c r="E393" s="21">
        <v>371771.2</v>
      </c>
      <c r="F393" s="21">
        <v>219006.87314017751</v>
      </c>
      <c r="G393" s="21">
        <f>Table841419410132427323943485356[[#This Row],[VỐN CP]]+Table841419410132427323943485356[[#This Row],[LỢI NHUẬN RÒNG]]</f>
        <v>1819006.8731401775</v>
      </c>
      <c r="H393" s="28"/>
      <c r="I393" s="11"/>
      <c r="J393" s="11"/>
    </row>
    <row r="394" spans="1:10" hidden="1" x14ac:dyDescent="0.3">
      <c r="A394" s="23" t="s">
        <v>81</v>
      </c>
      <c r="B394" s="27" t="s">
        <v>21</v>
      </c>
      <c r="C394" s="21">
        <v>15</v>
      </c>
      <c r="D394" s="21">
        <v>4800000</v>
      </c>
      <c r="E394" s="21">
        <v>1115313.6000000001</v>
      </c>
      <c r="F394" s="21">
        <v>657020.61942053249</v>
      </c>
      <c r="G394" s="21">
        <f>Table841419410132427323943485356[[#This Row],[VỐN CP]]+Table841419410132427323943485356[[#This Row],[LỢI NHUẬN RÒNG]]</f>
        <v>5457020.6194205321</v>
      </c>
      <c r="H394" s="28"/>
      <c r="I394" s="11"/>
      <c r="J394" s="11"/>
    </row>
    <row r="395" spans="1:10" hidden="1" x14ac:dyDescent="0.3">
      <c r="A395" s="23" t="s">
        <v>81</v>
      </c>
      <c r="B395" s="27" t="s">
        <v>10</v>
      </c>
      <c r="C395" s="21">
        <v>5</v>
      </c>
      <c r="D395" s="21">
        <v>1600000</v>
      </c>
      <c r="E395" s="21">
        <v>371771.2</v>
      </c>
      <c r="F395" s="21">
        <v>219006.87314017751</v>
      </c>
      <c r="G395" s="21">
        <f>Table841419410132427323943485356[[#This Row],[VỐN CP]]+Table841419410132427323943485356[[#This Row],[LỢI NHUẬN RÒNG]]</f>
        <v>1819006.8731401775</v>
      </c>
      <c r="H395" s="28"/>
      <c r="I395" s="11"/>
      <c r="J395" s="11"/>
    </row>
    <row r="396" spans="1:10" hidden="1" x14ac:dyDescent="0.3">
      <c r="A396" s="23" t="s">
        <v>81</v>
      </c>
      <c r="B396" s="27" t="s">
        <v>13</v>
      </c>
      <c r="C396" s="21">
        <v>10</v>
      </c>
      <c r="D396" s="21">
        <v>3200000</v>
      </c>
      <c r="E396" s="21">
        <v>743542.4</v>
      </c>
      <c r="F396" s="21">
        <v>438013.74628035503</v>
      </c>
      <c r="G396" s="21">
        <f>Table841419410132427323943485356[[#This Row],[VỐN CP]]+Table841419410132427323943485356[[#This Row],[LỢI NHUẬN RÒNG]]</f>
        <v>3638013.7462803549</v>
      </c>
      <c r="H396" s="28"/>
      <c r="I396" s="11"/>
      <c r="J396" s="11"/>
    </row>
    <row r="397" spans="1:10" hidden="1" x14ac:dyDescent="0.3">
      <c r="A397" s="23" t="s">
        <v>81</v>
      </c>
      <c r="B397" s="27" t="s">
        <v>35</v>
      </c>
      <c r="C397" s="21">
        <v>5</v>
      </c>
      <c r="D397" s="21">
        <v>1600000</v>
      </c>
      <c r="E397" s="21">
        <v>371771.2</v>
      </c>
      <c r="F397" s="21">
        <v>219006.87314017751</v>
      </c>
      <c r="G397" s="21">
        <f>Table841419410132427323943485356[[#This Row],[VỐN CP]]+Table841419410132427323943485356[[#This Row],[LỢI NHUẬN RÒNG]]</f>
        <v>1819006.8731401775</v>
      </c>
      <c r="H397" s="28"/>
      <c r="I397" s="11"/>
      <c r="J397" s="11"/>
    </row>
    <row r="398" spans="1:10" hidden="1" x14ac:dyDescent="0.3">
      <c r="A398" s="23" t="s">
        <v>81</v>
      </c>
      <c r="B398" s="27" t="s">
        <v>43</v>
      </c>
      <c r="C398" s="21">
        <v>10</v>
      </c>
      <c r="D398" s="21">
        <v>3200000</v>
      </c>
      <c r="E398" s="21">
        <v>743542.4</v>
      </c>
      <c r="F398" s="21">
        <v>438013.74628035503</v>
      </c>
      <c r="G398" s="21">
        <f>Table841419410132427323943485356[[#This Row],[VỐN CP]]+Table841419410132427323943485356[[#This Row],[LỢI NHUẬN RÒNG]]</f>
        <v>3638013.7462803549</v>
      </c>
      <c r="H398" s="28"/>
      <c r="I398" s="11"/>
      <c r="J398" s="11"/>
    </row>
    <row r="399" spans="1:10" hidden="1" x14ac:dyDescent="0.3">
      <c r="A399" s="23" t="s">
        <v>81</v>
      </c>
      <c r="B399" s="27" t="s">
        <v>25</v>
      </c>
      <c r="C399" s="21">
        <v>10</v>
      </c>
      <c r="D399" s="21">
        <v>3200000</v>
      </c>
      <c r="E399" s="21">
        <v>743542.4</v>
      </c>
      <c r="F399" s="21">
        <v>438013.74628035503</v>
      </c>
      <c r="G399" s="21">
        <f>Table841419410132427323943485356[[#This Row],[VỐN CP]]+Table841419410132427323943485356[[#This Row],[LỢI NHUẬN RÒNG]]</f>
        <v>3638013.7462803549</v>
      </c>
      <c r="H399" s="28"/>
      <c r="I399" s="11"/>
      <c r="J399" s="11"/>
    </row>
    <row r="400" spans="1:10" hidden="1" x14ac:dyDescent="0.3">
      <c r="A400" s="23" t="s">
        <v>82</v>
      </c>
      <c r="B400" s="27" t="s">
        <v>9</v>
      </c>
      <c r="C400" s="21">
        <v>25</v>
      </c>
      <c r="D400" s="21">
        <v>4000000</v>
      </c>
      <c r="E400" s="21">
        <v>4231137</v>
      </c>
      <c r="F400" s="21">
        <v>3554521.73735236</v>
      </c>
      <c r="G400" s="21">
        <f>Table841419410132427323943485356[[#This Row],[VỐN CP]]+Table841419410132427323943485356[[#This Row],[LỢI NHUẬN RÒNG]]</f>
        <v>7554521.73735236</v>
      </c>
      <c r="H400" s="28"/>
      <c r="I400" s="11"/>
      <c r="J400" s="11"/>
    </row>
    <row r="401" spans="1:10" hidden="1" x14ac:dyDescent="0.3">
      <c r="A401" s="23" t="s">
        <v>82</v>
      </c>
      <c r="B401" s="27" t="s">
        <v>19</v>
      </c>
      <c r="C401" s="21">
        <v>20</v>
      </c>
      <c r="D401" s="21">
        <v>3200000</v>
      </c>
      <c r="E401" s="21">
        <v>3384909.6</v>
      </c>
      <c r="F401" s="21">
        <v>2843617.3898818879</v>
      </c>
      <c r="G401" s="21">
        <f>Table841419410132427323943485356[[#This Row],[VỐN CP]]+Table841419410132427323943485356[[#This Row],[LỢI NHUẬN RÒNG]]</f>
        <v>6043617.3898818884</v>
      </c>
      <c r="H401" s="28"/>
      <c r="I401" s="11"/>
      <c r="J401" s="11"/>
    </row>
    <row r="402" spans="1:10" x14ac:dyDescent="0.3">
      <c r="A402" s="23" t="s">
        <v>82</v>
      </c>
      <c r="B402" s="27" t="s">
        <v>37</v>
      </c>
      <c r="C402" s="21">
        <v>25</v>
      </c>
      <c r="D402" s="21">
        <v>4000000</v>
      </c>
      <c r="E402" s="21">
        <v>4231137</v>
      </c>
      <c r="F402" s="21">
        <v>3554521.73735236</v>
      </c>
      <c r="G402" s="21">
        <f>Table841419410132427323943485356[[#This Row],[VỐN CP]]+Table841419410132427323943485356[[#This Row],[LỢI NHUẬN RÒNG]]</f>
        <v>7554521.73735236</v>
      </c>
      <c r="H402" s="28"/>
      <c r="I402" s="11"/>
      <c r="J402" s="11"/>
    </row>
    <row r="403" spans="1:10" hidden="1" x14ac:dyDescent="0.3">
      <c r="A403" s="23" t="s">
        <v>82</v>
      </c>
      <c r="B403" s="27" t="s">
        <v>21</v>
      </c>
      <c r="C403" s="21">
        <v>25</v>
      </c>
      <c r="D403" s="21">
        <v>4000000</v>
      </c>
      <c r="E403" s="21">
        <v>4231137</v>
      </c>
      <c r="F403" s="21">
        <v>3554521.73735236</v>
      </c>
      <c r="G403" s="21">
        <f>Table841419410132427323943485356[[#This Row],[VỐN CP]]+Table841419410132427323943485356[[#This Row],[LỢI NHUẬN RÒNG]]</f>
        <v>7554521.73735236</v>
      </c>
      <c r="H403" s="28"/>
      <c r="I403" s="11"/>
      <c r="J403" s="11"/>
    </row>
    <row r="404" spans="1:10" hidden="1" x14ac:dyDescent="0.3">
      <c r="A404" s="23" t="s">
        <v>82</v>
      </c>
      <c r="B404" s="27" t="s">
        <v>10</v>
      </c>
      <c r="C404" s="21">
        <v>5</v>
      </c>
      <c r="D404" s="21">
        <v>800000</v>
      </c>
      <c r="E404" s="21">
        <v>846227.4</v>
      </c>
      <c r="F404" s="21">
        <v>710904.34747047198</v>
      </c>
      <c r="G404" s="21">
        <f>Table841419410132427323943485356[[#This Row],[VỐN CP]]+Table841419410132427323943485356[[#This Row],[LỢI NHUẬN RÒNG]]</f>
        <v>1510904.3474704721</v>
      </c>
      <c r="H404" s="28"/>
      <c r="I404" s="11"/>
      <c r="J404" s="11"/>
    </row>
    <row r="405" spans="1:10" hidden="1" x14ac:dyDescent="0.3">
      <c r="A405" s="23" t="s">
        <v>83</v>
      </c>
      <c r="B405" s="27" t="s">
        <v>9</v>
      </c>
      <c r="C405" s="21">
        <v>20</v>
      </c>
      <c r="D405" s="21">
        <v>8200000</v>
      </c>
      <c r="E405" s="21">
        <v>2538872.7999999998</v>
      </c>
      <c r="F405" s="21">
        <v>1973754.2272585616</v>
      </c>
      <c r="G405" s="21">
        <f>Table841419410132427323943485356[[#This Row],[VỐN CP]]+Table841419410132427323943485356[[#This Row],[LỢI NHUẬN RÒNG]]</f>
        <v>10173754.227258561</v>
      </c>
      <c r="H405" s="28"/>
      <c r="I405" s="11"/>
      <c r="J405" s="11"/>
    </row>
    <row r="406" spans="1:10" hidden="1" x14ac:dyDescent="0.3">
      <c r="A406" s="23" t="s">
        <v>83</v>
      </c>
      <c r="B406" s="27" t="s">
        <v>19</v>
      </c>
      <c r="C406" s="21">
        <v>5</v>
      </c>
      <c r="D406" s="21">
        <v>2050000</v>
      </c>
      <c r="E406" s="21">
        <v>634718.19999999995</v>
      </c>
      <c r="F406" s="21">
        <v>493438.55681464041</v>
      </c>
      <c r="G406" s="21">
        <f>Table841419410132427323943485356[[#This Row],[VỐN CP]]+Table841419410132427323943485356[[#This Row],[LỢI NHUẬN RÒNG]]</f>
        <v>2543438.5568146403</v>
      </c>
      <c r="H406" s="28"/>
      <c r="I406" s="11"/>
      <c r="J406" s="11"/>
    </row>
    <row r="407" spans="1:10" x14ac:dyDescent="0.3">
      <c r="A407" s="23" t="s">
        <v>83</v>
      </c>
      <c r="B407" s="27" t="s">
        <v>37</v>
      </c>
      <c r="C407" s="21">
        <v>10</v>
      </c>
      <c r="D407" s="21">
        <v>4100000</v>
      </c>
      <c r="E407" s="21">
        <v>1269436.3999999999</v>
      </c>
      <c r="F407" s="21">
        <v>986877.11362928082</v>
      </c>
      <c r="G407" s="21">
        <f>Table841419410132427323943485356[[#This Row],[VỐN CP]]+Table841419410132427323943485356[[#This Row],[LỢI NHUẬN RÒNG]]</f>
        <v>5086877.1136292806</v>
      </c>
      <c r="H407" s="28"/>
      <c r="I407" s="11"/>
      <c r="J407" s="11"/>
    </row>
    <row r="408" spans="1:10" hidden="1" x14ac:dyDescent="0.3">
      <c r="A408" s="23" t="s">
        <v>83</v>
      </c>
      <c r="B408" s="27" t="s">
        <v>31</v>
      </c>
      <c r="C408" s="21">
        <v>20</v>
      </c>
      <c r="D408" s="21">
        <v>8200000</v>
      </c>
      <c r="E408" s="21">
        <v>2538872.7999999998</v>
      </c>
      <c r="F408" s="21">
        <v>1973754.2272585616</v>
      </c>
      <c r="G408" s="21">
        <f>Table841419410132427323943485356[[#This Row],[VỐN CP]]+Table841419410132427323943485356[[#This Row],[LỢI NHUẬN RÒNG]]</f>
        <v>10173754.227258561</v>
      </c>
      <c r="H408" s="28"/>
      <c r="I408" s="11"/>
      <c r="J408" s="11"/>
    </row>
    <row r="409" spans="1:10" hidden="1" x14ac:dyDescent="0.3">
      <c r="A409" s="23" t="s">
        <v>83</v>
      </c>
      <c r="B409" s="27" t="s">
        <v>21</v>
      </c>
      <c r="C409" s="21">
        <v>20</v>
      </c>
      <c r="D409" s="21">
        <v>8200000</v>
      </c>
      <c r="E409" s="21">
        <v>2538872.7999999998</v>
      </c>
      <c r="F409" s="21">
        <v>1973754.2272585616</v>
      </c>
      <c r="G409" s="21">
        <f>Table841419410132427323943485356[[#This Row],[VỐN CP]]+Table841419410132427323943485356[[#This Row],[LỢI NHUẬN RÒNG]]</f>
        <v>10173754.227258561</v>
      </c>
      <c r="H409" s="28"/>
      <c r="I409" s="11"/>
      <c r="J409" s="11"/>
    </row>
    <row r="410" spans="1:10" hidden="1" x14ac:dyDescent="0.3">
      <c r="A410" s="23" t="s">
        <v>83</v>
      </c>
      <c r="B410" s="27" t="s">
        <v>35</v>
      </c>
      <c r="C410" s="21">
        <v>5</v>
      </c>
      <c r="D410" s="21">
        <v>2050000</v>
      </c>
      <c r="E410" s="21">
        <v>634718.19999999995</v>
      </c>
      <c r="F410" s="21">
        <v>493438.55681464041</v>
      </c>
      <c r="G410" s="21">
        <f>Table841419410132427323943485356[[#This Row],[VỐN CP]]+Table841419410132427323943485356[[#This Row],[LỢI NHUẬN RÒNG]]</f>
        <v>2543438.5568146403</v>
      </c>
      <c r="H410" s="28"/>
      <c r="I410" s="11"/>
      <c r="J410" s="11"/>
    </row>
    <row r="411" spans="1:10" hidden="1" x14ac:dyDescent="0.3">
      <c r="A411" s="23" t="s">
        <v>83</v>
      </c>
      <c r="B411" s="27" t="s">
        <v>43</v>
      </c>
      <c r="C411" s="21">
        <v>10</v>
      </c>
      <c r="D411" s="21">
        <v>4100000</v>
      </c>
      <c r="E411" s="21">
        <v>1269436.3999999999</v>
      </c>
      <c r="F411" s="21">
        <v>986877.11362928082</v>
      </c>
      <c r="G411" s="21">
        <f>Table841419410132427323943485356[[#This Row],[VỐN CP]]+Table841419410132427323943485356[[#This Row],[LỢI NHUẬN RÒNG]]</f>
        <v>5086877.1136292806</v>
      </c>
      <c r="H411" s="28"/>
      <c r="I411" s="11"/>
      <c r="J411" s="11"/>
    </row>
    <row r="412" spans="1:10" hidden="1" x14ac:dyDescent="0.3">
      <c r="A412" s="23" t="s">
        <v>83</v>
      </c>
      <c r="B412" s="27" t="s">
        <v>25</v>
      </c>
      <c r="C412" s="21">
        <v>10</v>
      </c>
      <c r="D412" s="21">
        <v>4100000</v>
      </c>
      <c r="E412" s="21">
        <v>1269436.3999999999</v>
      </c>
      <c r="F412" s="21">
        <v>986877.11362928082</v>
      </c>
      <c r="G412" s="21">
        <f>Table841419410132427323943485356[[#This Row],[VỐN CP]]+Table841419410132427323943485356[[#This Row],[LỢI NHUẬN RÒNG]]</f>
        <v>5086877.1136292806</v>
      </c>
      <c r="H412" s="28"/>
      <c r="I412" s="11"/>
      <c r="J412" s="11"/>
    </row>
    <row r="413" spans="1:10" hidden="1" x14ac:dyDescent="0.3">
      <c r="A413" s="23" t="s">
        <v>84</v>
      </c>
      <c r="B413" s="27" t="s">
        <v>9</v>
      </c>
      <c r="C413" s="21">
        <v>20</v>
      </c>
      <c r="D413" s="21">
        <v>16900000</v>
      </c>
      <c r="E413" s="21">
        <v>4226531.8</v>
      </c>
      <c r="F413" s="21">
        <v>2878694.2219485552</v>
      </c>
      <c r="G413" s="21">
        <f>Table841419410132427323943485356[[#This Row],[VỐN CP]]+Table841419410132427323943485356[[#This Row],[LỢI NHUẬN RÒNG]]</f>
        <v>19778694.221948557</v>
      </c>
      <c r="H413" s="28"/>
      <c r="I413" s="11"/>
      <c r="J413" s="11"/>
    </row>
    <row r="414" spans="1:10" hidden="1" x14ac:dyDescent="0.3">
      <c r="A414" s="23" t="s">
        <v>84</v>
      </c>
      <c r="B414" s="27" t="s">
        <v>19</v>
      </c>
      <c r="C414" s="21">
        <v>10</v>
      </c>
      <c r="D414" s="21">
        <v>8450000</v>
      </c>
      <c r="E414" s="21">
        <v>2113265.9</v>
      </c>
      <c r="F414" s="21">
        <v>1439347.1109742776</v>
      </c>
      <c r="G414" s="21">
        <f>Table841419410132427323943485356[[#This Row],[VỐN CP]]+Table841419410132427323943485356[[#This Row],[LỢI NHUẬN RÒNG]]</f>
        <v>9889347.1109742783</v>
      </c>
      <c r="H414" s="28"/>
      <c r="I414" s="11"/>
      <c r="J414" s="11"/>
    </row>
    <row r="415" spans="1:10" x14ac:dyDescent="0.3">
      <c r="A415" s="23" t="s">
        <v>84</v>
      </c>
      <c r="B415" s="27" t="s">
        <v>37</v>
      </c>
      <c r="C415" s="21">
        <v>10</v>
      </c>
      <c r="D415" s="21">
        <v>8450000</v>
      </c>
      <c r="E415" s="21">
        <v>2113265.9</v>
      </c>
      <c r="F415" s="21">
        <v>1439347.1109742776</v>
      </c>
      <c r="G415" s="21">
        <f>Table841419410132427323943485356[[#This Row],[VỐN CP]]+Table841419410132427323943485356[[#This Row],[LỢI NHUẬN RÒNG]]</f>
        <v>9889347.1109742783</v>
      </c>
      <c r="H415" s="28"/>
      <c r="I415" s="11"/>
      <c r="J415" s="11"/>
    </row>
    <row r="416" spans="1:10" hidden="1" x14ac:dyDescent="0.3">
      <c r="A416" s="23" t="s">
        <v>84</v>
      </c>
      <c r="B416" s="27" t="s">
        <v>31</v>
      </c>
      <c r="C416" s="21">
        <v>20</v>
      </c>
      <c r="D416" s="21">
        <v>16900000</v>
      </c>
      <c r="E416" s="21">
        <v>4226531.8</v>
      </c>
      <c r="F416" s="21">
        <v>2878694.2219485552</v>
      </c>
      <c r="G416" s="21">
        <f>Table841419410132427323943485356[[#This Row],[VỐN CP]]+Table841419410132427323943485356[[#This Row],[LỢI NHUẬN RÒNG]]</f>
        <v>19778694.221948557</v>
      </c>
      <c r="H416" s="28"/>
      <c r="I416" s="11"/>
      <c r="J416" s="11"/>
    </row>
    <row r="417" spans="1:11" hidden="1" x14ac:dyDescent="0.3">
      <c r="A417" s="23" t="s">
        <v>84</v>
      </c>
      <c r="B417" s="27" t="s">
        <v>21</v>
      </c>
      <c r="C417" s="21">
        <v>20</v>
      </c>
      <c r="D417" s="21">
        <v>16900000</v>
      </c>
      <c r="E417" s="21">
        <v>4226531.8</v>
      </c>
      <c r="F417" s="21">
        <v>2878694.2219485552</v>
      </c>
      <c r="G417" s="21">
        <f>Table841419410132427323943485356[[#This Row],[VỐN CP]]+Table841419410132427323943485356[[#This Row],[LỢI NHUẬN RÒNG]]</f>
        <v>19778694.221948557</v>
      </c>
      <c r="H417" s="28"/>
      <c r="I417" s="11"/>
      <c r="J417" s="11"/>
    </row>
    <row r="418" spans="1:11" hidden="1" x14ac:dyDescent="0.3">
      <c r="A418" s="23" t="s">
        <v>84</v>
      </c>
      <c r="B418" s="27" t="s">
        <v>29</v>
      </c>
      <c r="C418" s="21">
        <v>5</v>
      </c>
      <c r="D418" s="21">
        <v>4225000</v>
      </c>
      <c r="E418" s="21">
        <v>1056632.95</v>
      </c>
      <c r="F418" s="21">
        <v>719673.5554871388</v>
      </c>
      <c r="G418" s="21">
        <f>Table841419410132427323943485356[[#This Row],[VỐN CP]]+Table841419410132427323943485356[[#This Row],[LỢI NHUẬN RÒNG]]</f>
        <v>4944673.5554871392</v>
      </c>
      <c r="H418" s="28"/>
      <c r="I418" s="11"/>
      <c r="J418" s="11"/>
    </row>
    <row r="419" spans="1:11" hidden="1" x14ac:dyDescent="0.3">
      <c r="A419" s="23" t="s">
        <v>84</v>
      </c>
      <c r="B419" s="27" t="s">
        <v>43</v>
      </c>
      <c r="C419" s="21">
        <v>10</v>
      </c>
      <c r="D419" s="21">
        <v>8450000</v>
      </c>
      <c r="E419" s="21">
        <v>2113265.9</v>
      </c>
      <c r="F419" s="21">
        <v>1439347.1109742776</v>
      </c>
      <c r="G419" s="21">
        <f>Table841419410132427323943485356[[#This Row],[VỐN CP]]+Table841419410132427323943485356[[#This Row],[LỢI NHUẬN RÒNG]]</f>
        <v>9889347.1109742783</v>
      </c>
      <c r="H419" s="28"/>
      <c r="I419" s="11"/>
      <c r="J419" s="11"/>
    </row>
    <row r="420" spans="1:11" hidden="1" x14ac:dyDescent="0.3">
      <c r="A420" s="23" t="s">
        <v>84</v>
      </c>
      <c r="B420" s="27" t="s">
        <v>25</v>
      </c>
      <c r="C420" s="21">
        <v>5</v>
      </c>
      <c r="D420" s="21">
        <v>4225000</v>
      </c>
      <c r="E420" s="21">
        <v>1056632.95</v>
      </c>
      <c r="F420" s="21">
        <v>719673.5554871388</v>
      </c>
      <c r="G420" s="21">
        <f>Table841419410132427323943485356[[#This Row],[VỐN CP]]+Table841419410132427323943485356[[#This Row],[LỢI NHUẬN RÒNG]]</f>
        <v>4944673.5554871392</v>
      </c>
      <c r="H420" s="28"/>
      <c r="I420" s="11"/>
      <c r="J420" s="11"/>
    </row>
    <row r="421" spans="1:11" x14ac:dyDescent="0.3">
      <c r="A421" s="23"/>
      <c r="B421" s="21"/>
      <c r="C421" s="21"/>
      <c r="D421" s="21">
        <f>SUBTOTAL(109,Table841419410132427323943485356[VỐN CP])</f>
        <v>163265000</v>
      </c>
      <c r="E421" s="21">
        <f>SUBTOTAL(109,Table841419410132427323943485356[LỢI NHUẬN GỘP])</f>
        <v>63424675.766666673</v>
      </c>
      <c r="F421" s="21">
        <f>SUBTOTAL(109,Table841419410132427323943485356[LỢI NHUẬN RÒNG])</f>
        <v>43999320.153708376</v>
      </c>
      <c r="G421" s="21">
        <f>SUBTOTAL(109,Table841419410132427323943485356[TỔNG NHẬN])</f>
        <v>207264320.15370837</v>
      </c>
      <c r="H421" s="28"/>
    </row>
    <row r="423" spans="1:11" x14ac:dyDescent="0.3">
      <c r="H423" s="11"/>
    </row>
    <row r="425" spans="1:11" x14ac:dyDescent="0.3">
      <c r="G425" s="11" t="s">
        <v>85</v>
      </c>
    </row>
    <row r="427" spans="1:11" x14ac:dyDescent="0.3">
      <c r="K427" s="11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LNR THÁNG  1</vt:lpstr>
      <vt:lpstr>Tháng 1 nhà T  </vt:lpstr>
      <vt:lpstr>Tháng 3 nhà T  </vt:lpstr>
      <vt:lpstr>Tháng 2 nhà T   </vt:lpstr>
      <vt:lpstr>Tháng 2 nhà S </vt:lpstr>
      <vt:lpstr>Tháng 2 nhà G </vt:lpstr>
      <vt:lpstr>LNR THÁNG  2 </vt:lpstr>
      <vt:lpstr>Tháng 3 nhà S </vt:lpstr>
      <vt:lpstr>Tháng 3 nhà G  </vt:lpstr>
      <vt:lpstr>LNR THÁNG  3</vt:lpstr>
      <vt:lpstr>Tháng 4 nhà T  </vt:lpstr>
      <vt:lpstr>Tháng 4 nhà S </vt:lpstr>
      <vt:lpstr>Tháng 4 nhà G  </vt:lpstr>
      <vt:lpstr>LNR THÁNG  4</vt:lpstr>
      <vt:lpstr>Tháng 5 nhà T </vt:lpstr>
      <vt:lpstr>Tháng 5 nhà S  </vt:lpstr>
      <vt:lpstr>Tháng 5 nhà G  </vt:lpstr>
      <vt:lpstr>LNR THÁNG  5</vt:lpstr>
      <vt:lpstr>Tháng 6 nhà T  </vt:lpstr>
      <vt:lpstr>Tháng 6 nhà S   </vt:lpstr>
      <vt:lpstr>Tháng 6 nhà G   </vt:lpstr>
      <vt:lpstr>LNR THÁNG  6</vt:lpstr>
      <vt:lpstr>Tháng 7 nhà T </vt:lpstr>
      <vt:lpstr>Tháng 8 nhà T </vt:lpstr>
      <vt:lpstr>Tháng 7 nhà S   </vt:lpstr>
      <vt:lpstr>Tháng 7 nhà G   </vt:lpstr>
      <vt:lpstr>LNR THÁNG  7</vt:lpstr>
      <vt:lpstr>Tháng 8 nhà S </vt:lpstr>
      <vt:lpstr>Tháng 8 nhà G  </vt:lpstr>
      <vt:lpstr>LNR THÁNG  8</vt:lpstr>
      <vt:lpstr>Tháng 1 nhà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2026-02-12T03:18:59Z</dcterms:created>
  <dcterms:modified xsi:type="dcterms:W3CDTF">2026-09-14T04:48:13Z</dcterms:modified>
</cp:coreProperties>
</file>